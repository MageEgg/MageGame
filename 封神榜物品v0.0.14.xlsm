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P000!$A$1:$AP$680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<sst xmlns="http://schemas.openxmlformats.org/spreadsheetml/2006/main" count="743">
  <si>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</si>
  <si>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</si>
  <si>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</si>
  <si>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</si>
  <si>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</si>
  <si>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</si>
  <si>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</si>
  <si>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</si>
  <si>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</si>
  <si>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</si>
  <si>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</si>
  <si>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</si>
  <si>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</si>
  <si>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</si>
  <si>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</si>
  <si>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</si>
  <si>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</si>
  <si>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</si>
  <si>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</si>
  <si>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</si>
  <si>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</si>
  <si>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</si>
  <si>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</si>
  <si>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</si>
  <si>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</si>
  <si>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</si>
  <si>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</si>
  <si>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</si>
  <si>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</si>
  <si>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</si>
  <si>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</si>
  <si>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</si>
  <si>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</si>
  <si>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</si>
  <si>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</si>
  <si>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</si>
  <si>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</si>
  <si>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</si>
  <si>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</si>
  <si>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</si>
  <si>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</si>
  <si>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</si>
  <si>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</si>
  <si>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</si>
  <si>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</si>
  <si>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</si>
  <si>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</si>
  <si>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</si>
  <si>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</si>
  <si>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</si>
  <si>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</si>
  <si>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</si>
  <si>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</si>
  <si>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</si>
  <si>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</si>
  <si>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</si>
  <si>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</si>
  <si>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</si>
  <si>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</si>
  <si>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</si>
  <si>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</si>
  <si>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</si>
  <si>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</si>
  <si>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</si>
  <si>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</si>
  <si>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</si>
  <si>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</si>
  <si>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</si>
  <si>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</si>
  <si>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</si>
  <si>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</si>
  <si>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</si>
  <si>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</si>
  <si>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</si>
  <si>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</si>
  <si>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</si>
  <si>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</si>
  <si>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</si>
  <si>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</si>
  <si>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</si>
  <si>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</si>
  <si>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</si>
  <si>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</si>
  <si>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</si>
  <si>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</si>
  <si>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</si>
  <si>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</si>
  <si>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</si>
  <si>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</si>
  <si>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</si>
  <si>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</si>
  <si>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</si>
  <si>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</si>
  <si>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</si>
  <si>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</si>
  <si>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</si>
  <si>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</si>
  <si>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</si>
  <si>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</si>
  <si>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</si>
  <si>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</si>
  <si>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</si>
  <si>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</si>
  <si>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</si>
  <si>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</si>
  <si>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</si>
  <si>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</si>
  <si>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</si>
  <si>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</si>
  <si>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</si>
  <si>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</si>
  <si>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</si>
  <si>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</si>
  <si>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</si>
  <si>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</si>
  <si>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</si>
  <si>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</si>
  <si>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</si>
  <si>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</si>
  <si>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</si>
  <si>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</si>
  <si>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</si>
  <si>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</si>
  <si>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</si>
  <si>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</si>
  <si>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</si>
  <si>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</si>
  <si>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</si>
  <si>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</si>
  <si>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</si>
  <si>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</si>
  <si>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</si>
  <si>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</si>
  <si>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</si>
  <si>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</si>
  <si>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</si>
  <si>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</si>
  <si>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</si>
  <si>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</si>
  <si>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</si>
  <si>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</si>
  <si>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</si>
  <si>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</si>
  <si>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</si>
  <si>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</si>
  <si>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</si>
  <si>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</si>
  <si>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</si>
  <si>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</si>
  <si>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</si>
  <si>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</si>
  <si>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</si>
  <si>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</si>
  <si>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</si>
  <si>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</si>
  <si>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每秒攻击</t>
  </si>
  <si>
    <t>每秒业力</t>
  </si>
  <si>
    <t>每秒生命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</si>
  <si>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</si>
  <si>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</si>
  <si>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</si>
  <si>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</si>
  <si>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</si>
  <si>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</si>
  <si>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</si>
  <si>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</si>
  <si>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</si>
  <si>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</si>
  <si>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</si>
  <si>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</si>
  <si>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</si>
  <si>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</si>
  <si>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</si>
  <si>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</si>
  <si>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</si>
  <si>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</si>
  <si>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</si>
  <si>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</si>
  <si>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</si>
  <si>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</si>
  <si>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</si>
  <si>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</si>
  <si>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</si>
  <si>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</si>
  <si>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</si>
  <si>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</si>
  <si>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</si>
  <si>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</si>
  <si>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</si>
  <si>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</si>
  <si>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</si>
  <si>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</si>
  <si>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</si>
  <si>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</si>
  <si>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</si>
  <si>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</si>
  <si>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</si>
  <si>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</si>
  <si>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</si>
  <si>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</si>
  <si>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</si>
  <si>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</si>
  <si>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</si>
  <si>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</si>
  <si>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</si>
  <si>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</si>
  <si>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</si>
  <si>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</si>
  <si>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</si>
  <si>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</si>
  <si>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</si>
  <si>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</si>
  <si>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</si>
  <si>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</si>
  <si>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</si>
  <si>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</si>
  <si>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</si>
  <si>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</si>
  <si>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</si>
  <si>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</si>
  <si>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</si>
  <si>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</si>
  <si>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</si>
  <si>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</si>
  <si>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</si>
  <si>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</si>
  <si>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</si>
  <si>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</si>
  <si>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</si>
  <si>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</si>
  <si>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</si>
  <si>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</si>
  <si>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</si>
  <si>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</si>
  <si>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</si>
  <si>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</si>
  <si>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</si>
  <si>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</si>
  <si>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</si>
  <si>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</si>
  <si>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</si>
  <si>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</si>
  <si>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</si>
  <si>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</si>
  <si>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</si>
  <si>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</si>
  <si>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</si>
  <si>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</si>
  <si>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</si>
  <si>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</si>
  <si>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</si>
  <si>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</si>
  <si>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</si>
  <si>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</si>
  <si>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</si>
  <si>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</si>
  <si>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</si>
  <si>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</si>
  <si>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</si>
  <si>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</si>
  <si>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</si>
  <si>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</si>
  <si>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</si>
  <si>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</si>
  <si>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</si>
  <si>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</si>
  <si>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</si>
  <si>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</si>
  <si>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</si>
  <si>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</si>
  <si>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</si>
  <si>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</si>
  <si>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</si>
  <si>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</si>
  <si>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</si>
  <si>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</si>
  <si>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</si>
  <si>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</si>
  <si>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</si>
  <si>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</si>
  <si>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</si>
  <si>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</si>
  <si>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</si>
  <si>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</si>
  <si>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</si>
  <si>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</si>
  <si>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</si>
  <si>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</si>
  <si>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</si>
  <si>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</si>
  <si>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</si>
  <si>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</si>
  <si>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</si>
  <si>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</si>
  <si>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</si>
  <si>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</si>
  <si>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</si>
  <si>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</si>
  <si>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</si>
  <si>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</si>
  <si>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</si>
  <si>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</si>
  <si>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</si>
  <si>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</si>
  <si>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</si>
  <si>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</si>
  <si>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</si>
  <si>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</si>
  <si>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</si>
  <si>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</si>
  <si>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</si>
  <si>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</si>
  <si>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</si>
  <si>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</si>
  <si>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</si>
  <si>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</si>
  <si>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</si>
  <si>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</si>
  <si>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</si>
  <si>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</si>
  <si>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</si>
  <si>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</si>
  <si>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</si>
  <si>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</si>
  <si>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</si>
  <si>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</si>
  <si>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</si>
  <si>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</si>
  <si>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</si>
  <si>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</si>
  <si>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</si>
  <si>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</si>
  <si>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</si>
  <si>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</si>
  <si>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</si>
  <si>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</si>
  <si>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</si>
  <si>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</si>
  <si>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</si>
  <si>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</si>
  <si>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</si>
  <si>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</si>
  <si>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</si>
  <si>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</si>
  <si>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</si>
  <si>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</si>
  <si>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</si>
  <si>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</si>
  <si>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</si>
  <si>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</si>
  <si>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</si>
  <si>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</si>
  <si>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</si>
  <si>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</si>
  <si>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</si>
  <si>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</si>
  <si>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</si>
  <si>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</si>
  <si>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</si>
  <si>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</si>
  <si>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</si>
  <si>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</si>
  <si>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</si>
  <si>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</si>
  <si>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</si>
  <si>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</si>
  <si>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</si>
  <si>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</si>
  <si>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</si>
  <si>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</si>
  <si>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</si>
  <si>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</si>
  <si>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</si>
  <si>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</si>
  <si>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</si>
  <si>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</si>
  <si>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</si>
  <si>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</si>
  <si>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</si>
  <si>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</si>
  <si>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</si>
  <si>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</si>
  <si>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</si>
  <si>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</si>
  <si>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</si>
  <si>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</si>
  <si>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</si>
  <si>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</si>
  <si>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</si>
  <si>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</si>
  <si>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</si>
  <si>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</si>
  <si>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</si>
  <si>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</si>
  <si>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</si>
  <si>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</si>
  <si>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</si>
  <si>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</si>
  <si>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</si>
  <si>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</si>
  <si>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</si>
  <si>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</si>
  <si>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</si>
  <si>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</si>
  <si>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</si>
  <si>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</si>
  <si>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</si>
  <si>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</si>
  <si>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</si>
  <si>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</si>
  <si>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</si>
  <si>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</si>
  <si>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</si>
  <si>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charset val="134"/>
      </rPr>
      <t>ReplaceableTextures\\CommandButtons\\BTNIND1</t>
    </r>
    <r>
      <rPr>
        <sz val="11"/>
        <color rgb="FF9C6500"/>
        <rFont val="等线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</si>
  <si>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</si>
  <si>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</si>
  <si>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</si>
  <si>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</si>
  <si>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</si>
  <si>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</si>
  <si>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</si>
  <si>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charset val="134"/>
      </rPr>
      <t>ReplaceableTextures\\CommandButtons\\BTNIND2</t>
    </r>
    <r>
      <rPr>
        <sz val="11"/>
        <color rgb="FF9C6500"/>
        <rFont val="等线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</si>
  <si>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</si>
  <si>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</si>
  <si>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</si>
  <si>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</si>
  <si>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</si>
  <si>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</si>
  <si>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</si>
  <si>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</si>
  <si>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</si>
  <si>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</si>
  <si>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</si>
  <si>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</si>
  <si>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</si>
  <si>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</si>
  <si>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</si>
  <si>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</si>
  <si>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</si>
  <si>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</si>
  <si>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</si>
  <si>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</si>
  <si>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</si>
  <si>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</si>
  <si>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</si>
  <si>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</si>
  <si>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</si>
  <si>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</si>
  <si>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</si>
  <si>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</si>
  <si>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</si>
  <si>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</si>
  <si>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</si>
  <si>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</si>
  <si>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</si>
  <si>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</si>
  <si>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</si>
  <si>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</si>
  <si>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</si>
  <si>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</si>
  <si>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</si>
  <si>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</si>
  <si>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</si>
  <si>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</si>
  <si>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</si>
  <si>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</si>
  <si>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</si>
  <si>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</si>
  <si>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</si>
  <si>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</si>
  <si>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</si>
  <si>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</si>
  <si>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</si>
  <si>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</si>
  <si>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</si>
  <si>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</si>
  <si>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</si>
  <si>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</si>
  <si>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</si>
  <si>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</si>
  <si>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</si>
  <si>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</si>
  <si>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</si>
  <si>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</si>
  <si>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</si>
  <si>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</si>
  <si>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</si>
  <si>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</si>
  <si>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</si>
  <si>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</si>
  <si>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</si>
  <si>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</si>
  <si>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</si>
  <si>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</si>
  <si>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</si>
  <si>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</si>
  <si>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</si>
  <si>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</si>
  <si>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</si>
  <si>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</si>
  <si>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</si>
  <si>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</si>
  <si>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</si>
  <si>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</si>
  <si>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</si>
  <si>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</si>
  <si>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</si>
  <si>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</si>
  <si>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</si>
  <si>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</si>
  <si>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</si>
  <si>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</si>
  <si>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</si>
  <si>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</si>
  <si>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</si>
  <si>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</si>
  <si>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</si>
  <si>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</si>
  <si>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</si>
  <si>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</si>
  <si>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</si>
  <si>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</si>
  <si>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</si>
  <si>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</si>
  <si>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</si>
  <si>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</si>
  <si>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</si>
  <si>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</si>
  <si>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</si>
  <si>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</si>
  <si>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</si>
  <si>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</si>
  <si>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</si>
  <si>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</si>
  <si>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</si>
  <si>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</si>
  <si>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</si>
  <si>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</si>
  <si>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</si>
  <si>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</si>
  <si>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</si>
  <si>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</si>
  <si>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</si>
  <si>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</si>
  <si>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</si>
  <si>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</si>
  <si>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</si>
  <si>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</si>
  <si>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</si>
  <si>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</si>
  <si>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</si>
  <si>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</si>
  <si>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</si>
  <si>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</si>
  <si>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</si>
  <si>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</si>
  <si>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</si>
  <si>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</si>
  <si>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</si>
  <si>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</si>
  <si>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ReplaceableTextures\\CommandButtons\\BTN001.blp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</si>
  <si>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</si>
  <si>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</si>
  <si>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</si>
  <si>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</si>
  <si>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</si>
  <si>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</si>
  <si>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</si>
  <si>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</si>
  <si>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</si>
  <si>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</si>
  <si>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</si>
  <si>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</si>
  <si>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</si>
  <si>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</si>
  <si>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</si>
  <si>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</si>
  <si>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</si>
  <si>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</si>
  <si>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</si>
  <si>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</si>
  <si>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</si>
  <si>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</si>
  <si>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</si>
  <si>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</si>
  <si>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</si>
  <si>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</si>
  <si>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</si>
  <si>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</si>
  <si>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</si>
  <si>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</si>
  <si>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</si>
  <si>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</si>
  <si>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</si>
  <si>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</si>
  <si>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</si>
  <si>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</si>
  <si>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</si>
  <si>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</si>
  <si>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</si>
  <si>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</si>
  <si>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</si>
  <si>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</si>
  <si>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</si>
  <si>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</si>
  <si>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</si>
  <si>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</si>
  <si>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</si>
  <si>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</si>
  <si>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</si>
  <si>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</si>
  <si>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</si>
  <si>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</si>
  <si>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</si>
  <si>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</si>
  <si>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</si>
  <si>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</si>
  <si>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</si>
  <si>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</si>
  <si>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</si>
  <si>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</si>
  <si>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</si>
  <si>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</si>
  <si>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</si>
  <si>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r>
      <rPr>
        <sz val="11"/>
        <color theme="1"/>
        <rFont val="等线"/>
        <charset val="134"/>
        <scheme val="minor"/>
      </rPr>
      <t>IB5</t>
    </r>
    <r>
      <rPr>
        <sz val="11"/>
        <color theme="1"/>
        <rFont val="等线"/>
        <charset val="134"/>
        <scheme val="minor"/>
      </rPr>
      <t>1</t>
    </r>
  </si>
  <si>
    <t>已领取公众号礼包</t>
  </si>
  <si>
    <r>
      <rPr>
        <sz val="11"/>
        <color theme="1"/>
        <rFont val="等线"/>
        <charset val="134"/>
        <scheme val="minor"/>
      </rPr>
      <t>IB52</t>
    </r>
  </si>
  <si>
    <t>已领取入群礼包</t>
  </si>
  <si>
    <r>
      <rPr>
        <sz val="11"/>
        <color theme="1"/>
        <rFont val="等线"/>
        <charset val="134"/>
        <scheme val="minor"/>
      </rPr>
      <t>IB53</t>
    </r>
  </si>
  <si>
    <t>已领取拜年礼包</t>
  </si>
  <si>
    <r>
      <rPr>
        <sz val="11"/>
        <color theme="1"/>
        <rFont val="等线"/>
        <charset val="134"/>
        <scheme val="minor"/>
      </rPr>
      <t>IB54</t>
    </r>
  </si>
  <si>
    <t>已领取收藏礼包</t>
  </si>
  <si>
    <r>
      <rPr>
        <sz val="11"/>
        <color theme="1"/>
        <rFont val="等线"/>
        <charset val="134"/>
        <scheme val="minor"/>
      </rPr>
      <t>IB55</t>
    </r>
  </si>
  <si>
    <t>已领取重置版礼包</t>
  </si>
  <si>
    <r>
      <rPr>
        <sz val="11"/>
        <color theme="1"/>
        <rFont val="等线"/>
        <charset val="134"/>
        <scheme val="minor"/>
      </rPr>
      <t>IB56</t>
    </r>
  </si>
  <si>
    <t>已领取公会福利</t>
  </si>
  <si>
    <r>
      <rPr>
        <sz val="11"/>
        <color theme="1"/>
        <rFont val="等线"/>
        <charset val="134"/>
        <scheme val="minor"/>
      </rPr>
      <t>IB57</t>
    </r>
  </si>
  <si>
    <t>已领取星耀礼包</t>
  </si>
  <si>
    <r>
      <rPr>
        <sz val="11"/>
        <color theme="1"/>
        <rFont val="等线"/>
        <charset val="134"/>
        <scheme val="minor"/>
      </rPr>
      <t>IB58</t>
    </r>
  </si>
  <si>
    <t>已领取魔芝RPG礼包</t>
  </si>
  <si>
    <r>
      <rPr>
        <sz val="11"/>
        <color theme="1"/>
        <rFont val="等线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</si>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</sst>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7" fillId="22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6" borderId="14" applyNumberFormat="0" applyFont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33" fillId="31" borderId="19" applyNumberFormat="0" applyAlignment="0" applyProtection="0">
      <alignment vertical="center"/>
    </xf>
    <xf numFmtId="0" fontId="32" fillId="31" borderId="17" applyNumberFormat="0" applyAlignment="0" applyProtection="0">
      <alignment vertical="center"/>
    </xf>
    <xf numFmtId="0" fontId="24" fillId="18" borderId="15" applyNumberFormat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8" fillId="0" borderId="18" applyNumberFormat="0" applyFill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</cellStyleXfs>
  <cellXfs count="136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1" applyAlignment="1"/>
    <xf numFmtId="0" fontId="0" fillId="0" borderId="1" xfId="0" applyBorder="1" applyAlignment="1">
      <alignment vertical="center"/>
    </xf>
    <xf numFmtId="0" fontId="4" fillId="5" borderId="1" xfId="7" applyBorder="1">
      <alignment vertical="center"/>
    </xf>
    <xf numFmtId="0" fontId="4" fillId="5" borderId="1" xfId="7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7" applyBorder="1">
      <alignment vertical="center"/>
    </xf>
    <xf numFmtId="0" fontId="4" fillId="5" borderId="0" xfId="7" applyFont="1" applyBorder="1">
      <alignment vertical="center"/>
    </xf>
    <xf numFmtId="0" fontId="4" fillId="5" borderId="3" xfId="7" applyFont="1" applyBorder="1">
      <alignment vertical="center"/>
    </xf>
    <xf numFmtId="0" fontId="3" fillId="4" borderId="1" xfId="31" applyFont="1" applyBorder="1" applyAlignment="1">
      <alignment vertical="center"/>
    </xf>
    <xf numFmtId="0" fontId="3" fillId="4" borderId="2" xfId="31" applyFont="1" applyBorder="1" applyAlignment="1">
      <alignment horizontal="left"/>
    </xf>
    <xf numFmtId="0" fontId="3" fillId="4" borderId="1" xfId="31" applyFont="1" applyBorder="1">
      <alignment vertical="center"/>
    </xf>
    <xf numFmtId="0" fontId="5" fillId="6" borderId="4" xfId="13" applyFont="1" applyBorder="1" applyAlignment="1">
      <alignment horizontal="center"/>
    </xf>
    <xf numFmtId="0" fontId="5" fillId="6" borderId="5" xfId="13" applyFont="1" applyBorder="1" applyAlignment="1"/>
    <xf numFmtId="0" fontId="3" fillId="4" borderId="0" xfId="31" applyFont="1" applyBorder="1" applyAlignment="1">
      <alignment vertical="center"/>
    </xf>
    <xf numFmtId="0" fontId="3" fillId="4" borderId="0" xfId="31" applyFont="1" applyBorder="1" applyAlignment="1">
      <alignment horizontal="left"/>
    </xf>
    <xf numFmtId="0" fontId="3" fillId="4" borderId="0" xfId="31" applyFont="1" applyBorder="1">
      <alignment vertical="center"/>
    </xf>
    <xf numFmtId="0" fontId="5" fillId="6" borderId="0" xfId="13" applyFont="1" applyBorder="1" applyAlignment="1">
      <alignment horizontal="center"/>
    </xf>
    <xf numFmtId="0" fontId="5" fillId="6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7" applyNumberFormat="1" applyBorder="1">
      <alignment vertical="center"/>
    </xf>
    <xf numFmtId="0" fontId="4" fillId="5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32" applyBorder="1" applyAlignment="1"/>
    <xf numFmtId="0" fontId="6" fillId="8" borderId="1" xfId="32" applyFill="1" applyBorder="1" applyAlignment="1">
      <alignment vertical="center"/>
    </xf>
    <xf numFmtId="0" fontId="6" fillId="7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7" applyNumberFormat="1" applyAlignment="1">
      <alignment vertical="center"/>
    </xf>
    <xf numFmtId="0" fontId="4" fillId="5" borderId="0" xfId="7" applyAlignment="1">
      <alignment vertical="center"/>
    </xf>
    <xf numFmtId="0" fontId="4" fillId="5" borderId="1" xfId="7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7" applyFont="1" applyFill="1" applyBorder="1">
      <alignment vertical="center"/>
    </xf>
    <xf numFmtId="0" fontId="4" fillId="5" borderId="1" xfId="7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7" xfId="32" applyBorder="1" applyAlignment="1">
      <alignment horizontal="center"/>
    </xf>
    <xf numFmtId="0" fontId="6" fillId="7" borderId="3" xfId="32" applyBorder="1" applyAlignment="1">
      <alignment horizontal="center"/>
    </xf>
    <xf numFmtId="0" fontId="6" fillId="7" borderId="8" xfId="32" applyFont="1" applyFill="1" applyBorder="1" applyAlignment="1"/>
    <xf numFmtId="0" fontId="6" fillId="7" borderId="1" xfId="32" applyFont="1" applyFill="1" applyBorder="1" applyAlignment="1"/>
    <xf numFmtId="0" fontId="6" fillId="7" borderId="6" xfId="32" applyBorder="1" applyAlignment="1">
      <alignment horizontal="center"/>
    </xf>
    <xf numFmtId="0" fontId="6" fillId="7" borderId="1" xfId="32" applyBorder="1" applyAlignment="1">
      <alignment horizontal="center"/>
    </xf>
    <xf numFmtId="0" fontId="6" fillId="8" borderId="2" xfId="32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32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7" applyNumberFormat="1" applyFont="1" applyFill="1" applyAlignment="1"/>
    <xf numFmtId="0" fontId="4" fillId="5" borderId="0" xfId="7" applyAlignment="1"/>
    <xf numFmtId="0" fontId="4" fillId="5" borderId="0" xfId="7" applyNumberFormat="1" applyAlignment="1"/>
    <xf numFmtId="0" fontId="8" fillId="0" borderId="0" xfId="0" applyFont="1"/>
    <xf numFmtId="0" fontId="3" fillId="4" borderId="1" xfId="31" applyBorder="1" applyAlignment="1"/>
    <xf numFmtId="0" fontId="3" fillId="4" borderId="0" xfId="31" applyFont="1" applyFill="1" applyAlignment="1"/>
    <xf numFmtId="0" fontId="3" fillId="4" borderId="0" xfId="31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6" fillId="7" borderId="1" xfId="32" applyFont="1" applyBorder="1" applyAlignment="1"/>
    <xf numFmtId="0" fontId="0" fillId="8" borderId="1" xfId="32" applyFont="1" applyFill="1" applyBorder="1" applyAlignment="1">
      <alignment vertical="center"/>
    </xf>
    <xf numFmtId="0" fontId="6" fillId="7" borderId="3" xfId="32" applyBorder="1">
      <alignment vertical="center"/>
    </xf>
    <xf numFmtId="0" fontId="6" fillId="7" borderId="7" xfId="32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0" fillId="0" borderId="0" xfId="0" applyFont="1" applyAlignment="1">
      <alignment vertical="center" wrapText="1"/>
    </xf>
    <xf numFmtId="0" fontId="4" fillId="5" borderId="0" xfId="7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vertical="center" wrapText="1"/>
    </xf>
    <xf numFmtId="0" fontId="15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1" applyFont="1" applyAlignment="1"/>
    <xf numFmtId="0" fontId="4" fillId="5" borderId="0" xfId="7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7" applyFont="1" applyFill="1" applyBorder="1">
      <alignment vertical="center"/>
    </xf>
    <xf numFmtId="0" fontId="4" fillId="5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6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7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32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43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682"/>
  <sheetViews>
    <sheetView tabSelected="1" workbookViewId="0">
      <pane xSplit="8" ySplit="2" topLeftCell="O177" activePane="bottomRight" state="frozen"/>
      <selection/>
      <selection pane="topRight"/>
      <selection pane="bottomLeft"/>
      <selection pane="bottomRight" activeCell="A199" sqref="$A199:$XFD199"/>
    </sheetView>
  </sheetViews>
  <sheetFormatPr defaultColWidth="9" defaultRowHeight="13.8"/>
  <cols>
    <col min="1" max="2" width="9" style="3"/>
    <col min="3" max="3" width="7.62962962962963" style="3" customWidth="1"/>
    <col min="4" max="4" width="7.37962962962963" style="3" customWidth="1"/>
    <col min="5" max="5" width="11.6296296296296" style="3" customWidth="1"/>
    <col min="6" max="6" width="11" style="3" customWidth="1"/>
    <col min="7" max="7" width="8.87962962962963" style="3" customWidth="1"/>
    <col min="8" max="8" width="26.25" style="3" customWidth="1"/>
    <col min="9" max="9" width="28.1296296296296" style="112" customWidth="1"/>
    <col min="10" max="10" width="18.6296296296296" customWidth="1"/>
    <col min="11" max="11" width="41" customWidth="1"/>
    <col min="12" max="12" width="9" style="3" customWidth="1"/>
    <col min="13" max="13" width="47.3796296296296" style="116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96296296296" style="3" customWidth="1"/>
    <col min="27" max="27" width="10" style="3" customWidth="1"/>
    <col min="28" max="28" width="10.3796296296296" style="112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96296296296" style="3" customWidth="1"/>
    <col min="35" max="35" width="12.3796296296296" style="3" customWidth="1"/>
    <col min="36" max="39" width="9" style="3"/>
    <col min="40" max="40" width="9" style="112"/>
    <col min="41" max="16384" width="9" style="3"/>
  </cols>
  <sheetData>
    <row r="1" s="112" customFormat="1" spans="1:42">
      <c r="A1" s="116"/>
      <c r="B1" s="112" t="s">
        <v>0</v>
      </c>
      <c r="C1" s="112" t="s">
        <v>1</v>
      </c>
      <c r="D1" s="112" t="s">
        <v>2</v>
      </c>
      <c r="E1" s="136" t="s">
        <v>3</v>
      </c>
      <c r="F1" s="112" t="s">
        <v>4</v>
      </c>
      <c r="G1" s="112" t="s">
        <v>5</v>
      </c>
      <c r="H1" s="112" t="s">
        <v>6</v>
      </c>
      <c r="I1" s="112" t="s">
        <v>7</v>
      </c>
      <c r="J1" s="113" t="s">
        <v>8</v>
      </c>
      <c r="K1" s="113" t="s">
        <v>9</v>
      </c>
      <c r="L1" s="112" t="s">
        <v>10</v>
      </c>
      <c r="M1" s="112" t="s">
        <v>11</v>
      </c>
      <c r="N1" s="112" t="s">
        <v>12</v>
      </c>
      <c r="O1" s="112" t="s">
        <v>13</v>
      </c>
      <c r="P1" s="112" t="s">
        <v>14</v>
      </c>
      <c r="Q1" s="112" t="s">
        <v>15</v>
      </c>
      <c r="R1" s="112" t="s">
        <v>16</v>
      </c>
      <c r="S1" s="112" t="s">
        <v>17</v>
      </c>
      <c r="T1" s="112" t="s">
        <v>18</v>
      </c>
      <c r="U1" s="112" t="s">
        <v>19</v>
      </c>
      <c r="V1" s="112" t="s">
        <v>20</v>
      </c>
      <c r="W1" s="112" t="s">
        <v>21</v>
      </c>
      <c r="X1" s="112" t="s">
        <v>22</v>
      </c>
      <c r="Y1" s="112" t="s">
        <v>23</v>
      </c>
      <c r="Z1" s="112" t="s">
        <v>24</v>
      </c>
      <c r="AA1" s="112" t="s">
        <v>25</v>
      </c>
      <c r="AB1" s="112" t="s">
        <v>26</v>
      </c>
      <c r="AC1" s="112" t="s">
        <v>27</v>
      </c>
      <c r="AD1" s="112" t="s">
        <v>28</v>
      </c>
      <c r="AE1" s="112" t="s">
        <v>29</v>
      </c>
      <c r="AF1" s="112" t="s">
        <v>30</v>
      </c>
      <c r="AG1" s="112" t="s">
        <v>31</v>
      </c>
      <c r="AH1" s="112" t="s">
        <v>32</v>
      </c>
      <c r="AI1" s="112" t="s">
        <v>33</v>
      </c>
      <c r="AJ1" s="113" t="s">
        <v>34</v>
      </c>
      <c r="AK1" s="112" t="s">
        <v>35</v>
      </c>
      <c r="AL1" s="112" t="s">
        <v>36</v>
      </c>
      <c r="AM1" s="112" t="s">
        <v>37</v>
      </c>
      <c r="AN1" s="112" t="s">
        <v>38</v>
      </c>
      <c r="AO1" s="112" t="s">
        <v>39</v>
      </c>
      <c r="AP1" s="113" t="s">
        <v>40</v>
      </c>
    </row>
    <row r="2" s="113" customFormat="1" ht="12.75" customHeight="1" spans="1:42">
      <c r="A2" s="117">
        <f>COUNTA(B:B)+1</f>
        <v>226</v>
      </c>
      <c r="C2" s="113" t="s">
        <v>41</v>
      </c>
      <c r="D2" s="113" t="s">
        <v>42</v>
      </c>
      <c r="E2" s="113" t="s">
        <v>43</v>
      </c>
      <c r="F2" s="113" t="s">
        <v>44</v>
      </c>
      <c r="G2" s="113" t="s">
        <v>45</v>
      </c>
      <c r="H2" s="113" t="s">
        <v>46</v>
      </c>
      <c r="I2" s="113" t="s">
        <v>47</v>
      </c>
      <c r="J2" s="113" t="s">
        <v>48</v>
      </c>
      <c r="K2" s="113" t="s">
        <v>49</v>
      </c>
      <c r="L2" s="113" t="s">
        <v>50</v>
      </c>
      <c r="M2" s="113" t="s">
        <v>51</v>
      </c>
      <c r="N2" s="113" t="s">
        <v>52</v>
      </c>
      <c r="O2" s="113" t="s">
        <v>53</v>
      </c>
      <c r="P2" s="113" t="s">
        <v>54</v>
      </c>
      <c r="Q2" s="113" t="s">
        <v>55</v>
      </c>
      <c r="R2" s="113" t="s">
        <v>56</v>
      </c>
      <c r="S2" s="113" t="s">
        <v>57</v>
      </c>
      <c r="T2" s="113" t="s">
        <v>58</v>
      </c>
      <c r="U2" s="113" t="s">
        <v>59</v>
      </c>
      <c r="V2" s="113" t="s">
        <v>60</v>
      </c>
      <c r="W2" s="113" t="s">
        <v>61</v>
      </c>
      <c r="X2" s="113" t="s">
        <v>62</v>
      </c>
      <c r="Y2" s="113" t="s">
        <v>63</v>
      </c>
      <c r="Z2" s="113" t="s">
        <v>64</v>
      </c>
      <c r="AA2" s="113" t="s">
        <v>65</v>
      </c>
      <c r="AB2" s="113" t="s">
        <v>66</v>
      </c>
      <c r="AC2" s="113" t="s">
        <v>67</v>
      </c>
      <c r="AD2" s="113" t="s">
        <v>68</v>
      </c>
      <c r="AE2" s="113" t="s">
        <v>69</v>
      </c>
      <c r="AF2" s="113" t="s">
        <v>70</v>
      </c>
      <c r="AG2" s="113" t="s">
        <v>71</v>
      </c>
      <c r="AH2" s="113" t="s">
        <v>72</v>
      </c>
      <c r="AI2" s="113" t="s">
        <v>73</v>
      </c>
      <c r="AJ2" s="113" t="s">
        <v>74</v>
      </c>
      <c r="AK2" s="113" t="s">
        <v>75</v>
      </c>
      <c r="AL2" s="113" t="s">
        <v>76</v>
      </c>
      <c r="AM2" s="113" t="s">
        <v>77</v>
      </c>
      <c r="AN2" s="113" t="s">
        <v>78</v>
      </c>
      <c r="AO2" s="113" t="s">
        <v>79</v>
      </c>
      <c r="AP2" s="113" t="s">
        <v>80</v>
      </c>
    </row>
    <row r="3" spans="1:42">
      <c r="A3" s="116"/>
      <c r="B3" s="7" t="str">
        <f>装备!B3</f>
        <v>E001</v>
      </c>
      <c r="C3" s="7" t="s">
        <v>41</v>
      </c>
      <c r="D3" s="7" t="s">
        <v>81</v>
      </c>
      <c r="E3" s="7" t="s">
        <v>82</v>
      </c>
      <c r="F3" s="7"/>
      <c r="G3" s="7"/>
      <c r="H3" s="7" t="str">
        <f>VLOOKUP(LEFT(RIGHT(B3,5),4),装备!B:CU,2,FALSE)</f>
        <v>[武器]古纹剑lv1</v>
      </c>
      <c r="I3" s="7" t="str">
        <f>VLOOKUP(B3,装备!B:CV,99,FALSE)</f>
        <v>|Cffbbbbbb属性：|r|n攻击+1000|n|n|Cff00ff7f点击消耗500金币进行强化|n成功率100%</v>
      </c>
      <c r="J3" s="118" t="str">
        <f t="shared" ref="J3" si="0">H3</f>
        <v>[武器]古纹剑lv1</v>
      </c>
      <c r="K3" s="118" t="str">
        <f t="shared" ref="K3" si="1">I3</f>
        <v>|Cffbbbbbb属性：|r|n攻击+1000|n|n|Cff00ff7f点击消耗500金币进行强化|n成功率100%</v>
      </c>
      <c r="L3" s="7"/>
      <c r="M3" s="119" t="str">
        <f>VLOOKUP(LEFT(RIGHT(B3,5),4),装备!B:CU,20,FALSE)</f>
        <v>ReplaceableTextures\\CommandButtons\\BTNZ01.blp</v>
      </c>
      <c r="N3" s="136" t="s">
        <v>83</v>
      </c>
      <c r="O3" s="137" t="s">
        <v>84</v>
      </c>
      <c r="P3" s="7">
        <v>0</v>
      </c>
      <c r="Q3" s="7">
        <v>0</v>
      </c>
      <c r="R3" s="136" t="s">
        <v>83</v>
      </c>
      <c r="S3" s="136" t="s">
        <v>83</v>
      </c>
      <c r="T3" s="136" t="s">
        <v>83</v>
      </c>
      <c r="U3" s="136" t="s">
        <v>83</v>
      </c>
      <c r="V3" s="7"/>
      <c r="W3" s="7" t="s">
        <v>85</v>
      </c>
      <c r="X3" s="7">
        <v>0</v>
      </c>
      <c r="Y3" s="136" t="s">
        <v>83</v>
      </c>
      <c r="Z3" s="7">
        <v>0</v>
      </c>
      <c r="AA3" s="7">
        <v>0</v>
      </c>
      <c r="AB3" s="7">
        <v>0</v>
      </c>
      <c r="AC3" s="7">
        <v>1</v>
      </c>
      <c r="AD3" s="7">
        <v>1</v>
      </c>
      <c r="AE3" s="136" t="s">
        <v>83</v>
      </c>
      <c r="AF3" s="136" t="s">
        <v>83</v>
      </c>
      <c r="AG3" s="136" t="s">
        <v>83</v>
      </c>
      <c r="AH3" s="136" t="s">
        <v>83</v>
      </c>
      <c r="AI3" s="7"/>
      <c r="AJ3" s="7"/>
      <c r="AK3" s="7">
        <v>0</v>
      </c>
      <c r="AL3" s="7">
        <v>0</v>
      </c>
      <c r="AM3" s="136" t="s">
        <v>83</v>
      </c>
      <c r="AN3" s="7"/>
      <c r="AO3" s="7"/>
      <c r="AP3" s="7">
        <v>1</v>
      </c>
    </row>
    <row r="4" spans="1:42">
      <c r="A4" s="116"/>
      <c r="B4" s="7" t="str">
        <f>装备!B4</f>
        <v>E002</v>
      </c>
      <c r="C4" s="7" t="s">
        <v>41</v>
      </c>
      <c r="D4" s="7" t="s">
        <v>81</v>
      </c>
      <c r="E4" s="7" t="s">
        <v>82</v>
      </c>
      <c r="F4" s="7"/>
      <c r="G4" s="7"/>
      <c r="H4" s="7" t="str">
        <f>VLOOKUP(LEFT(RIGHT(B4,5),4),装备!B:CU,2,FALSE)</f>
        <v>[武器]古纹剑lv2</v>
      </c>
      <c r="I4" s="7" t="str">
        <f>VLOOKUP(B4,装备!B:CV,99,FALSE)</f>
        <v>|Cffbbbbbb属性：|r|n攻击+2500|n|n|Cff00ff7f点击消耗500金币进行强化|n成功率100%</v>
      </c>
      <c r="J4" s="118" t="str">
        <f t="shared" ref="J4:J7" si="2">H4</f>
        <v>[武器]古纹剑lv2</v>
      </c>
      <c r="K4" s="118" t="str">
        <f t="shared" ref="K4:K7" si="3">I4</f>
        <v>|Cffbbbbbb属性：|r|n攻击+2500|n|n|Cff00ff7f点击消耗500金币进行强化|n成功率100%</v>
      </c>
      <c r="L4" s="7"/>
      <c r="M4" s="119" t="str">
        <f>VLOOKUP(LEFT(RIGHT(B4,5),4),装备!B:CU,20,FALSE)</f>
        <v>ReplaceableTextures\\CommandButtons\\BTNZ01.blp</v>
      </c>
      <c r="N4" s="136" t="s">
        <v>83</v>
      </c>
      <c r="O4" s="137" t="s">
        <v>84</v>
      </c>
      <c r="P4" s="7">
        <v>0</v>
      </c>
      <c r="Q4" s="7">
        <v>0</v>
      </c>
      <c r="R4" s="136" t="s">
        <v>83</v>
      </c>
      <c r="S4" s="136" t="s">
        <v>83</v>
      </c>
      <c r="T4" s="136" t="s">
        <v>83</v>
      </c>
      <c r="U4" s="136" t="s">
        <v>83</v>
      </c>
      <c r="V4" s="7"/>
      <c r="W4" s="7" t="s">
        <v>85</v>
      </c>
      <c r="X4" s="7">
        <v>0</v>
      </c>
      <c r="Y4" s="136" t="s">
        <v>83</v>
      </c>
      <c r="Z4" s="7">
        <v>0</v>
      </c>
      <c r="AA4" s="7">
        <v>0</v>
      </c>
      <c r="AB4" s="7">
        <v>0</v>
      </c>
      <c r="AC4" s="7">
        <v>1</v>
      </c>
      <c r="AD4" s="7">
        <v>1</v>
      </c>
      <c r="AE4" s="136" t="s">
        <v>83</v>
      </c>
      <c r="AF4" s="136" t="s">
        <v>83</v>
      </c>
      <c r="AG4" s="136" t="s">
        <v>83</v>
      </c>
      <c r="AH4" s="136" t="s">
        <v>83</v>
      </c>
      <c r="AI4" s="7"/>
      <c r="AJ4" s="7"/>
      <c r="AK4" s="7">
        <v>0</v>
      </c>
      <c r="AL4" s="7">
        <v>0</v>
      </c>
      <c r="AM4" s="136" t="s">
        <v>83</v>
      </c>
      <c r="AN4" s="7"/>
      <c r="AO4" s="7"/>
      <c r="AP4" s="7">
        <v>1</v>
      </c>
    </row>
    <row r="5" spans="1:42">
      <c r="A5" s="116"/>
      <c r="B5" s="7" t="str">
        <f>装备!B5</f>
        <v>E003</v>
      </c>
      <c r="C5" s="7" t="s">
        <v>41</v>
      </c>
      <c r="D5" s="7" t="s">
        <v>81</v>
      </c>
      <c r="E5" s="7" t="s">
        <v>82</v>
      </c>
      <c r="F5" s="7"/>
      <c r="G5" s="7"/>
      <c r="H5" s="7" t="str">
        <f>VLOOKUP(LEFT(RIGHT(B5,5),4),装备!B:CU,2,FALSE)</f>
        <v>[武器]古纹剑lv3</v>
      </c>
      <c r="I5" s="7" t="str">
        <f>VLOOKUP(B5,装备!B:CV,99,FALSE)</f>
        <v>|Cffbbbbbb属性：|r|n攻击+4000|n|n|Cff00ff7f点击消耗500金币进行强化|n成功率100%</v>
      </c>
      <c r="J5" s="118" t="str">
        <f t="shared" si="2"/>
        <v>[武器]古纹剑lv3</v>
      </c>
      <c r="K5" s="118" t="str">
        <f t="shared" si="3"/>
        <v>|Cffbbbbbb属性：|r|n攻击+4000|n|n|Cff00ff7f点击消耗500金币进行强化|n成功率100%</v>
      </c>
      <c r="L5" s="7"/>
      <c r="M5" s="119" t="str">
        <f>VLOOKUP(LEFT(RIGHT(B5,5),4),装备!B:CU,20,FALSE)</f>
        <v>ReplaceableTextures\\CommandButtons\\BTNZ01.blp</v>
      </c>
      <c r="N5" s="136" t="s">
        <v>83</v>
      </c>
      <c r="O5" s="137" t="s">
        <v>84</v>
      </c>
      <c r="P5" s="7">
        <v>0</v>
      </c>
      <c r="Q5" s="7">
        <v>0</v>
      </c>
      <c r="R5" s="136" t="s">
        <v>83</v>
      </c>
      <c r="S5" s="136" t="s">
        <v>83</v>
      </c>
      <c r="T5" s="136" t="s">
        <v>83</v>
      </c>
      <c r="U5" s="136" t="s">
        <v>83</v>
      </c>
      <c r="V5" s="7"/>
      <c r="W5" s="7" t="s">
        <v>85</v>
      </c>
      <c r="X5" s="7">
        <v>0</v>
      </c>
      <c r="Y5" s="136" t="s">
        <v>83</v>
      </c>
      <c r="Z5" s="7">
        <v>0</v>
      </c>
      <c r="AA5" s="7">
        <v>0</v>
      </c>
      <c r="AB5" s="7">
        <v>0</v>
      </c>
      <c r="AC5" s="7">
        <v>1</v>
      </c>
      <c r="AD5" s="7">
        <v>1</v>
      </c>
      <c r="AE5" s="136" t="s">
        <v>83</v>
      </c>
      <c r="AF5" s="136" t="s">
        <v>83</v>
      </c>
      <c r="AG5" s="136" t="s">
        <v>83</v>
      </c>
      <c r="AH5" s="136" t="s">
        <v>83</v>
      </c>
      <c r="AI5" s="7"/>
      <c r="AJ5" s="7"/>
      <c r="AK5" s="7">
        <v>0</v>
      </c>
      <c r="AL5" s="7">
        <v>0</v>
      </c>
      <c r="AM5" s="136" t="s">
        <v>83</v>
      </c>
      <c r="AN5" s="7"/>
      <c r="AO5" s="7"/>
      <c r="AP5" s="7">
        <v>1</v>
      </c>
    </row>
    <row r="6" spans="1:42">
      <c r="A6" s="116"/>
      <c r="B6" s="7" t="str">
        <f>装备!B6</f>
        <v>E004</v>
      </c>
      <c r="C6" s="7" t="s">
        <v>41</v>
      </c>
      <c r="D6" s="7" t="s">
        <v>81</v>
      </c>
      <c r="E6" s="7" t="s">
        <v>82</v>
      </c>
      <c r="F6" s="7"/>
      <c r="G6" s="7"/>
      <c r="H6" s="7" t="str">
        <f>VLOOKUP(LEFT(RIGHT(B6,5),4),装备!B:CU,2,FALSE)</f>
        <v>[武器]古纹剑lv4</v>
      </c>
      <c r="I6" s="7" t="str">
        <f>VLOOKUP(B6,装备!B:CV,99,FALSE)</f>
        <v>|Cffbbbbbb属性：|r|n攻击+6000|n|n|Cff00ff7f点击消耗500金币进行强化|n成功率100%</v>
      </c>
      <c r="J6" s="118" t="str">
        <f t="shared" si="2"/>
        <v>[武器]古纹剑lv4</v>
      </c>
      <c r="K6" s="118" t="str">
        <f t="shared" si="3"/>
        <v>|Cffbbbbbb属性：|r|n攻击+6000|n|n|Cff00ff7f点击消耗500金币进行强化|n成功率100%</v>
      </c>
      <c r="L6" s="7"/>
      <c r="M6" s="119" t="str">
        <f>VLOOKUP(LEFT(RIGHT(B6,5),4),装备!B:CU,20,FALSE)</f>
        <v>ReplaceableTextures\\CommandButtons\\BTNZ01.blp</v>
      </c>
      <c r="N6" s="136" t="s">
        <v>83</v>
      </c>
      <c r="O6" s="137" t="s">
        <v>84</v>
      </c>
      <c r="P6" s="7">
        <v>0</v>
      </c>
      <c r="Q6" s="7">
        <v>0</v>
      </c>
      <c r="R6" s="136" t="s">
        <v>83</v>
      </c>
      <c r="S6" s="136" t="s">
        <v>83</v>
      </c>
      <c r="T6" s="136" t="s">
        <v>83</v>
      </c>
      <c r="U6" s="136" t="s">
        <v>83</v>
      </c>
      <c r="V6" s="7"/>
      <c r="W6" s="7" t="s">
        <v>85</v>
      </c>
      <c r="X6" s="7">
        <v>0</v>
      </c>
      <c r="Y6" s="136" t="s">
        <v>83</v>
      </c>
      <c r="Z6" s="7">
        <v>0</v>
      </c>
      <c r="AA6" s="7">
        <v>0</v>
      </c>
      <c r="AB6" s="7">
        <v>0</v>
      </c>
      <c r="AC6" s="7">
        <v>1</v>
      </c>
      <c r="AD6" s="7">
        <v>1</v>
      </c>
      <c r="AE6" s="136" t="s">
        <v>83</v>
      </c>
      <c r="AF6" s="136" t="s">
        <v>83</v>
      </c>
      <c r="AG6" s="136" t="s">
        <v>83</v>
      </c>
      <c r="AH6" s="136" t="s">
        <v>83</v>
      </c>
      <c r="AI6" s="7"/>
      <c r="AJ6" s="7"/>
      <c r="AK6" s="7">
        <v>0</v>
      </c>
      <c r="AL6" s="7">
        <v>0</v>
      </c>
      <c r="AM6" s="136" t="s">
        <v>83</v>
      </c>
      <c r="AN6" s="7"/>
      <c r="AO6" s="7"/>
      <c r="AP6" s="7">
        <v>1</v>
      </c>
    </row>
    <row r="7" spans="1:42">
      <c r="A7" s="116"/>
      <c r="B7" s="7" t="str">
        <f>装备!B7</f>
        <v>E005</v>
      </c>
      <c r="C7" s="7" t="s">
        <v>41</v>
      </c>
      <c r="D7" s="7" t="s">
        <v>81</v>
      </c>
      <c r="E7" s="7" t="s">
        <v>82</v>
      </c>
      <c r="F7" s="7"/>
      <c r="G7" s="7"/>
      <c r="H7" s="7" t="str">
        <f>VLOOKUP(LEFT(RIGHT(B7,5),4),装备!B:CU,2,FALSE)</f>
        <v>[武器]古纹剑lv5</v>
      </c>
      <c r="I7" s="7" t="str">
        <f>VLOOKUP(B7,装备!B:CV,99,FALSE)</f>
        <v>|Cffbbbbbb属性：|r|n攻击+8000|n|n|Cff00ff7f点击消耗2000金币进行晋阶挑战</v>
      </c>
      <c r="J7" s="118" t="str">
        <f t="shared" si="2"/>
        <v>[武器]古纹剑lv5</v>
      </c>
      <c r="K7" s="118" t="str">
        <f t="shared" si="3"/>
        <v>|Cffbbbbbb属性：|r|n攻击+8000|n|n|Cff00ff7f点击消耗2000金币进行晋阶挑战</v>
      </c>
      <c r="L7" s="7"/>
      <c r="M7" s="119" t="str">
        <f>VLOOKUP(LEFT(RIGHT(B7,5),4),装备!B:CU,20,FALSE)</f>
        <v>ReplaceableTextures\\CommandButtons\\BTNZ01.blp</v>
      </c>
      <c r="N7" s="136" t="s">
        <v>83</v>
      </c>
      <c r="O7" s="137" t="s">
        <v>84</v>
      </c>
      <c r="P7" s="7">
        <v>0</v>
      </c>
      <c r="Q7" s="7">
        <v>0</v>
      </c>
      <c r="R7" s="136" t="s">
        <v>83</v>
      </c>
      <c r="S7" s="136" t="s">
        <v>83</v>
      </c>
      <c r="T7" s="136" t="s">
        <v>83</v>
      </c>
      <c r="U7" s="136" t="s">
        <v>83</v>
      </c>
      <c r="V7" s="7"/>
      <c r="W7" s="7" t="s">
        <v>85</v>
      </c>
      <c r="X7" s="7">
        <v>0</v>
      </c>
      <c r="Y7" s="136" t="s">
        <v>83</v>
      </c>
      <c r="Z7" s="7">
        <v>0</v>
      </c>
      <c r="AA7" s="7">
        <v>0</v>
      </c>
      <c r="AB7" s="7">
        <v>0</v>
      </c>
      <c r="AC7" s="7">
        <v>1</v>
      </c>
      <c r="AD7" s="7">
        <v>1</v>
      </c>
      <c r="AE7" s="136" t="s">
        <v>83</v>
      </c>
      <c r="AF7" s="136" t="s">
        <v>83</v>
      </c>
      <c r="AG7" s="136" t="s">
        <v>83</v>
      </c>
      <c r="AH7" s="136" t="s">
        <v>83</v>
      </c>
      <c r="AI7" s="7"/>
      <c r="AJ7" s="7"/>
      <c r="AK7" s="7">
        <v>0</v>
      </c>
      <c r="AL7" s="7">
        <v>0</v>
      </c>
      <c r="AM7" s="136" t="s">
        <v>83</v>
      </c>
      <c r="AN7" s="7"/>
      <c r="AO7" s="7"/>
      <c r="AP7" s="7">
        <v>1</v>
      </c>
    </row>
    <row r="8" spans="1:42">
      <c r="A8" s="116"/>
      <c r="B8" s="7" t="str">
        <f>装备!B8</f>
        <v>E006</v>
      </c>
      <c r="C8" s="7" t="s">
        <v>41</v>
      </c>
      <c r="D8" s="7" t="s">
        <v>81</v>
      </c>
      <c r="E8" s="7" t="s">
        <v>82</v>
      </c>
      <c r="F8" s="7"/>
      <c r="G8" s="7"/>
      <c r="H8" s="7" t="str">
        <f>VLOOKUP(LEFT(RIGHT(B8,5),4),装备!B:CU,2,FALSE)</f>
        <v>|Cff00FF7F[武器]鱼肠剑lv1|r</v>
      </c>
      <c r="I8" s="7" t="str">
        <f>VLOOKUP(B8,装备!B:CV,99,FALSE)</f>
        <v>|Cffbbbbbb属性：|r|n攻击+12000|n暴击+5%|n暴伤+100%|n伤害吸取+1%|n|n|Cff00ff7f点击消耗1000金币进行强化|n成功率90%</v>
      </c>
      <c r="J8" s="118" t="str">
        <f t="shared" ref="J8:J18" si="4">H8</f>
        <v>|Cff00FF7F[武器]鱼肠剑lv1|r</v>
      </c>
      <c r="K8" s="118" t="str">
        <f t="shared" ref="K8:K18" si="5">I8</f>
        <v>|Cffbbbbbb属性：|r|n攻击+12000|n暴击+5%|n暴伤+100%|n伤害吸取+1%|n|n|Cff00ff7f点击消耗1000金币进行强化|n成功率90%</v>
      </c>
      <c r="L8" s="7"/>
      <c r="M8" s="119" t="str">
        <f>VLOOKUP(LEFT(RIGHT(B8,5),4),装备!B:CU,20,FALSE)</f>
        <v>ReplaceableTextures\\CommandButtons\\BTNZ02.blp</v>
      </c>
      <c r="N8" s="136" t="s">
        <v>83</v>
      </c>
      <c r="O8" s="137" t="s">
        <v>84</v>
      </c>
      <c r="P8" s="7">
        <v>0</v>
      </c>
      <c r="Q8" s="7">
        <v>0</v>
      </c>
      <c r="R8" s="136" t="s">
        <v>83</v>
      </c>
      <c r="S8" s="136" t="s">
        <v>83</v>
      </c>
      <c r="T8" s="136" t="s">
        <v>83</v>
      </c>
      <c r="U8" s="136" t="s">
        <v>83</v>
      </c>
      <c r="V8" s="7"/>
      <c r="W8" s="7" t="s">
        <v>85</v>
      </c>
      <c r="X8" s="7">
        <v>0</v>
      </c>
      <c r="Y8" s="136" t="s">
        <v>83</v>
      </c>
      <c r="Z8" s="7">
        <v>0</v>
      </c>
      <c r="AA8" s="7">
        <v>0</v>
      </c>
      <c r="AB8" s="7">
        <v>0</v>
      </c>
      <c r="AC8" s="7">
        <v>1</v>
      </c>
      <c r="AD8" s="7">
        <v>1</v>
      </c>
      <c r="AE8" s="136" t="s">
        <v>83</v>
      </c>
      <c r="AF8" s="136" t="s">
        <v>83</v>
      </c>
      <c r="AG8" s="136" t="s">
        <v>83</v>
      </c>
      <c r="AH8" s="136" t="s">
        <v>83</v>
      </c>
      <c r="AI8" s="7"/>
      <c r="AJ8" s="7"/>
      <c r="AK8" s="7">
        <v>0</v>
      </c>
      <c r="AL8" s="7">
        <v>0</v>
      </c>
      <c r="AM8" s="136" t="s">
        <v>83</v>
      </c>
      <c r="AN8" s="7"/>
      <c r="AO8" s="7"/>
      <c r="AP8" s="7">
        <v>1</v>
      </c>
    </row>
    <row r="9" spans="1:42">
      <c r="A9" s="116"/>
      <c r="B9" s="7" t="str">
        <f>装备!B9</f>
        <v>E007</v>
      </c>
      <c r="C9" s="7" t="s">
        <v>41</v>
      </c>
      <c r="D9" s="7" t="s">
        <v>81</v>
      </c>
      <c r="E9" s="7" t="s">
        <v>82</v>
      </c>
      <c r="F9" s="7"/>
      <c r="G9" s="7"/>
      <c r="H9" s="7" t="str">
        <f>VLOOKUP(LEFT(RIGHT(B9,5),4),装备!B:CU,2,FALSE)</f>
        <v>|Cff00FF7F[武器]鱼肠剑lv2|r</v>
      </c>
      <c r="I9" s="7" t="str">
        <f>VLOOKUP(B9,装备!B:CV,99,FALSE)</f>
        <v>|Cffbbbbbb属性：|r|n攻击+16000|n暴击+5%|n暴伤+100%|n伤害吸取+1%|n|n|Cff00ff7f点击消耗1000金币进行强化|n成功率90%</v>
      </c>
      <c r="J9" s="118" t="str">
        <f t="shared" si="4"/>
        <v>|Cff00FF7F[武器]鱼肠剑lv2|r</v>
      </c>
      <c r="K9" s="118" t="str">
        <f t="shared" si="5"/>
        <v>|Cffbbbbbb属性：|r|n攻击+16000|n暴击+5%|n暴伤+100%|n伤害吸取+1%|n|n|Cff00ff7f点击消耗1000金币进行强化|n成功率90%</v>
      </c>
      <c r="L9" s="7"/>
      <c r="M9" s="119" t="str">
        <f>VLOOKUP(LEFT(RIGHT(B9,5),4),装备!B:CU,20,FALSE)</f>
        <v>ReplaceableTextures\\CommandButtons\\BTNZ02.blp</v>
      </c>
      <c r="N9" s="136" t="s">
        <v>83</v>
      </c>
      <c r="O9" s="137" t="s">
        <v>84</v>
      </c>
      <c r="P9" s="7">
        <v>0</v>
      </c>
      <c r="Q9" s="7">
        <v>0</v>
      </c>
      <c r="R9" s="136" t="s">
        <v>83</v>
      </c>
      <c r="S9" s="136" t="s">
        <v>83</v>
      </c>
      <c r="T9" s="136" t="s">
        <v>83</v>
      </c>
      <c r="U9" s="136" t="s">
        <v>83</v>
      </c>
      <c r="V9" s="7"/>
      <c r="W9" s="7" t="s">
        <v>85</v>
      </c>
      <c r="X9" s="7">
        <v>0</v>
      </c>
      <c r="Y9" s="136" t="s">
        <v>83</v>
      </c>
      <c r="Z9" s="7">
        <v>0</v>
      </c>
      <c r="AA9" s="7">
        <v>0</v>
      </c>
      <c r="AB9" s="7">
        <v>0</v>
      </c>
      <c r="AC9" s="7">
        <v>1</v>
      </c>
      <c r="AD9" s="7">
        <v>1</v>
      </c>
      <c r="AE9" s="136" t="s">
        <v>83</v>
      </c>
      <c r="AF9" s="136" t="s">
        <v>83</v>
      </c>
      <c r="AG9" s="136" t="s">
        <v>83</v>
      </c>
      <c r="AH9" s="136" t="s">
        <v>83</v>
      </c>
      <c r="AI9" s="7"/>
      <c r="AJ9" s="7"/>
      <c r="AK9" s="7">
        <v>0</v>
      </c>
      <c r="AL9" s="7">
        <v>0</v>
      </c>
      <c r="AM9" s="136" t="s">
        <v>83</v>
      </c>
      <c r="AN9" s="7"/>
      <c r="AO9" s="7"/>
      <c r="AP9" s="7">
        <v>1</v>
      </c>
    </row>
    <row r="10" spans="1:42">
      <c r="A10" s="116"/>
      <c r="B10" s="7" t="str">
        <f>装备!B10</f>
        <v>E008</v>
      </c>
      <c r="C10" s="7" t="s">
        <v>41</v>
      </c>
      <c r="D10" s="7" t="s">
        <v>81</v>
      </c>
      <c r="E10" s="7" t="s">
        <v>82</v>
      </c>
      <c r="F10" s="7"/>
      <c r="G10" s="7"/>
      <c r="H10" s="7" t="str">
        <f>VLOOKUP(LEFT(RIGHT(B10,5),4),装备!B:CU,2,FALSE)</f>
        <v>|Cff00FF7F[武器]鱼肠剑lv3|r</v>
      </c>
      <c r="I10" s="7" t="str">
        <f>VLOOKUP(B10,装备!B:CV,99,FALSE)</f>
        <v>|Cffbbbbbb属性：|r|n攻击+20000|n暴击+5%|n暴伤+100%|n伤害吸取+2%|n|n|Cff00ff7f点击消耗1000金币进行强化|n成功率90%</v>
      </c>
      <c r="J10" s="118" t="str">
        <f t="shared" si="4"/>
        <v>|Cff00FF7F[武器]鱼肠剑lv3|r</v>
      </c>
      <c r="K10" s="118" t="str">
        <f t="shared" si="5"/>
        <v>|Cffbbbbbb属性：|r|n攻击+20000|n暴击+5%|n暴伤+100%|n伤害吸取+2%|n|n|Cff00ff7f点击消耗1000金币进行强化|n成功率90%</v>
      </c>
      <c r="L10" s="7"/>
      <c r="M10" s="119" t="str">
        <f>VLOOKUP(LEFT(RIGHT(B10,5),4),装备!B:CU,20,FALSE)</f>
        <v>ReplaceableTextures\\CommandButtons\\BTNZ02.blp</v>
      </c>
      <c r="N10" s="136" t="s">
        <v>83</v>
      </c>
      <c r="O10" s="137" t="s">
        <v>84</v>
      </c>
      <c r="P10" s="7">
        <v>0</v>
      </c>
      <c r="Q10" s="7">
        <v>0</v>
      </c>
      <c r="R10" s="136" t="s">
        <v>83</v>
      </c>
      <c r="S10" s="136" t="s">
        <v>83</v>
      </c>
      <c r="T10" s="136" t="s">
        <v>83</v>
      </c>
      <c r="U10" s="136" t="s">
        <v>83</v>
      </c>
      <c r="V10" s="7"/>
      <c r="W10" s="7" t="s">
        <v>85</v>
      </c>
      <c r="X10" s="7">
        <v>0</v>
      </c>
      <c r="Y10" s="136" t="s">
        <v>83</v>
      </c>
      <c r="Z10" s="7">
        <v>0</v>
      </c>
      <c r="AA10" s="7">
        <v>0</v>
      </c>
      <c r="AB10" s="7">
        <v>0</v>
      </c>
      <c r="AC10" s="7">
        <v>1</v>
      </c>
      <c r="AD10" s="7">
        <v>1</v>
      </c>
      <c r="AE10" s="136" t="s">
        <v>83</v>
      </c>
      <c r="AF10" s="136" t="s">
        <v>83</v>
      </c>
      <c r="AG10" s="136" t="s">
        <v>83</v>
      </c>
      <c r="AH10" s="136" t="s">
        <v>83</v>
      </c>
      <c r="AI10" s="7"/>
      <c r="AJ10" s="7"/>
      <c r="AK10" s="7">
        <v>0</v>
      </c>
      <c r="AL10" s="7">
        <v>0</v>
      </c>
      <c r="AM10" s="136" t="s">
        <v>83</v>
      </c>
      <c r="AN10" s="7"/>
      <c r="AO10" s="7"/>
      <c r="AP10" s="7">
        <v>1</v>
      </c>
    </row>
    <row r="11" spans="1:42">
      <c r="A11" s="116"/>
      <c r="B11" s="7" t="str">
        <f>装备!B11</f>
        <v>E009</v>
      </c>
      <c r="C11" s="7" t="s">
        <v>41</v>
      </c>
      <c r="D11" s="7" t="s">
        <v>81</v>
      </c>
      <c r="E11" s="7" t="s">
        <v>82</v>
      </c>
      <c r="F11" s="7"/>
      <c r="G11" s="7"/>
      <c r="H11" s="7" t="str">
        <f>VLOOKUP(LEFT(RIGHT(B11,5),4),装备!B:CU,2,FALSE)</f>
        <v>|Cff00FF7F[武器]鱼肠剑lv4|r</v>
      </c>
      <c r="I11" s="7" t="str">
        <f>VLOOKUP(B11,装备!B:CV,99,FALSE)</f>
        <v>|Cffbbbbbb属性：|r|n攻击+24000|n暴击+5%|n暴伤+100%|n伤害吸取+2%|n|n|Cff00ff7f点击消耗1000金币进行强化|n成功率90%</v>
      </c>
      <c r="J11" s="118" t="str">
        <f t="shared" si="4"/>
        <v>|Cff00FF7F[武器]鱼肠剑lv4|r</v>
      </c>
      <c r="K11" s="118" t="str">
        <f t="shared" si="5"/>
        <v>|Cffbbbbbb属性：|r|n攻击+24000|n暴击+5%|n暴伤+100%|n伤害吸取+2%|n|n|Cff00ff7f点击消耗1000金币进行强化|n成功率90%</v>
      </c>
      <c r="L11" s="7"/>
      <c r="M11" s="119" t="str">
        <f>VLOOKUP(LEFT(RIGHT(B11,5),4),装备!B:CU,20,FALSE)</f>
        <v>ReplaceableTextures\\CommandButtons\\BTNZ02.blp</v>
      </c>
      <c r="N11" s="136" t="s">
        <v>83</v>
      </c>
      <c r="O11" s="137" t="s">
        <v>84</v>
      </c>
      <c r="P11" s="7">
        <v>0</v>
      </c>
      <c r="Q11" s="7">
        <v>0</v>
      </c>
      <c r="R11" s="136" t="s">
        <v>83</v>
      </c>
      <c r="S11" s="136" t="s">
        <v>83</v>
      </c>
      <c r="T11" s="136" t="s">
        <v>83</v>
      </c>
      <c r="U11" s="136" t="s">
        <v>83</v>
      </c>
      <c r="V11" s="7"/>
      <c r="W11" s="7" t="s">
        <v>85</v>
      </c>
      <c r="X11" s="7">
        <v>0</v>
      </c>
      <c r="Y11" s="136" t="s">
        <v>83</v>
      </c>
      <c r="Z11" s="7">
        <v>0</v>
      </c>
      <c r="AA11" s="7">
        <v>0</v>
      </c>
      <c r="AB11" s="7">
        <v>0</v>
      </c>
      <c r="AC11" s="7">
        <v>1</v>
      </c>
      <c r="AD11" s="7">
        <v>1</v>
      </c>
      <c r="AE11" s="136" t="s">
        <v>83</v>
      </c>
      <c r="AF11" s="136" t="s">
        <v>83</v>
      </c>
      <c r="AG11" s="136" t="s">
        <v>83</v>
      </c>
      <c r="AH11" s="136" t="s">
        <v>83</v>
      </c>
      <c r="AI11" s="7"/>
      <c r="AJ11" s="7"/>
      <c r="AK11" s="7">
        <v>0</v>
      </c>
      <c r="AL11" s="7">
        <v>0</v>
      </c>
      <c r="AM11" s="136" t="s">
        <v>83</v>
      </c>
      <c r="AN11" s="7"/>
      <c r="AO11" s="7"/>
      <c r="AP11" s="7">
        <v>1</v>
      </c>
    </row>
    <row r="12" spans="1:42">
      <c r="A12" s="116"/>
      <c r="B12" s="7" t="str">
        <f>装备!B12</f>
        <v>E010</v>
      </c>
      <c r="C12" s="7" t="s">
        <v>41</v>
      </c>
      <c r="D12" s="7" t="s">
        <v>81</v>
      </c>
      <c r="E12" s="7" t="s">
        <v>82</v>
      </c>
      <c r="F12" s="7"/>
      <c r="G12" s="7"/>
      <c r="H12" s="7" t="str">
        <f>VLOOKUP(LEFT(RIGHT(B12,5),4),装备!B:CU,2,FALSE)</f>
        <v>|Cff00FF7F[武器]鱼肠剑lv5|r</v>
      </c>
      <c r="I12" s="7" t="str">
        <f>VLOOKUP(B12,装备!B:CV,99,FALSE)</f>
        <v>|Cffbbbbbb属性：|r|n攻击+28000|n暴击+5%|n暴伤+100%|n伤害吸取+2%|n|n|Cff00ff7f点击消耗6000金币进行晋阶挑战</v>
      </c>
      <c r="J12" s="118" t="str">
        <f t="shared" si="4"/>
        <v>|Cff00FF7F[武器]鱼肠剑lv5|r</v>
      </c>
      <c r="K12" s="118" t="str">
        <f t="shared" si="5"/>
        <v>|Cffbbbbbb属性：|r|n攻击+28000|n暴击+5%|n暴伤+100%|n伤害吸取+2%|n|n|Cff00ff7f点击消耗6000金币进行晋阶挑战</v>
      </c>
      <c r="L12" s="7"/>
      <c r="M12" s="119" t="str">
        <f>VLOOKUP(LEFT(RIGHT(B12,5),4),装备!B:CU,20,FALSE)</f>
        <v>ReplaceableTextures\\CommandButtons\\BTNZ02.blp</v>
      </c>
      <c r="N12" s="136" t="s">
        <v>83</v>
      </c>
      <c r="O12" s="137" t="s">
        <v>84</v>
      </c>
      <c r="P12" s="7">
        <v>0</v>
      </c>
      <c r="Q12" s="7">
        <v>0</v>
      </c>
      <c r="R12" s="136" t="s">
        <v>83</v>
      </c>
      <c r="S12" s="136" t="s">
        <v>83</v>
      </c>
      <c r="T12" s="136" t="s">
        <v>83</v>
      </c>
      <c r="U12" s="136" t="s">
        <v>83</v>
      </c>
      <c r="V12" s="7"/>
      <c r="W12" s="7" t="s">
        <v>85</v>
      </c>
      <c r="X12" s="7">
        <v>0</v>
      </c>
      <c r="Y12" s="136" t="s">
        <v>83</v>
      </c>
      <c r="Z12" s="7">
        <v>0</v>
      </c>
      <c r="AA12" s="7">
        <v>0</v>
      </c>
      <c r="AB12" s="7">
        <v>0</v>
      </c>
      <c r="AC12" s="7">
        <v>1</v>
      </c>
      <c r="AD12" s="7">
        <v>1</v>
      </c>
      <c r="AE12" s="136" t="s">
        <v>83</v>
      </c>
      <c r="AF12" s="136" t="s">
        <v>83</v>
      </c>
      <c r="AG12" s="136" t="s">
        <v>83</v>
      </c>
      <c r="AH12" s="136" t="s">
        <v>83</v>
      </c>
      <c r="AI12" s="7"/>
      <c r="AJ12" s="7"/>
      <c r="AK12" s="7">
        <v>0</v>
      </c>
      <c r="AL12" s="7">
        <v>0</v>
      </c>
      <c r="AM12" s="136" t="s">
        <v>83</v>
      </c>
      <c r="AN12" s="7"/>
      <c r="AO12" s="7"/>
      <c r="AP12" s="7">
        <v>1</v>
      </c>
    </row>
    <row r="13" spans="1:42">
      <c r="A13" s="116"/>
      <c r="B13" s="7" t="str">
        <f>装备!B13</f>
        <v>E011</v>
      </c>
      <c r="C13" s="7" t="s">
        <v>41</v>
      </c>
      <c r="D13" s="7" t="s">
        <v>81</v>
      </c>
      <c r="E13" s="7" t="s">
        <v>82</v>
      </c>
      <c r="F13" s="7"/>
      <c r="G13" s="7"/>
      <c r="H13" s="7" t="str">
        <f>VLOOKUP(LEFT(RIGHT(B13,5),4),装备!B:CU,2,FALSE)</f>
        <v>|Cff00BFFF[武器]太阿剑lv1|r</v>
      </c>
      <c r="I13" s="7" t="str">
        <f>VLOOKUP(B13,装备!B:CV,99,FALSE)</f>
        <v>|Cffbbbbbb属性：|r|n攻击+60000|n暴击+6%|n暴伤+200%|n伤害吸取+3%|n|n|Cff00ff7f点击消耗3000金币进行强化|n成功率80%</v>
      </c>
      <c r="J13" s="118" t="str">
        <f t="shared" si="4"/>
        <v>|Cff00BFFF[武器]太阿剑lv1|r</v>
      </c>
      <c r="K13" s="118" t="str">
        <f t="shared" si="5"/>
        <v>|Cffbbbbbb属性：|r|n攻击+60000|n暴击+6%|n暴伤+200%|n伤害吸取+3%|n|n|Cff00ff7f点击消耗3000金币进行强化|n成功率80%</v>
      </c>
      <c r="L13" s="7"/>
      <c r="M13" s="119" t="str">
        <f>VLOOKUP(LEFT(RIGHT(B13,5),4),装备!B:CU,20,FALSE)</f>
        <v>ReplaceableTextures\\CommandButtons\\BTNZ03.blp</v>
      </c>
      <c r="N13" s="136" t="s">
        <v>83</v>
      </c>
      <c r="O13" s="137" t="s">
        <v>84</v>
      </c>
      <c r="P13" s="7">
        <v>0</v>
      </c>
      <c r="Q13" s="7">
        <v>0</v>
      </c>
      <c r="R13" s="136" t="s">
        <v>83</v>
      </c>
      <c r="S13" s="136" t="s">
        <v>83</v>
      </c>
      <c r="T13" s="136" t="s">
        <v>83</v>
      </c>
      <c r="U13" s="136" t="s">
        <v>83</v>
      </c>
      <c r="V13" s="7"/>
      <c r="W13" s="7" t="s">
        <v>85</v>
      </c>
      <c r="X13" s="7">
        <v>0</v>
      </c>
      <c r="Y13" s="136" t="s">
        <v>83</v>
      </c>
      <c r="Z13" s="7">
        <v>0</v>
      </c>
      <c r="AA13" s="7">
        <v>0</v>
      </c>
      <c r="AB13" s="7">
        <v>0</v>
      </c>
      <c r="AC13" s="7">
        <v>1</v>
      </c>
      <c r="AD13" s="7">
        <v>1</v>
      </c>
      <c r="AE13" s="136" t="s">
        <v>83</v>
      </c>
      <c r="AF13" s="136" t="s">
        <v>83</v>
      </c>
      <c r="AG13" s="136" t="s">
        <v>83</v>
      </c>
      <c r="AH13" s="136" t="s">
        <v>83</v>
      </c>
      <c r="AI13" s="7"/>
      <c r="AJ13" s="7"/>
      <c r="AK13" s="7">
        <v>0</v>
      </c>
      <c r="AL13" s="7">
        <v>0</v>
      </c>
      <c r="AM13" s="136" t="s">
        <v>83</v>
      </c>
      <c r="AN13" s="7"/>
      <c r="AO13" s="7"/>
      <c r="AP13" s="7">
        <v>1</v>
      </c>
    </row>
    <row r="14" spans="1:42">
      <c r="A14" s="116"/>
      <c r="B14" s="7" t="str">
        <f>装备!B14</f>
        <v>E012</v>
      </c>
      <c r="C14" s="7" t="s">
        <v>41</v>
      </c>
      <c r="D14" s="7" t="s">
        <v>81</v>
      </c>
      <c r="E14" s="7" t="s">
        <v>82</v>
      </c>
      <c r="F14" s="7"/>
      <c r="G14" s="7"/>
      <c r="H14" s="7" t="str">
        <f>VLOOKUP(LEFT(RIGHT(B14,5),4),装备!B:CU,2,FALSE)</f>
        <v>|Cff00BFFF[武器]太阿剑lv2|r</v>
      </c>
      <c r="I14" s="7" t="str">
        <f>VLOOKUP(B14,装备!B:CV,99,FALSE)</f>
        <v>|Cffbbbbbb属性：|r|n攻击+80000|n暴击+6%|n暴伤+200%|n伤害吸取+3%|n|n|Cff00ff7f点击消耗3000金币进行强化|n成功率80%</v>
      </c>
      <c r="J14" s="118" t="str">
        <f t="shared" si="4"/>
        <v>|Cff00BFFF[武器]太阿剑lv2|r</v>
      </c>
      <c r="K14" s="118" t="str">
        <f t="shared" si="5"/>
        <v>|Cffbbbbbb属性：|r|n攻击+80000|n暴击+6%|n暴伤+200%|n伤害吸取+3%|n|n|Cff00ff7f点击消耗3000金币进行强化|n成功率80%</v>
      </c>
      <c r="L14" s="7"/>
      <c r="M14" s="119" t="str">
        <f>VLOOKUP(LEFT(RIGHT(B14,5),4),装备!B:CU,20,FALSE)</f>
        <v>ReplaceableTextures\\CommandButtons\\BTNZ03.blp</v>
      </c>
      <c r="N14" s="136" t="s">
        <v>83</v>
      </c>
      <c r="O14" s="137" t="s">
        <v>84</v>
      </c>
      <c r="P14" s="7">
        <v>0</v>
      </c>
      <c r="Q14" s="7">
        <v>0</v>
      </c>
      <c r="R14" s="136" t="s">
        <v>83</v>
      </c>
      <c r="S14" s="136" t="s">
        <v>83</v>
      </c>
      <c r="T14" s="136" t="s">
        <v>83</v>
      </c>
      <c r="U14" s="136" t="s">
        <v>83</v>
      </c>
      <c r="V14" s="7"/>
      <c r="W14" s="7" t="s">
        <v>85</v>
      </c>
      <c r="X14" s="7">
        <v>0</v>
      </c>
      <c r="Y14" s="136" t="s">
        <v>83</v>
      </c>
      <c r="Z14" s="7">
        <v>0</v>
      </c>
      <c r="AA14" s="7">
        <v>0</v>
      </c>
      <c r="AB14" s="7">
        <v>0</v>
      </c>
      <c r="AC14" s="7">
        <v>1</v>
      </c>
      <c r="AD14" s="7">
        <v>1</v>
      </c>
      <c r="AE14" s="136" t="s">
        <v>83</v>
      </c>
      <c r="AF14" s="136" t="s">
        <v>83</v>
      </c>
      <c r="AG14" s="136" t="s">
        <v>83</v>
      </c>
      <c r="AH14" s="136" t="s">
        <v>83</v>
      </c>
      <c r="AI14" s="7"/>
      <c r="AJ14" s="7"/>
      <c r="AK14" s="7">
        <v>0</v>
      </c>
      <c r="AL14" s="7">
        <v>0</v>
      </c>
      <c r="AM14" s="136" t="s">
        <v>83</v>
      </c>
      <c r="AN14" s="7"/>
      <c r="AO14" s="7"/>
      <c r="AP14" s="7">
        <v>1</v>
      </c>
    </row>
    <row r="15" spans="1:42">
      <c r="A15" s="116"/>
      <c r="B15" s="7" t="str">
        <f>装备!B15</f>
        <v>E013</v>
      </c>
      <c r="C15" s="7" t="s">
        <v>41</v>
      </c>
      <c r="D15" s="7" t="s">
        <v>81</v>
      </c>
      <c r="E15" s="7" t="s">
        <v>82</v>
      </c>
      <c r="F15" s="7"/>
      <c r="G15" s="7"/>
      <c r="H15" s="7" t="str">
        <f>VLOOKUP(LEFT(RIGHT(B15,5),4),装备!B:CU,2,FALSE)</f>
        <v>|Cff00BFFF[武器]太阿剑lv3|r</v>
      </c>
      <c r="I15" s="7" t="str">
        <f>VLOOKUP(B15,装备!B:CV,99,FALSE)</f>
        <v>|Cffbbbbbb属性：|r|n攻击+100000|n暴击+6%|n暴伤+200%|n伤害吸取+3%|n|n|Cff00ff7f点击消耗3000金币进行强化|n成功率80%</v>
      </c>
      <c r="J15" s="118" t="str">
        <f t="shared" si="4"/>
        <v>|Cff00BFFF[武器]太阿剑lv3|r</v>
      </c>
      <c r="K15" s="118" t="str">
        <f t="shared" si="5"/>
        <v>|Cffbbbbbb属性：|r|n攻击+100000|n暴击+6%|n暴伤+200%|n伤害吸取+3%|n|n|Cff00ff7f点击消耗3000金币进行强化|n成功率80%</v>
      </c>
      <c r="L15" s="7"/>
      <c r="M15" s="119" t="str">
        <f>VLOOKUP(LEFT(RIGHT(B15,5),4),装备!B:CU,20,FALSE)</f>
        <v>ReplaceableTextures\\CommandButtons\\BTNZ03.blp</v>
      </c>
      <c r="N15" s="136" t="s">
        <v>83</v>
      </c>
      <c r="O15" s="137" t="s">
        <v>84</v>
      </c>
      <c r="P15" s="7">
        <v>0</v>
      </c>
      <c r="Q15" s="7">
        <v>0</v>
      </c>
      <c r="R15" s="136" t="s">
        <v>83</v>
      </c>
      <c r="S15" s="136" t="s">
        <v>83</v>
      </c>
      <c r="T15" s="136" t="s">
        <v>83</v>
      </c>
      <c r="U15" s="136" t="s">
        <v>83</v>
      </c>
      <c r="V15" s="7"/>
      <c r="W15" s="7" t="s">
        <v>85</v>
      </c>
      <c r="X15" s="7">
        <v>0</v>
      </c>
      <c r="Y15" s="136" t="s">
        <v>83</v>
      </c>
      <c r="Z15" s="7">
        <v>0</v>
      </c>
      <c r="AA15" s="7">
        <v>0</v>
      </c>
      <c r="AB15" s="7">
        <v>0</v>
      </c>
      <c r="AC15" s="7">
        <v>1</v>
      </c>
      <c r="AD15" s="7">
        <v>1</v>
      </c>
      <c r="AE15" s="136" t="s">
        <v>83</v>
      </c>
      <c r="AF15" s="136" t="s">
        <v>83</v>
      </c>
      <c r="AG15" s="136" t="s">
        <v>83</v>
      </c>
      <c r="AH15" s="136" t="s">
        <v>83</v>
      </c>
      <c r="AI15" s="7"/>
      <c r="AJ15" s="7"/>
      <c r="AK15" s="7">
        <v>0</v>
      </c>
      <c r="AL15" s="7">
        <v>0</v>
      </c>
      <c r="AM15" s="136" t="s">
        <v>83</v>
      </c>
      <c r="AN15" s="7"/>
      <c r="AO15" s="7"/>
      <c r="AP15" s="7">
        <v>1</v>
      </c>
    </row>
    <row r="16" spans="1:42">
      <c r="A16" s="116"/>
      <c r="B16" s="7" t="str">
        <f>装备!B16</f>
        <v>E014</v>
      </c>
      <c r="C16" s="7" t="s">
        <v>41</v>
      </c>
      <c r="D16" s="7" t="s">
        <v>81</v>
      </c>
      <c r="E16" s="7" t="s">
        <v>82</v>
      </c>
      <c r="F16" s="7"/>
      <c r="G16" s="7"/>
      <c r="H16" s="7" t="str">
        <f>VLOOKUP(LEFT(RIGHT(B16,5),4),装备!B:CU,2,FALSE)</f>
        <v>|Cff00BFFF[武器]太阿剑lv4|r</v>
      </c>
      <c r="I16" s="7" t="str">
        <f>VLOOKUP(B16,装备!B:CV,99,FALSE)</f>
        <v>|Cffbbbbbb属性：|r|n攻击+120000|n暴击+6%|n暴伤+200%|n伤害吸取+3%|n|n|Cff00ff7f点击消耗3000金币进行强化|n成功率80%</v>
      </c>
      <c r="J16" s="118" t="str">
        <f t="shared" si="4"/>
        <v>|Cff00BFFF[武器]太阿剑lv4|r</v>
      </c>
      <c r="K16" s="118" t="str">
        <f t="shared" si="5"/>
        <v>|Cffbbbbbb属性：|r|n攻击+120000|n暴击+6%|n暴伤+200%|n伤害吸取+3%|n|n|Cff00ff7f点击消耗3000金币进行强化|n成功率80%</v>
      </c>
      <c r="L16" s="7"/>
      <c r="M16" s="119" t="str">
        <f>VLOOKUP(LEFT(RIGHT(B16,5),4),装备!B:CU,20,FALSE)</f>
        <v>ReplaceableTextures\\CommandButtons\\BTNZ03.blp</v>
      </c>
      <c r="N16" s="136" t="s">
        <v>83</v>
      </c>
      <c r="O16" s="137" t="s">
        <v>84</v>
      </c>
      <c r="P16" s="7">
        <v>0</v>
      </c>
      <c r="Q16" s="7">
        <v>0</v>
      </c>
      <c r="R16" s="136" t="s">
        <v>83</v>
      </c>
      <c r="S16" s="136" t="s">
        <v>83</v>
      </c>
      <c r="T16" s="136" t="s">
        <v>83</v>
      </c>
      <c r="U16" s="136" t="s">
        <v>83</v>
      </c>
      <c r="V16" s="7"/>
      <c r="W16" s="7" t="s">
        <v>85</v>
      </c>
      <c r="X16" s="7">
        <v>0</v>
      </c>
      <c r="Y16" s="136" t="s">
        <v>83</v>
      </c>
      <c r="Z16" s="7">
        <v>0</v>
      </c>
      <c r="AA16" s="7">
        <v>0</v>
      </c>
      <c r="AB16" s="7">
        <v>0</v>
      </c>
      <c r="AC16" s="7">
        <v>1</v>
      </c>
      <c r="AD16" s="7">
        <v>1</v>
      </c>
      <c r="AE16" s="136" t="s">
        <v>83</v>
      </c>
      <c r="AF16" s="136" t="s">
        <v>83</v>
      </c>
      <c r="AG16" s="136" t="s">
        <v>83</v>
      </c>
      <c r="AH16" s="136" t="s">
        <v>83</v>
      </c>
      <c r="AI16" s="7"/>
      <c r="AJ16" s="7"/>
      <c r="AK16" s="7">
        <v>0</v>
      </c>
      <c r="AL16" s="7">
        <v>0</v>
      </c>
      <c r="AM16" s="136" t="s">
        <v>83</v>
      </c>
      <c r="AN16" s="7"/>
      <c r="AO16" s="7"/>
      <c r="AP16" s="7">
        <v>1</v>
      </c>
    </row>
    <row r="17" spans="1:42">
      <c r="A17" s="116"/>
      <c r="B17" s="7" t="str">
        <f>装备!B17</f>
        <v>E015</v>
      </c>
      <c r="C17" s="7" t="s">
        <v>41</v>
      </c>
      <c r="D17" s="7" t="s">
        <v>81</v>
      </c>
      <c r="E17" s="7" t="s">
        <v>82</v>
      </c>
      <c r="F17" s="7"/>
      <c r="G17" s="7"/>
      <c r="H17" s="7" t="str">
        <f>VLOOKUP(LEFT(RIGHT(B17,5),4),装备!B:CU,2,FALSE)</f>
        <v>|Cff00BFFF[武器]太阿剑lv5|r</v>
      </c>
      <c r="I17" s="7" t="str">
        <f>VLOOKUP(B17,装备!B:CV,99,FALSE)</f>
        <v>|Cffbbbbbb属性：|r|n攻击+140000|n暴击+6%|n暴伤+200%|n伤害吸取+3%|n|n|Cff00ff7f点击消耗15000金币进行晋阶挑战</v>
      </c>
      <c r="J17" s="118" t="str">
        <f t="shared" si="4"/>
        <v>|Cff00BFFF[武器]太阿剑lv5|r</v>
      </c>
      <c r="K17" s="118" t="str">
        <f t="shared" si="5"/>
        <v>|Cffbbbbbb属性：|r|n攻击+140000|n暴击+6%|n暴伤+200%|n伤害吸取+3%|n|n|Cff00ff7f点击消耗15000金币进行晋阶挑战</v>
      </c>
      <c r="L17" s="7"/>
      <c r="M17" s="119" t="str">
        <f>VLOOKUP(LEFT(RIGHT(B17,5),4),装备!B:CU,20,FALSE)</f>
        <v>ReplaceableTextures\\CommandButtons\\BTNZ03.blp</v>
      </c>
      <c r="N17" s="136" t="s">
        <v>83</v>
      </c>
      <c r="O17" s="137" t="s">
        <v>84</v>
      </c>
      <c r="P17" s="7">
        <v>0</v>
      </c>
      <c r="Q17" s="7">
        <v>0</v>
      </c>
      <c r="R17" s="136" t="s">
        <v>83</v>
      </c>
      <c r="S17" s="136" t="s">
        <v>83</v>
      </c>
      <c r="T17" s="136" t="s">
        <v>83</v>
      </c>
      <c r="U17" s="136" t="s">
        <v>83</v>
      </c>
      <c r="V17" s="7"/>
      <c r="W17" s="7" t="s">
        <v>85</v>
      </c>
      <c r="X17" s="7">
        <v>0</v>
      </c>
      <c r="Y17" s="136" t="s">
        <v>83</v>
      </c>
      <c r="Z17" s="7">
        <v>0</v>
      </c>
      <c r="AA17" s="7">
        <v>0</v>
      </c>
      <c r="AB17" s="7">
        <v>0</v>
      </c>
      <c r="AC17" s="7">
        <v>1</v>
      </c>
      <c r="AD17" s="7">
        <v>1</v>
      </c>
      <c r="AE17" s="136" t="s">
        <v>83</v>
      </c>
      <c r="AF17" s="136" t="s">
        <v>83</v>
      </c>
      <c r="AG17" s="136" t="s">
        <v>83</v>
      </c>
      <c r="AH17" s="136" t="s">
        <v>83</v>
      </c>
      <c r="AI17" s="7"/>
      <c r="AJ17" s="7"/>
      <c r="AK17" s="7">
        <v>0</v>
      </c>
      <c r="AL17" s="7">
        <v>0</v>
      </c>
      <c r="AM17" s="136" t="s">
        <v>83</v>
      </c>
      <c r="AN17" s="7"/>
      <c r="AO17" s="7"/>
      <c r="AP17" s="7">
        <v>1</v>
      </c>
    </row>
    <row r="18" spans="1:42">
      <c r="A18" s="116"/>
      <c r="B18" s="7" t="str">
        <f>装备!B18</f>
        <v>E016</v>
      </c>
      <c r="C18" s="7" t="s">
        <v>41</v>
      </c>
      <c r="D18" s="7" t="s">
        <v>81</v>
      </c>
      <c r="E18" s="7" t="s">
        <v>82</v>
      </c>
      <c r="F18" s="7"/>
      <c r="G18" s="7"/>
      <c r="H18" s="7" t="str">
        <f>VLOOKUP(LEFT(RIGHT(B18,5),4),装备!B:CU,2,FALSE)</f>
        <v>|CffFFC926[武器]轩辕剑lv1|r</v>
      </c>
      <c r="I18" s="7" t="str">
        <f>VLOOKUP(B18,装备!B:CV,99,FALSE)</f>
        <v>|Cffbbbbbb属性：|r|n攻击+300000|n暴击+7%|n暴伤+300%|n伤害吸取+4%|n|n|Cff00ff7f点击消耗10000金币进行强化|n成功率70%</v>
      </c>
      <c r="J18" s="118" t="str">
        <f t="shared" si="4"/>
        <v>|CffFFC926[武器]轩辕剑lv1|r</v>
      </c>
      <c r="K18" s="118" t="str">
        <f t="shared" si="5"/>
        <v>|Cffbbbbbb属性：|r|n攻击+300000|n暴击+7%|n暴伤+300%|n伤害吸取+4%|n|n|Cff00ff7f点击消耗10000金币进行强化|n成功率70%</v>
      </c>
      <c r="L18" s="7"/>
      <c r="M18" s="119" t="str">
        <f>VLOOKUP(LEFT(RIGHT(B18,5),4),装备!B:CU,20,FALSE)</f>
        <v>ReplaceableTextures\\CommandButtons\\BTNZ04.blp</v>
      </c>
      <c r="N18" s="136" t="s">
        <v>83</v>
      </c>
      <c r="O18" s="137" t="s">
        <v>84</v>
      </c>
      <c r="P18" s="7">
        <v>0</v>
      </c>
      <c r="Q18" s="7">
        <v>0</v>
      </c>
      <c r="R18" s="136" t="s">
        <v>83</v>
      </c>
      <c r="S18" s="136" t="s">
        <v>83</v>
      </c>
      <c r="T18" s="136" t="s">
        <v>83</v>
      </c>
      <c r="U18" s="136" t="s">
        <v>83</v>
      </c>
      <c r="V18" s="7"/>
      <c r="W18" s="7" t="s">
        <v>85</v>
      </c>
      <c r="X18" s="7">
        <v>0</v>
      </c>
      <c r="Y18" s="136" t="s">
        <v>83</v>
      </c>
      <c r="Z18" s="7">
        <v>0</v>
      </c>
      <c r="AA18" s="7">
        <v>0</v>
      </c>
      <c r="AB18" s="7">
        <v>0</v>
      </c>
      <c r="AC18" s="7">
        <v>1</v>
      </c>
      <c r="AD18" s="7">
        <v>1</v>
      </c>
      <c r="AE18" s="136" t="s">
        <v>83</v>
      </c>
      <c r="AF18" s="136" t="s">
        <v>83</v>
      </c>
      <c r="AG18" s="136" t="s">
        <v>83</v>
      </c>
      <c r="AH18" s="136" t="s">
        <v>83</v>
      </c>
      <c r="AI18" s="7"/>
      <c r="AJ18" s="7"/>
      <c r="AK18" s="7">
        <v>0</v>
      </c>
      <c r="AL18" s="7">
        <v>0</v>
      </c>
      <c r="AM18" s="136" t="s">
        <v>83</v>
      </c>
      <c r="AN18" s="7"/>
      <c r="AO18" s="7"/>
      <c r="AP18" s="7">
        <v>1</v>
      </c>
    </row>
    <row r="19" spans="1:42">
      <c r="A19" s="116"/>
      <c r="B19" s="7" t="str">
        <f>装备!B19</f>
        <v>E017</v>
      </c>
      <c r="C19" s="7" t="s">
        <v>41</v>
      </c>
      <c r="D19" s="7" t="s">
        <v>81</v>
      </c>
      <c r="E19" s="7" t="s">
        <v>82</v>
      </c>
      <c r="F19" s="7"/>
      <c r="G19" s="7"/>
      <c r="H19" s="7" t="str">
        <f>VLOOKUP(LEFT(RIGHT(B19,5),4),装备!B:CU,2,FALSE)</f>
        <v>|CffFFC926[武器]轩辕剑lv2|r</v>
      </c>
      <c r="I19" s="7" t="str">
        <f>VLOOKUP(B19,装备!B:CV,99,FALSE)</f>
        <v>|Cffbbbbbb属性：|r|n攻击+350000|n暴击+7%|n暴伤+300%|n伤害吸取+4%|n|n|Cff00ff7f点击消耗10000金币进行强化|n成功率70%</v>
      </c>
      <c r="J19" s="118" t="str">
        <f t="shared" ref="J19:J35" si="6">H19</f>
        <v>|CffFFC926[武器]轩辕剑lv2|r</v>
      </c>
      <c r="K19" s="118" t="str">
        <f t="shared" ref="K19:K35" si="7">I19</f>
        <v>|Cffbbbbbb属性：|r|n攻击+350000|n暴击+7%|n暴伤+300%|n伤害吸取+4%|n|n|Cff00ff7f点击消耗10000金币进行强化|n成功率70%</v>
      </c>
      <c r="L19" s="7"/>
      <c r="M19" s="119" t="str">
        <f>VLOOKUP(LEFT(RIGHT(B19,5),4),装备!B:CU,20,FALSE)</f>
        <v>ReplaceableTextures\\CommandButtons\\BTNZ04.blp</v>
      </c>
      <c r="N19" s="136" t="s">
        <v>83</v>
      </c>
      <c r="O19" s="137" t="s">
        <v>84</v>
      </c>
      <c r="P19" s="7">
        <v>0</v>
      </c>
      <c r="Q19" s="7">
        <v>0</v>
      </c>
      <c r="R19" s="136" t="s">
        <v>83</v>
      </c>
      <c r="S19" s="136" t="s">
        <v>83</v>
      </c>
      <c r="T19" s="136" t="s">
        <v>83</v>
      </c>
      <c r="U19" s="136" t="s">
        <v>83</v>
      </c>
      <c r="V19" s="7"/>
      <c r="W19" s="7" t="s">
        <v>85</v>
      </c>
      <c r="X19" s="7">
        <v>0</v>
      </c>
      <c r="Y19" s="136" t="s">
        <v>83</v>
      </c>
      <c r="Z19" s="7">
        <v>0</v>
      </c>
      <c r="AA19" s="7">
        <v>0</v>
      </c>
      <c r="AB19" s="7">
        <v>0</v>
      </c>
      <c r="AC19" s="7">
        <v>1</v>
      </c>
      <c r="AD19" s="7">
        <v>1</v>
      </c>
      <c r="AE19" s="136" t="s">
        <v>83</v>
      </c>
      <c r="AF19" s="136" t="s">
        <v>83</v>
      </c>
      <c r="AG19" s="136" t="s">
        <v>83</v>
      </c>
      <c r="AH19" s="136" t="s">
        <v>83</v>
      </c>
      <c r="AI19" s="7"/>
      <c r="AJ19" s="7"/>
      <c r="AK19" s="7">
        <v>0</v>
      </c>
      <c r="AL19" s="7">
        <v>0</v>
      </c>
      <c r="AM19" s="136" t="s">
        <v>83</v>
      </c>
      <c r="AN19" s="7"/>
      <c r="AO19" s="7"/>
      <c r="AP19" s="7">
        <v>1</v>
      </c>
    </row>
    <row r="20" spans="1:42">
      <c r="A20" s="116"/>
      <c r="B20" s="7" t="str">
        <f>装备!B20</f>
        <v>E018</v>
      </c>
      <c r="C20" s="7" t="s">
        <v>41</v>
      </c>
      <c r="D20" s="7" t="s">
        <v>81</v>
      </c>
      <c r="E20" s="7" t="s">
        <v>82</v>
      </c>
      <c r="F20" s="7"/>
      <c r="G20" s="7"/>
      <c r="H20" s="7" t="str">
        <f>VLOOKUP(LEFT(RIGHT(B20,5),4),装备!B:CU,2,FALSE)</f>
        <v>|CffFFC926[武器]轩辕剑lv3|r</v>
      </c>
      <c r="I20" s="7" t="str">
        <f>VLOOKUP(B20,装备!B:CV,99,FALSE)</f>
        <v>|Cffbbbbbb属性：|r|n攻击+400000|n暴击+7%|n暴伤+300%|n伤害吸取+4%|n|n|Cff00ff7f点击消耗10000金币进行强化|n成功率70%</v>
      </c>
      <c r="J20" s="118" t="str">
        <f t="shared" si="6"/>
        <v>|CffFFC926[武器]轩辕剑lv3|r</v>
      </c>
      <c r="K20" s="118" t="str">
        <f t="shared" si="7"/>
        <v>|Cffbbbbbb属性：|r|n攻击+400000|n暴击+7%|n暴伤+300%|n伤害吸取+4%|n|n|Cff00ff7f点击消耗10000金币进行强化|n成功率70%</v>
      </c>
      <c r="L20" s="7"/>
      <c r="M20" s="119" t="str">
        <f>VLOOKUP(LEFT(RIGHT(B20,5),4),装备!B:CU,20,FALSE)</f>
        <v>ReplaceableTextures\\CommandButtons\\BTNZ04.blp</v>
      </c>
      <c r="N20" s="136" t="s">
        <v>83</v>
      </c>
      <c r="O20" s="137" t="s">
        <v>84</v>
      </c>
      <c r="P20" s="7">
        <v>0</v>
      </c>
      <c r="Q20" s="7">
        <v>0</v>
      </c>
      <c r="R20" s="136" t="s">
        <v>83</v>
      </c>
      <c r="S20" s="136" t="s">
        <v>83</v>
      </c>
      <c r="T20" s="136" t="s">
        <v>83</v>
      </c>
      <c r="U20" s="136" t="s">
        <v>83</v>
      </c>
      <c r="V20" s="7"/>
      <c r="W20" s="7" t="s">
        <v>85</v>
      </c>
      <c r="X20" s="7">
        <v>0</v>
      </c>
      <c r="Y20" s="136" t="s">
        <v>83</v>
      </c>
      <c r="Z20" s="7">
        <v>0</v>
      </c>
      <c r="AA20" s="7">
        <v>0</v>
      </c>
      <c r="AB20" s="7">
        <v>0</v>
      </c>
      <c r="AC20" s="7">
        <v>1</v>
      </c>
      <c r="AD20" s="7">
        <v>1</v>
      </c>
      <c r="AE20" s="136" t="s">
        <v>83</v>
      </c>
      <c r="AF20" s="136" t="s">
        <v>83</v>
      </c>
      <c r="AG20" s="136" t="s">
        <v>83</v>
      </c>
      <c r="AH20" s="136" t="s">
        <v>83</v>
      </c>
      <c r="AI20" s="7"/>
      <c r="AJ20" s="7"/>
      <c r="AK20" s="7">
        <v>0</v>
      </c>
      <c r="AL20" s="7">
        <v>0</v>
      </c>
      <c r="AM20" s="136" t="s">
        <v>83</v>
      </c>
      <c r="AN20" s="7"/>
      <c r="AO20" s="7"/>
      <c r="AP20" s="7">
        <v>1</v>
      </c>
    </row>
    <row r="21" spans="1:42">
      <c r="A21" s="116"/>
      <c r="B21" s="7" t="str">
        <f>装备!B21</f>
        <v>E019</v>
      </c>
      <c r="C21" s="7" t="s">
        <v>41</v>
      </c>
      <c r="D21" s="7" t="s">
        <v>81</v>
      </c>
      <c r="E21" s="7" t="s">
        <v>82</v>
      </c>
      <c r="F21" s="7"/>
      <c r="G21" s="7"/>
      <c r="H21" s="7" t="str">
        <f>VLOOKUP(LEFT(RIGHT(B21,5),4),装备!B:CU,2,FALSE)</f>
        <v>|CffFFC926[武器]轩辕剑lv4|r</v>
      </c>
      <c r="I21" s="7" t="str">
        <f>VLOOKUP(B21,装备!B:CV,99,FALSE)</f>
        <v>|Cffbbbbbb属性：|r|n攻击+450000|n暴击+7%|n暴伤+300%|n伤害吸取+4%|n|n|Cff00ff7f点击消耗10000金币进行强化|n成功率70%</v>
      </c>
      <c r="J21" s="118" t="str">
        <f t="shared" si="6"/>
        <v>|CffFFC926[武器]轩辕剑lv4|r</v>
      </c>
      <c r="K21" s="118" t="str">
        <f t="shared" si="7"/>
        <v>|Cffbbbbbb属性：|r|n攻击+450000|n暴击+7%|n暴伤+300%|n伤害吸取+4%|n|n|Cff00ff7f点击消耗10000金币进行强化|n成功率70%</v>
      </c>
      <c r="L21" s="7"/>
      <c r="M21" s="119" t="str">
        <f>VLOOKUP(LEFT(RIGHT(B21,5),4),装备!B:CU,20,FALSE)</f>
        <v>ReplaceableTextures\\CommandButtons\\BTNZ04.blp</v>
      </c>
      <c r="N21" s="136" t="s">
        <v>83</v>
      </c>
      <c r="O21" s="137" t="s">
        <v>84</v>
      </c>
      <c r="P21" s="7">
        <v>0</v>
      </c>
      <c r="Q21" s="7">
        <v>0</v>
      </c>
      <c r="R21" s="136" t="s">
        <v>83</v>
      </c>
      <c r="S21" s="136" t="s">
        <v>83</v>
      </c>
      <c r="T21" s="136" t="s">
        <v>83</v>
      </c>
      <c r="U21" s="136" t="s">
        <v>83</v>
      </c>
      <c r="V21" s="7"/>
      <c r="W21" s="7" t="s">
        <v>85</v>
      </c>
      <c r="X21" s="7">
        <v>0</v>
      </c>
      <c r="Y21" s="136" t="s">
        <v>83</v>
      </c>
      <c r="Z21" s="7">
        <v>0</v>
      </c>
      <c r="AA21" s="7">
        <v>0</v>
      </c>
      <c r="AB21" s="7">
        <v>0</v>
      </c>
      <c r="AC21" s="7">
        <v>1</v>
      </c>
      <c r="AD21" s="7">
        <v>1</v>
      </c>
      <c r="AE21" s="136" t="s">
        <v>83</v>
      </c>
      <c r="AF21" s="136" t="s">
        <v>83</v>
      </c>
      <c r="AG21" s="136" t="s">
        <v>83</v>
      </c>
      <c r="AH21" s="136" t="s">
        <v>83</v>
      </c>
      <c r="AI21" s="7"/>
      <c r="AJ21" s="7"/>
      <c r="AK21" s="7">
        <v>0</v>
      </c>
      <c r="AL21" s="7">
        <v>0</v>
      </c>
      <c r="AM21" s="136" t="s">
        <v>83</v>
      </c>
      <c r="AN21" s="7"/>
      <c r="AO21" s="7"/>
      <c r="AP21" s="7">
        <v>1</v>
      </c>
    </row>
    <row r="22" spans="1:42">
      <c r="A22" s="116"/>
      <c r="B22" s="7" t="str">
        <f>装备!B22</f>
        <v>E020</v>
      </c>
      <c r="C22" s="7" t="s">
        <v>41</v>
      </c>
      <c r="D22" s="7" t="s">
        <v>81</v>
      </c>
      <c r="E22" s="7" t="s">
        <v>82</v>
      </c>
      <c r="F22" s="7"/>
      <c r="G22" s="7"/>
      <c r="H22" s="7" t="str">
        <f>VLOOKUP(LEFT(RIGHT(B22,5),4),装备!B:CU,2,FALSE)</f>
        <v>|CffFFC926[武器]轩辕剑lv5|r</v>
      </c>
      <c r="I22" s="7" t="str">
        <f>VLOOKUP(B22,装备!B:CV,99,FALSE)</f>
        <v>|Cffbbbbbb属性：|r|n攻击+550000|n暴击+7%|n暴伤+300%|n伤害吸取+4%|n|n|Cff00ff7f点击消耗30000金币进行晋阶挑战</v>
      </c>
      <c r="J22" s="118" t="str">
        <f t="shared" si="6"/>
        <v>|CffFFC926[武器]轩辕剑lv5|r</v>
      </c>
      <c r="K22" s="118" t="str">
        <f t="shared" si="7"/>
        <v>|Cffbbbbbb属性：|r|n攻击+550000|n暴击+7%|n暴伤+300%|n伤害吸取+4%|n|n|Cff00ff7f点击消耗30000金币进行晋阶挑战</v>
      </c>
      <c r="L22" s="7"/>
      <c r="M22" s="119" t="str">
        <f>VLOOKUP(LEFT(RIGHT(B22,5),4),装备!B:CU,20,FALSE)</f>
        <v>ReplaceableTextures\\CommandButtons\\BTNZ04.blp</v>
      </c>
      <c r="N22" s="136" t="s">
        <v>83</v>
      </c>
      <c r="O22" s="137" t="s">
        <v>84</v>
      </c>
      <c r="P22" s="7">
        <v>0</v>
      </c>
      <c r="Q22" s="7">
        <v>0</v>
      </c>
      <c r="R22" s="136" t="s">
        <v>83</v>
      </c>
      <c r="S22" s="136" t="s">
        <v>83</v>
      </c>
      <c r="T22" s="136" t="s">
        <v>83</v>
      </c>
      <c r="U22" s="136" t="s">
        <v>83</v>
      </c>
      <c r="V22" s="7"/>
      <c r="W22" s="7" t="s">
        <v>85</v>
      </c>
      <c r="X22" s="7">
        <v>0</v>
      </c>
      <c r="Y22" s="136" t="s">
        <v>83</v>
      </c>
      <c r="Z22" s="7">
        <v>0</v>
      </c>
      <c r="AA22" s="7">
        <v>0</v>
      </c>
      <c r="AB22" s="7">
        <v>0</v>
      </c>
      <c r="AC22" s="7">
        <v>1</v>
      </c>
      <c r="AD22" s="7">
        <v>1</v>
      </c>
      <c r="AE22" s="136" t="s">
        <v>83</v>
      </c>
      <c r="AF22" s="136" t="s">
        <v>83</v>
      </c>
      <c r="AG22" s="136" t="s">
        <v>83</v>
      </c>
      <c r="AH22" s="136" t="s">
        <v>83</v>
      </c>
      <c r="AI22" s="7"/>
      <c r="AJ22" s="7"/>
      <c r="AK22" s="7">
        <v>0</v>
      </c>
      <c r="AL22" s="7">
        <v>0</v>
      </c>
      <c r="AM22" s="136" t="s">
        <v>83</v>
      </c>
      <c r="AN22" s="7"/>
      <c r="AO22" s="7"/>
      <c r="AP22" s="7">
        <v>1</v>
      </c>
    </row>
    <row r="23" spans="1:42">
      <c r="A23" s="116"/>
      <c r="B23" s="7" t="str">
        <f>装备!B23</f>
        <v>E021</v>
      </c>
      <c r="C23" s="7" t="s">
        <v>41</v>
      </c>
      <c r="D23" s="7" t="s">
        <v>81</v>
      </c>
      <c r="E23" s="7" t="s">
        <v>82</v>
      </c>
      <c r="F23" s="7"/>
      <c r="G23" s="7"/>
      <c r="H23" s="7" t="str">
        <f>VLOOKUP(LEFT(RIGHT(B23,5),4),装备!B:CU,2,FALSE)</f>
        <v>|CffFF0000[武器]太极八卦剑lv1|r</v>
      </c>
      <c r="I23" s="7" t="str">
        <f>VLOOKUP(B23,装备!B:CV,99,FALSE)</f>
        <v>|Cffbbbbbb属性：|r|n攻击+800000|n暴击+8%|n暴伤+400%|n伤害吸取+5%|n|n|Cff00ff7f点击消耗20000金币进行强化|n成功率50%</v>
      </c>
      <c r="J23" s="118" t="str">
        <f t="shared" si="6"/>
        <v>|CffFF0000[武器]太极八卦剑lv1|r</v>
      </c>
      <c r="K23" s="118" t="str">
        <f t="shared" si="7"/>
        <v>|Cffbbbbbb属性：|r|n攻击+800000|n暴击+8%|n暴伤+400%|n伤害吸取+5%|n|n|Cff00ff7f点击消耗20000金币进行强化|n成功率50%</v>
      </c>
      <c r="L23" s="7"/>
      <c r="M23" s="119" t="str">
        <f>VLOOKUP(LEFT(RIGHT(B23,5),4),装备!B:CU,20,FALSE)</f>
        <v>ReplaceableTextures\\CommandButtons\\BTNZ05.blp</v>
      </c>
      <c r="N23" s="136" t="s">
        <v>83</v>
      </c>
      <c r="O23" s="137" t="s">
        <v>84</v>
      </c>
      <c r="P23" s="7">
        <v>0</v>
      </c>
      <c r="Q23" s="7">
        <v>0</v>
      </c>
      <c r="R23" s="136" t="s">
        <v>83</v>
      </c>
      <c r="S23" s="136" t="s">
        <v>83</v>
      </c>
      <c r="T23" s="136" t="s">
        <v>83</v>
      </c>
      <c r="U23" s="136" t="s">
        <v>83</v>
      </c>
      <c r="V23" s="7"/>
      <c r="W23" s="7" t="s">
        <v>85</v>
      </c>
      <c r="X23" s="7">
        <v>0</v>
      </c>
      <c r="Y23" s="136" t="s">
        <v>83</v>
      </c>
      <c r="Z23" s="7">
        <v>0</v>
      </c>
      <c r="AA23" s="7">
        <v>0</v>
      </c>
      <c r="AB23" s="7">
        <v>0</v>
      </c>
      <c r="AC23" s="7">
        <v>1</v>
      </c>
      <c r="AD23" s="7">
        <v>1</v>
      </c>
      <c r="AE23" s="136" t="s">
        <v>83</v>
      </c>
      <c r="AF23" s="136" t="s">
        <v>83</v>
      </c>
      <c r="AG23" s="136" t="s">
        <v>83</v>
      </c>
      <c r="AH23" s="136" t="s">
        <v>83</v>
      </c>
      <c r="AI23" s="7"/>
      <c r="AJ23" s="7"/>
      <c r="AK23" s="7">
        <v>0</v>
      </c>
      <c r="AL23" s="7">
        <v>0</v>
      </c>
      <c r="AM23" s="136" t="s">
        <v>83</v>
      </c>
      <c r="AN23" s="7"/>
      <c r="AO23" s="7"/>
      <c r="AP23" s="7">
        <v>1</v>
      </c>
    </row>
    <row r="24" spans="1:42">
      <c r="A24" s="116"/>
      <c r="B24" s="7" t="str">
        <f>装备!B24</f>
        <v>E022</v>
      </c>
      <c r="C24" s="7" t="s">
        <v>41</v>
      </c>
      <c r="D24" s="7" t="s">
        <v>81</v>
      </c>
      <c r="E24" s="7" t="s">
        <v>82</v>
      </c>
      <c r="F24" s="7"/>
      <c r="G24" s="7"/>
      <c r="H24" s="7" t="str">
        <f>VLOOKUP(LEFT(RIGHT(B24,5),4),装备!B:CU,2,FALSE)</f>
        <v>|CffFF0000[武器]太极八卦剑lv2|r</v>
      </c>
      <c r="I24" s="7" t="str">
        <f>VLOOKUP(B24,装备!B:CV,99,FALSE)</f>
        <v>|Cffbbbbbb属性：|r|n攻击+1000000|n暴击+8%|n暴伤+400%|n伤害吸取+5%|n|n|Cff00ff7f点击消耗20000金币进行强化|n成功率50%</v>
      </c>
      <c r="J24" s="118" t="str">
        <f t="shared" si="6"/>
        <v>|CffFF0000[武器]太极八卦剑lv2|r</v>
      </c>
      <c r="K24" s="118" t="str">
        <f t="shared" si="7"/>
        <v>|Cffbbbbbb属性：|r|n攻击+1000000|n暴击+8%|n暴伤+400%|n伤害吸取+5%|n|n|Cff00ff7f点击消耗20000金币进行强化|n成功率50%</v>
      </c>
      <c r="L24" s="7"/>
      <c r="M24" s="119" t="str">
        <f>VLOOKUP(LEFT(RIGHT(B24,5),4),装备!B:CU,20,FALSE)</f>
        <v>ReplaceableTextures\\CommandButtons\\BTNZ05.blp</v>
      </c>
      <c r="N24" s="136" t="s">
        <v>83</v>
      </c>
      <c r="O24" s="137" t="s">
        <v>84</v>
      </c>
      <c r="P24" s="7">
        <v>0</v>
      </c>
      <c r="Q24" s="7">
        <v>0</v>
      </c>
      <c r="R24" s="136" t="s">
        <v>83</v>
      </c>
      <c r="S24" s="136" t="s">
        <v>83</v>
      </c>
      <c r="T24" s="136" t="s">
        <v>83</v>
      </c>
      <c r="U24" s="136" t="s">
        <v>83</v>
      </c>
      <c r="V24" s="7"/>
      <c r="W24" s="7" t="s">
        <v>85</v>
      </c>
      <c r="X24" s="7">
        <v>0</v>
      </c>
      <c r="Y24" s="136" t="s">
        <v>83</v>
      </c>
      <c r="Z24" s="7">
        <v>0</v>
      </c>
      <c r="AA24" s="7">
        <v>0</v>
      </c>
      <c r="AB24" s="7">
        <v>0</v>
      </c>
      <c r="AC24" s="7">
        <v>1</v>
      </c>
      <c r="AD24" s="7">
        <v>1</v>
      </c>
      <c r="AE24" s="136" t="s">
        <v>83</v>
      </c>
      <c r="AF24" s="136" t="s">
        <v>83</v>
      </c>
      <c r="AG24" s="136" t="s">
        <v>83</v>
      </c>
      <c r="AH24" s="136" t="s">
        <v>83</v>
      </c>
      <c r="AI24" s="7"/>
      <c r="AJ24" s="7"/>
      <c r="AK24" s="7">
        <v>0</v>
      </c>
      <c r="AL24" s="7">
        <v>0</v>
      </c>
      <c r="AM24" s="136" t="s">
        <v>83</v>
      </c>
      <c r="AN24" s="7"/>
      <c r="AO24" s="7"/>
      <c r="AP24" s="7">
        <v>1</v>
      </c>
    </row>
    <row r="25" spans="1:42">
      <c r="A25" s="116"/>
      <c r="B25" s="7" t="str">
        <f>装备!B25</f>
        <v>E023</v>
      </c>
      <c r="C25" s="7" t="s">
        <v>41</v>
      </c>
      <c r="D25" s="7" t="s">
        <v>81</v>
      </c>
      <c r="E25" s="7" t="s">
        <v>82</v>
      </c>
      <c r="F25" s="7"/>
      <c r="G25" s="7"/>
      <c r="H25" s="7" t="str">
        <f>VLOOKUP(LEFT(RIGHT(B25,5),4),装备!B:CU,2,FALSE)</f>
        <v>|CffFF0000[武器]太极八卦剑lv3|r</v>
      </c>
      <c r="I25" s="7" t="str">
        <f>VLOOKUP(B25,装备!B:CV,99,FALSE)</f>
        <v>|Cffbbbbbb属性：|r|n攻击+1200000|n暴击+8%|n暴伤+400%|n伤害吸取+5%|n|n|Cff00ff7f点击消耗20000金币进行强化|n成功率50%</v>
      </c>
      <c r="J25" s="118" t="str">
        <f t="shared" si="6"/>
        <v>|CffFF0000[武器]太极八卦剑lv3|r</v>
      </c>
      <c r="K25" s="118" t="str">
        <f t="shared" si="7"/>
        <v>|Cffbbbbbb属性：|r|n攻击+1200000|n暴击+8%|n暴伤+400%|n伤害吸取+5%|n|n|Cff00ff7f点击消耗20000金币进行强化|n成功率50%</v>
      </c>
      <c r="L25" s="7"/>
      <c r="M25" s="119" t="str">
        <f>VLOOKUP(LEFT(RIGHT(B25,5),4),装备!B:CU,20,FALSE)</f>
        <v>ReplaceableTextures\\CommandButtons\\BTNZ05.blp</v>
      </c>
      <c r="N25" s="136" t="s">
        <v>83</v>
      </c>
      <c r="O25" s="137" t="s">
        <v>84</v>
      </c>
      <c r="P25" s="7">
        <v>0</v>
      </c>
      <c r="Q25" s="7">
        <v>0</v>
      </c>
      <c r="R25" s="136" t="s">
        <v>83</v>
      </c>
      <c r="S25" s="136" t="s">
        <v>83</v>
      </c>
      <c r="T25" s="136" t="s">
        <v>83</v>
      </c>
      <c r="U25" s="136" t="s">
        <v>83</v>
      </c>
      <c r="V25" s="7"/>
      <c r="W25" s="7" t="s">
        <v>85</v>
      </c>
      <c r="X25" s="7">
        <v>0</v>
      </c>
      <c r="Y25" s="136" t="s">
        <v>83</v>
      </c>
      <c r="Z25" s="7">
        <v>0</v>
      </c>
      <c r="AA25" s="7">
        <v>0</v>
      </c>
      <c r="AB25" s="7">
        <v>0</v>
      </c>
      <c r="AC25" s="7">
        <v>1</v>
      </c>
      <c r="AD25" s="7">
        <v>1</v>
      </c>
      <c r="AE25" s="136" t="s">
        <v>83</v>
      </c>
      <c r="AF25" s="136" t="s">
        <v>83</v>
      </c>
      <c r="AG25" s="136" t="s">
        <v>83</v>
      </c>
      <c r="AH25" s="136" t="s">
        <v>83</v>
      </c>
      <c r="AI25" s="7"/>
      <c r="AJ25" s="7"/>
      <c r="AK25" s="7">
        <v>0</v>
      </c>
      <c r="AL25" s="7">
        <v>0</v>
      </c>
      <c r="AM25" s="136" t="s">
        <v>83</v>
      </c>
      <c r="AN25" s="7"/>
      <c r="AO25" s="7"/>
      <c r="AP25" s="7">
        <v>1</v>
      </c>
    </row>
    <row r="26" spans="1:42">
      <c r="A26" s="116"/>
      <c r="B26" s="7" t="str">
        <f>装备!B26</f>
        <v>E024</v>
      </c>
      <c r="C26" s="7" t="s">
        <v>41</v>
      </c>
      <c r="D26" s="7" t="s">
        <v>81</v>
      </c>
      <c r="E26" s="7" t="s">
        <v>82</v>
      </c>
      <c r="F26" s="7"/>
      <c r="G26" s="7"/>
      <c r="H26" s="7" t="str">
        <f>VLOOKUP(LEFT(RIGHT(B26,5),4),装备!B:CU,2,FALSE)</f>
        <v>|CffFF0000[武器]太极八卦剑lv4|r</v>
      </c>
      <c r="I26" s="7" t="str">
        <f>VLOOKUP(B26,装备!B:CV,99,FALSE)</f>
        <v>|Cffbbbbbb属性：|r|n攻击+1400000|n暴击+8%|n暴伤+400%|n伤害吸取+5%|n|n|Cff00ff7f点击消耗20000金币进行强化|n成功率50%</v>
      </c>
      <c r="J26" s="118" t="str">
        <f t="shared" si="6"/>
        <v>|CffFF0000[武器]太极八卦剑lv4|r</v>
      </c>
      <c r="K26" s="118" t="str">
        <f t="shared" si="7"/>
        <v>|Cffbbbbbb属性：|r|n攻击+1400000|n暴击+8%|n暴伤+400%|n伤害吸取+5%|n|n|Cff00ff7f点击消耗20000金币进行强化|n成功率50%</v>
      </c>
      <c r="L26" s="7"/>
      <c r="M26" s="119" t="str">
        <f>VLOOKUP(LEFT(RIGHT(B26,5),4),装备!B:CU,20,FALSE)</f>
        <v>ReplaceableTextures\\CommandButtons\\BTNZ05.blp</v>
      </c>
      <c r="N26" s="136" t="s">
        <v>83</v>
      </c>
      <c r="O26" s="137" t="s">
        <v>84</v>
      </c>
      <c r="P26" s="7">
        <v>0</v>
      </c>
      <c r="Q26" s="7">
        <v>0</v>
      </c>
      <c r="R26" s="136" t="s">
        <v>83</v>
      </c>
      <c r="S26" s="136" t="s">
        <v>83</v>
      </c>
      <c r="T26" s="136" t="s">
        <v>83</v>
      </c>
      <c r="U26" s="136" t="s">
        <v>83</v>
      </c>
      <c r="V26" s="7"/>
      <c r="W26" s="7" t="s">
        <v>85</v>
      </c>
      <c r="X26" s="7">
        <v>0</v>
      </c>
      <c r="Y26" s="136" t="s">
        <v>83</v>
      </c>
      <c r="Z26" s="7">
        <v>0</v>
      </c>
      <c r="AA26" s="7">
        <v>0</v>
      </c>
      <c r="AB26" s="7">
        <v>0</v>
      </c>
      <c r="AC26" s="7">
        <v>1</v>
      </c>
      <c r="AD26" s="7">
        <v>1</v>
      </c>
      <c r="AE26" s="136" t="s">
        <v>83</v>
      </c>
      <c r="AF26" s="136" t="s">
        <v>83</v>
      </c>
      <c r="AG26" s="136" t="s">
        <v>83</v>
      </c>
      <c r="AH26" s="136" t="s">
        <v>83</v>
      </c>
      <c r="AI26" s="7"/>
      <c r="AJ26" s="7"/>
      <c r="AK26" s="7">
        <v>0</v>
      </c>
      <c r="AL26" s="7">
        <v>0</v>
      </c>
      <c r="AM26" s="136" t="s">
        <v>83</v>
      </c>
      <c r="AN26" s="7"/>
      <c r="AO26" s="7"/>
      <c r="AP26" s="7">
        <v>1</v>
      </c>
    </row>
    <row r="27" spans="1:42">
      <c r="A27" s="116"/>
      <c r="B27" s="7" t="str">
        <f>装备!B27</f>
        <v>E025</v>
      </c>
      <c r="C27" s="7" t="s">
        <v>41</v>
      </c>
      <c r="D27" s="7" t="s">
        <v>81</v>
      </c>
      <c r="E27" s="7"/>
      <c r="F27" s="7"/>
      <c r="G27" s="7"/>
      <c r="H27" s="7" t="str">
        <f>VLOOKUP(LEFT(RIGHT(B27,5),4),装备!B:CU,2,FALSE)</f>
        <v>|CffFF0000[武器]太极八卦剑lv5|r</v>
      </c>
      <c r="I27" s="7" t="str">
        <f>VLOOKUP(B27,装备!B:CV,99,FALSE)</f>
        <v>|Cffbbbbbb属性：|r|n攻击+1600000|n暴击+8%|n暴伤+400%|n伤害吸取+5%|n|Cff999999装备进化：未开放|r</v>
      </c>
      <c r="J27" s="118" t="str">
        <f t="shared" si="6"/>
        <v>|CffFF0000[武器]太极八卦剑lv5|r</v>
      </c>
      <c r="K27" s="118" t="str">
        <f t="shared" si="7"/>
        <v>|Cffbbbbbb属性：|r|n攻击+1600000|n暴击+8%|n暴伤+400%|n伤害吸取+5%|n|Cff999999装备进化：未开放|r</v>
      </c>
      <c r="L27" s="7"/>
      <c r="M27" s="119" t="str">
        <f>VLOOKUP(LEFT(RIGHT(B27,5),4),装备!B:CU,20,FALSE)</f>
        <v>ReplaceableTextures\\CommandButtons\\BTNZ05.blp</v>
      </c>
      <c r="N27" s="136" t="s">
        <v>83</v>
      </c>
      <c r="O27" s="137" t="s">
        <v>84</v>
      </c>
      <c r="P27" s="7">
        <v>0</v>
      </c>
      <c r="Q27" s="7">
        <v>0</v>
      </c>
      <c r="R27" s="136" t="s">
        <v>83</v>
      </c>
      <c r="S27" s="136" t="s">
        <v>83</v>
      </c>
      <c r="T27" s="136" t="s">
        <v>83</v>
      </c>
      <c r="U27" s="136" t="s">
        <v>83</v>
      </c>
      <c r="V27" s="7"/>
      <c r="W27" s="7" t="s">
        <v>85</v>
      </c>
      <c r="X27" s="7">
        <v>0</v>
      </c>
      <c r="Y27" s="136" t="s">
        <v>83</v>
      </c>
      <c r="Z27" s="7">
        <v>0</v>
      </c>
      <c r="AA27" s="7">
        <v>0</v>
      </c>
      <c r="AB27" s="7">
        <v>0</v>
      </c>
      <c r="AC27" s="7">
        <v>1</v>
      </c>
      <c r="AD27" s="7">
        <v>1</v>
      </c>
      <c r="AE27" s="136" t="s">
        <v>83</v>
      </c>
      <c r="AF27" s="136" t="s">
        <v>83</v>
      </c>
      <c r="AG27" s="136" t="s">
        <v>83</v>
      </c>
      <c r="AH27" s="136" t="s">
        <v>83</v>
      </c>
      <c r="AI27" s="7"/>
      <c r="AJ27" s="7"/>
      <c r="AK27" s="7">
        <v>0</v>
      </c>
      <c r="AL27" s="7">
        <v>0</v>
      </c>
      <c r="AM27" s="136" t="s">
        <v>83</v>
      </c>
      <c r="AN27" s="7"/>
      <c r="AO27" s="7"/>
      <c r="AP27" s="7"/>
    </row>
    <row r="28" spans="1:42">
      <c r="A28" s="116"/>
      <c r="B28" s="7" t="str">
        <f>装备!B28</f>
        <v>E101</v>
      </c>
      <c r="C28" s="7" t="s">
        <v>41</v>
      </c>
      <c r="D28" s="7" t="s">
        <v>81</v>
      </c>
      <c r="E28" s="7" t="s">
        <v>86</v>
      </c>
      <c r="F28" s="7"/>
      <c r="G28" s="7"/>
      <c r="H28" s="7" t="str">
        <f>VLOOKUP(LEFT(RIGHT(B28,5),4),装备!B:CU,2,FALSE)</f>
        <v>[饰品]青珑挂珠lv1</v>
      </c>
      <c r="I28" s="7" t="str">
        <f>VLOOKUP(B28,装备!B:CV,99,FALSE)</f>
        <v>|Cffbbbbbb属性：|r|n攻击+150|n生命值+750|n生命回复+15|n攻速+10%|n闪避+3%|n每秒业力+1|n|n攻击6%概率范围|cffff4646业力*15|r魔法伤害|n|n|Cff00ff7f击杀150只怪有50%概率升级|r</v>
      </c>
      <c r="J28" s="118" t="str">
        <f t="shared" si="6"/>
        <v>[饰品]青珑挂珠lv1</v>
      </c>
      <c r="K28" s="118" t="str">
        <f t="shared" si="7"/>
        <v>|Cffbbbbbb属性：|r|n攻击+150|n生命值+750|n生命回复+15|n攻速+10%|n闪避+3%|n每秒业力+1|n|n攻击6%概率范围|cffff4646业力*15|r魔法伤害|n|n|Cff00ff7f击杀150只怪有50%概率升级|r</v>
      </c>
      <c r="L28" s="7"/>
      <c r="M28" s="119" t="str">
        <f>VLOOKUP(LEFT(RIGHT(B28,5),4),装备!B:CU,20,FALSE)</f>
        <v>ReplaceableTextures\\CommandButtons\\BTNZ06.blp</v>
      </c>
      <c r="N28" s="136" t="s">
        <v>83</v>
      </c>
      <c r="O28" s="137" t="s">
        <v>84</v>
      </c>
      <c r="P28" s="7">
        <v>0</v>
      </c>
      <c r="Q28" s="7">
        <v>0</v>
      </c>
      <c r="R28" s="136" t="s">
        <v>83</v>
      </c>
      <c r="S28" s="136" t="s">
        <v>83</v>
      </c>
      <c r="T28" s="136" t="s">
        <v>83</v>
      </c>
      <c r="U28" s="136" t="s">
        <v>83</v>
      </c>
      <c r="V28" s="7"/>
      <c r="W28" s="7" t="s">
        <v>85</v>
      </c>
      <c r="X28" s="7">
        <v>0</v>
      </c>
      <c r="Y28" s="136" t="s">
        <v>83</v>
      </c>
      <c r="Z28" s="7">
        <v>0</v>
      </c>
      <c r="AA28" s="7">
        <v>0</v>
      </c>
      <c r="AB28" s="7">
        <v>0</v>
      </c>
      <c r="AC28" s="7">
        <v>1</v>
      </c>
      <c r="AD28" s="7">
        <v>1</v>
      </c>
      <c r="AE28" s="136" t="s">
        <v>83</v>
      </c>
      <c r="AF28" s="136" t="s">
        <v>83</v>
      </c>
      <c r="AG28" s="136" t="s">
        <v>83</v>
      </c>
      <c r="AH28" s="136" t="s">
        <v>83</v>
      </c>
      <c r="AI28" s="7"/>
      <c r="AJ28" s="7"/>
      <c r="AK28" s="7">
        <v>0</v>
      </c>
      <c r="AL28" s="7">
        <v>0</v>
      </c>
      <c r="AM28" s="136" t="s">
        <v>83</v>
      </c>
      <c r="AN28" s="7">
        <v>150</v>
      </c>
      <c r="AO28" s="7"/>
      <c r="AP28" s="7"/>
    </row>
    <row r="29" spans="1:42">
      <c r="A29" s="116"/>
      <c r="B29" s="7" t="str">
        <f>装备!B29</f>
        <v>E102</v>
      </c>
      <c r="C29" s="7" t="s">
        <v>41</v>
      </c>
      <c r="D29" s="7" t="s">
        <v>81</v>
      </c>
      <c r="E29" s="7" t="s">
        <v>86</v>
      </c>
      <c r="F29" s="7"/>
      <c r="G29" s="7"/>
      <c r="H29" s="7" t="str">
        <f>VLOOKUP(LEFT(RIGHT(B29,5),4),装备!B:CU,2,FALSE)</f>
        <v>[饰品]青珑挂珠lv2</v>
      </c>
      <c r="I29" s="7" t="str">
        <f>VLOOKUP(B29,装备!B:CV,99,FALSE)</f>
        <v>|Cffbbbbbb属性：|r|n攻击+300|n生命值+1500|n生命回复+30|n攻速+15%|n闪避+3%|n每秒业力+2|n|n攻击6%概率范围|cffff4646业力*15|r魔法伤害|n|n|Cff00ff7f击杀150只怪有50%概率升级|r</v>
      </c>
      <c r="J29" s="118" t="str">
        <f t="shared" si="6"/>
        <v>[饰品]青珑挂珠lv2</v>
      </c>
      <c r="K29" s="118" t="str">
        <f t="shared" si="7"/>
        <v>|Cffbbbbbb属性：|r|n攻击+300|n生命值+1500|n生命回复+30|n攻速+15%|n闪避+3%|n每秒业力+2|n|n攻击6%概率范围|cffff4646业力*15|r魔法伤害|n|n|Cff00ff7f击杀150只怪有50%概率升级|r</v>
      </c>
      <c r="L29" s="7"/>
      <c r="M29" s="119" t="str">
        <f>VLOOKUP(LEFT(RIGHT(B29,5),4),装备!B:CU,20,FALSE)</f>
        <v>ReplaceableTextures\\CommandButtons\\BTNZ06.blp</v>
      </c>
      <c r="N29" s="136" t="s">
        <v>83</v>
      </c>
      <c r="O29" s="137" t="s">
        <v>84</v>
      </c>
      <c r="P29" s="7">
        <v>0</v>
      </c>
      <c r="Q29" s="7">
        <v>0</v>
      </c>
      <c r="R29" s="136" t="s">
        <v>83</v>
      </c>
      <c r="S29" s="136" t="s">
        <v>83</v>
      </c>
      <c r="T29" s="136" t="s">
        <v>83</v>
      </c>
      <c r="U29" s="136" t="s">
        <v>83</v>
      </c>
      <c r="V29" s="7"/>
      <c r="W29" s="7" t="s">
        <v>85</v>
      </c>
      <c r="X29" s="7">
        <v>0</v>
      </c>
      <c r="Y29" s="136" t="s">
        <v>83</v>
      </c>
      <c r="Z29" s="7">
        <v>0</v>
      </c>
      <c r="AA29" s="7">
        <v>0</v>
      </c>
      <c r="AB29" s="7">
        <v>0</v>
      </c>
      <c r="AC29" s="7">
        <v>1</v>
      </c>
      <c r="AD29" s="7">
        <v>1</v>
      </c>
      <c r="AE29" s="136" t="s">
        <v>83</v>
      </c>
      <c r="AF29" s="136" t="s">
        <v>83</v>
      </c>
      <c r="AG29" s="136" t="s">
        <v>83</v>
      </c>
      <c r="AH29" s="136" t="s">
        <v>83</v>
      </c>
      <c r="AI29" s="7"/>
      <c r="AJ29" s="7"/>
      <c r="AK29" s="7">
        <v>0</v>
      </c>
      <c r="AL29" s="7">
        <v>0</v>
      </c>
      <c r="AM29" s="136" t="s">
        <v>83</v>
      </c>
      <c r="AN29" s="7">
        <v>150</v>
      </c>
      <c r="AO29" s="7"/>
      <c r="AP29" s="7"/>
    </row>
    <row r="30" spans="1:42">
      <c r="A30" s="116"/>
      <c r="B30" s="7" t="str">
        <f>装备!B30</f>
        <v>E103</v>
      </c>
      <c r="C30" s="7" t="s">
        <v>41</v>
      </c>
      <c r="D30" s="7" t="s">
        <v>81</v>
      </c>
      <c r="E30" s="7" t="s">
        <v>86</v>
      </c>
      <c r="F30" s="7"/>
      <c r="G30" s="7"/>
      <c r="H30" s="7" t="str">
        <f>VLOOKUP(LEFT(RIGHT(B30,5),4),装备!B:CU,2,FALSE)</f>
        <v>[饰品]青珑挂珠lv3</v>
      </c>
      <c r="I30" s="7" t="str">
        <f>VLOOKUP(B30,装备!B:CV,99,FALSE)</f>
        <v>|Cffbbbbbb属性：|r|n攻击+600|n生命值+3000|n生命回复+60|n攻速+20%|n闪避+3%|n每秒业力+3|n|n攻击6%概率范围|cffff4646业力*15|r魔法伤害|n|n|Cff00ff7f击杀150只怪有50%概率升级|r</v>
      </c>
      <c r="J30" s="118" t="str">
        <f t="shared" si="6"/>
        <v>[饰品]青珑挂珠lv3</v>
      </c>
      <c r="K30" s="118" t="str">
        <f t="shared" si="7"/>
        <v>|Cffbbbbbb属性：|r|n攻击+600|n生命值+3000|n生命回复+60|n攻速+20%|n闪避+3%|n每秒业力+3|n|n攻击6%概率范围|cffff4646业力*15|r魔法伤害|n|n|Cff00ff7f击杀150只怪有50%概率升级|r</v>
      </c>
      <c r="L30" s="7"/>
      <c r="M30" s="119" t="str">
        <f>VLOOKUP(LEFT(RIGHT(B30,5),4),装备!B:CU,20,FALSE)</f>
        <v>ReplaceableTextures\\CommandButtons\\BTNZ06.blp</v>
      </c>
      <c r="N30" s="136" t="s">
        <v>83</v>
      </c>
      <c r="O30" s="137" t="s">
        <v>84</v>
      </c>
      <c r="P30" s="7">
        <v>0</v>
      </c>
      <c r="Q30" s="7">
        <v>0</v>
      </c>
      <c r="R30" s="136" t="s">
        <v>83</v>
      </c>
      <c r="S30" s="136" t="s">
        <v>83</v>
      </c>
      <c r="T30" s="136" t="s">
        <v>83</v>
      </c>
      <c r="U30" s="136" t="s">
        <v>83</v>
      </c>
      <c r="V30" s="7"/>
      <c r="W30" s="7" t="s">
        <v>85</v>
      </c>
      <c r="X30" s="7">
        <v>0</v>
      </c>
      <c r="Y30" s="136" t="s">
        <v>83</v>
      </c>
      <c r="Z30" s="7">
        <v>0</v>
      </c>
      <c r="AA30" s="7">
        <v>0</v>
      </c>
      <c r="AB30" s="7">
        <v>0</v>
      </c>
      <c r="AC30" s="7">
        <v>1</v>
      </c>
      <c r="AD30" s="7">
        <v>1</v>
      </c>
      <c r="AE30" s="136" t="s">
        <v>83</v>
      </c>
      <c r="AF30" s="136" t="s">
        <v>83</v>
      </c>
      <c r="AG30" s="136" t="s">
        <v>83</v>
      </c>
      <c r="AH30" s="136" t="s">
        <v>83</v>
      </c>
      <c r="AI30" s="7"/>
      <c r="AJ30" s="7"/>
      <c r="AK30" s="7">
        <v>0</v>
      </c>
      <c r="AL30" s="7">
        <v>0</v>
      </c>
      <c r="AM30" s="136" t="s">
        <v>83</v>
      </c>
      <c r="AN30" s="7">
        <v>150</v>
      </c>
      <c r="AO30" s="7"/>
      <c r="AP30" s="7"/>
    </row>
    <row r="31" spans="1:42">
      <c r="A31" s="116"/>
      <c r="B31" s="7" t="str">
        <f>装备!B31</f>
        <v>E104</v>
      </c>
      <c r="C31" s="7" t="s">
        <v>41</v>
      </c>
      <c r="D31" s="7" t="s">
        <v>81</v>
      </c>
      <c r="E31" s="7" t="s">
        <v>86</v>
      </c>
      <c r="F31" s="7"/>
      <c r="G31" s="7"/>
      <c r="H31" s="7" t="str">
        <f>VLOOKUP(LEFT(RIGHT(B31,5),4),装备!B:CU,2,FALSE)</f>
        <v>[饰品]青珑挂珠lv4</v>
      </c>
      <c r="I31" s="7" t="str">
        <f>VLOOKUP(B31,装备!B:CV,99,FALSE)</f>
        <v>|Cffbbbbbb属性：|r|n攻击+900|n生命值+4500|n生命回复+90|n攻速+25%|n闪避+3%|n每秒业力+4|n|n攻击6%概率范围|cffff4646业力*15|r魔法伤害|n|n|Cff00ff7f击杀150只怪有50%概率升级|r</v>
      </c>
      <c r="J31" s="118" t="str">
        <f t="shared" si="6"/>
        <v>[饰品]青珑挂珠lv4</v>
      </c>
      <c r="K31" s="118" t="str">
        <f t="shared" si="7"/>
        <v>|Cffbbbbbb属性：|r|n攻击+900|n生命值+4500|n生命回复+90|n攻速+25%|n闪避+3%|n每秒业力+4|n|n攻击6%概率范围|cffff4646业力*15|r魔法伤害|n|n|Cff00ff7f击杀150只怪有50%概率升级|r</v>
      </c>
      <c r="L31" s="7"/>
      <c r="M31" s="119" t="str">
        <f>VLOOKUP(LEFT(RIGHT(B31,5),4),装备!B:CU,20,FALSE)</f>
        <v>ReplaceableTextures\\CommandButtons\\BTNZ06.blp</v>
      </c>
      <c r="N31" s="136" t="s">
        <v>83</v>
      </c>
      <c r="O31" s="137" t="s">
        <v>84</v>
      </c>
      <c r="P31" s="7">
        <v>0</v>
      </c>
      <c r="Q31" s="7">
        <v>0</v>
      </c>
      <c r="R31" s="136" t="s">
        <v>83</v>
      </c>
      <c r="S31" s="136" t="s">
        <v>83</v>
      </c>
      <c r="T31" s="136" t="s">
        <v>83</v>
      </c>
      <c r="U31" s="136" t="s">
        <v>83</v>
      </c>
      <c r="V31" s="7"/>
      <c r="W31" s="7" t="s">
        <v>85</v>
      </c>
      <c r="X31" s="7">
        <v>0</v>
      </c>
      <c r="Y31" s="136" t="s">
        <v>83</v>
      </c>
      <c r="Z31" s="7">
        <v>0</v>
      </c>
      <c r="AA31" s="7">
        <v>0</v>
      </c>
      <c r="AB31" s="7">
        <v>0</v>
      </c>
      <c r="AC31" s="7">
        <v>1</v>
      </c>
      <c r="AD31" s="7">
        <v>1</v>
      </c>
      <c r="AE31" s="136" t="s">
        <v>83</v>
      </c>
      <c r="AF31" s="136" t="s">
        <v>83</v>
      </c>
      <c r="AG31" s="136" t="s">
        <v>83</v>
      </c>
      <c r="AH31" s="136" t="s">
        <v>83</v>
      </c>
      <c r="AI31" s="7"/>
      <c r="AJ31" s="7"/>
      <c r="AK31" s="7">
        <v>0</v>
      </c>
      <c r="AL31" s="7">
        <v>0</v>
      </c>
      <c r="AM31" s="136" t="s">
        <v>83</v>
      </c>
      <c r="AN31" s="7">
        <v>150</v>
      </c>
      <c r="AO31" s="7"/>
      <c r="AP31" s="7"/>
    </row>
    <row r="32" spans="1:42">
      <c r="A32" s="116"/>
      <c r="B32" s="7" t="str">
        <f>装备!B32</f>
        <v>E105</v>
      </c>
      <c r="C32" s="7" t="s">
        <v>41</v>
      </c>
      <c r="D32" s="7" t="s">
        <v>81</v>
      </c>
      <c r="E32" s="7" t="s">
        <v>86</v>
      </c>
      <c r="F32" s="7"/>
      <c r="G32" s="7"/>
      <c r="H32" s="7" t="str">
        <f>VLOOKUP(LEFT(RIGHT(B32,5),4),装备!B:CU,2,FALSE)</f>
        <v>[饰品]青珑挂珠lv5</v>
      </c>
      <c r="I32" s="7" t="str">
        <f>VLOOKUP(B32,装备!B:CV,99,FALSE)</f>
        <v>|Cffbbbbbb属性：|r|n攻击+1500|n生命值+7500|n生命回复+150|n攻速+30%|n闪避+3%|n每秒业力+5|n|n攻击6%概率范围|cffff4646业力*15|r魔法伤害|n|n|Cff00ff7f击杀150只怪有50%概率升级|r</v>
      </c>
      <c r="J32" s="118" t="str">
        <f t="shared" si="6"/>
        <v>[饰品]青珑挂珠lv5</v>
      </c>
      <c r="K32" s="118" t="str">
        <f t="shared" si="7"/>
        <v>|Cffbbbbbb属性：|r|n攻击+1500|n生命值+7500|n生命回复+150|n攻速+30%|n闪避+3%|n每秒业力+5|n|n攻击6%概率范围|cffff4646业力*15|r魔法伤害|n|n|Cff00ff7f击杀150只怪有50%概率升级|r</v>
      </c>
      <c r="L32" s="7"/>
      <c r="M32" s="119" t="str">
        <f>VLOOKUP(LEFT(RIGHT(B32,5),4),装备!B:CU,20,FALSE)</f>
        <v>ReplaceableTextures\\CommandButtons\\BTNZ06.blp</v>
      </c>
      <c r="N32" s="136" t="s">
        <v>83</v>
      </c>
      <c r="O32" s="137" t="s">
        <v>84</v>
      </c>
      <c r="P32" s="7">
        <v>0</v>
      </c>
      <c r="Q32" s="7">
        <v>0</v>
      </c>
      <c r="R32" s="136" t="s">
        <v>83</v>
      </c>
      <c r="S32" s="136" t="s">
        <v>83</v>
      </c>
      <c r="T32" s="136" t="s">
        <v>83</v>
      </c>
      <c r="U32" s="136" t="s">
        <v>83</v>
      </c>
      <c r="V32" s="7"/>
      <c r="W32" s="7" t="s">
        <v>85</v>
      </c>
      <c r="X32" s="7">
        <v>0</v>
      </c>
      <c r="Y32" s="136" t="s">
        <v>83</v>
      </c>
      <c r="Z32" s="7">
        <v>0</v>
      </c>
      <c r="AA32" s="7">
        <v>0</v>
      </c>
      <c r="AB32" s="7">
        <v>0</v>
      </c>
      <c r="AC32" s="7">
        <v>1</v>
      </c>
      <c r="AD32" s="7">
        <v>1</v>
      </c>
      <c r="AE32" s="136" t="s">
        <v>83</v>
      </c>
      <c r="AF32" s="136" t="s">
        <v>83</v>
      </c>
      <c r="AG32" s="136" t="s">
        <v>83</v>
      </c>
      <c r="AH32" s="136" t="s">
        <v>83</v>
      </c>
      <c r="AI32" s="7"/>
      <c r="AJ32" s="7"/>
      <c r="AK32" s="7">
        <v>0</v>
      </c>
      <c r="AL32" s="7">
        <v>0</v>
      </c>
      <c r="AM32" s="136" t="s">
        <v>83</v>
      </c>
      <c r="AN32" s="7">
        <v>150</v>
      </c>
      <c r="AO32" s="7"/>
      <c r="AP32" s="7"/>
    </row>
    <row r="33" spans="1:42">
      <c r="A33" s="116"/>
      <c r="B33" s="7" t="str">
        <f>装备!B33</f>
        <v>E106</v>
      </c>
      <c r="C33" s="7" t="s">
        <v>41</v>
      </c>
      <c r="D33" s="7" t="s">
        <v>81</v>
      </c>
      <c r="E33" s="7" t="s">
        <v>86</v>
      </c>
      <c r="F33" s="7"/>
      <c r="G33" s="7"/>
      <c r="H33" s="7" t="str">
        <f>VLOOKUP(LEFT(RIGHT(B33,5),4),装备!B:CU,2,FALSE)</f>
        <v>|Cff00FF7F[饰品]紫晶坠子lv1|r</v>
      </c>
      <c r="I33" s="7" t="str">
        <f>VLOOKUP(B33,装备!B:CV,99,FALSE)</f>
        <v>|Cffbbbbbb属性：|r|n攻击+2100|n生命值+10500|n生命回复+210|n攻速+35%|n闪避+6%|n每秒业力+6|n|n攻击6%概率范围|cffff4646业力*15|r魔法伤害|n|n|Cff00ff7f击杀200只怪有50%概率升级|r</v>
      </c>
      <c r="J33" s="118" t="str">
        <f t="shared" si="6"/>
        <v>|Cff00FF7F[饰品]紫晶坠子lv1|r</v>
      </c>
      <c r="K33" s="118" t="str">
        <f t="shared" si="7"/>
        <v>|Cffbbbbbb属性：|r|n攻击+2100|n生命值+10500|n生命回复+210|n攻速+35%|n闪避+6%|n每秒业力+6|n|n攻击6%概率范围|cffff4646业力*15|r魔法伤害|n|n|Cff00ff7f击杀200只怪有50%概率升级|r</v>
      </c>
      <c r="L33" s="7"/>
      <c r="M33" s="119" t="str">
        <f>VLOOKUP(LEFT(RIGHT(B33,5),4),装备!B:CU,20,FALSE)</f>
        <v>ReplaceableTextures\\CommandButtons\\BTNZ07.blp</v>
      </c>
      <c r="N33" s="136" t="s">
        <v>83</v>
      </c>
      <c r="O33" s="137" t="s">
        <v>84</v>
      </c>
      <c r="P33" s="7">
        <v>0</v>
      </c>
      <c r="Q33" s="7">
        <v>0</v>
      </c>
      <c r="R33" s="136" t="s">
        <v>83</v>
      </c>
      <c r="S33" s="136" t="s">
        <v>83</v>
      </c>
      <c r="T33" s="136" t="s">
        <v>83</v>
      </c>
      <c r="U33" s="136" t="s">
        <v>83</v>
      </c>
      <c r="V33" s="7"/>
      <c r="W33" s="7" t="s">
        <v>85</v>
      </c>
      <c r="X33" s="7">
        <v>0</v>
      </c>
      <c r="Y33" s="136" t="s">
        <v>83</v>
      </c>
      <c r="Z33" s="7">
        <v>0</v>
      </c>
      <c r="AA33" s="7">
        <v>0</v>
      </c>
      <c r="AB33" s="7">
        <v>0</v>
      </c>
      <c r="AC33" s="7">
        <v>1</v>
      </c>
      <c r="AD33" s="7">
        <v>1</v>
      </c>
      <c r="AE33" s="136" t="s">
        <v>83</v>
      </c>
      <c r="AF33" s="136" t="s">
        <v>83</v>
      </c>
      <c r="AG33" s="136" t="s">
        <v>83</v>
      </c>
      <c r="AH33" s="136" t="s">
        <v>83</v>
      </c>
      <c r="AI33" s="7"/>
      <c r="AJ33" s="7"/>
      <c r="AK33" s="7">
        <v>0</v>
      </c>
      <c r="AL33" s="7">
        <v>0</v>
      </c>
      <c r="AM33" s="136" t="s">
        <v>83</v>
      </c>
      <c r="AN33" s="7">
        <v>200</v>
      </c>
      <c r="AO33" s="7"/>
      <c r="AP33" s="7"/>
    </row>
    <row r="34" spans="1:42">
      <c r="A34" s="116"/>
      <c r="B34" s="7" t="str">
        <f>装备!B34</f>
        <v>E107</v>
      </c>
      <c r="C34" s="7" t="s">
        <v>41</v>
      </c>
      <c r="D34" s="7" t="s">
        <v>81</v>
      </c>
      <c r="E34" s="7" t="s">
        <v>86</v>
      </c>
      <c r="F34" s="7"/>
      <c r="G34" s="7"/>
      <c r="H34" s="7" t="str">
        <f>VLOOKUP(LEFT(RIGHT(B34,5),4),装备!B:CU,2,FALSE)</f>
        <v>|Cff00FF7F[饰品]紫晶坠子lv2|r</v>
      </c>
      <c r="I34" s="7" t="str">
        <f>VLOOKUP(B34,装备!B:CV,99,FALSE)</f>
        <v>|Cffbbbbbb属性：|r|n攻击+3000|n生命值+15000|n生命回复+300|n攻速+40%|n闪避+6%|n每秒业力+7|n|n攻击6%概率范围|cffff4646业力*15|r魔法伤害|n|n|Cff00ff7f击杀200只怪有50%概率升级|r</v>
      </c>
      <c r="J34" s="118" t="str">
        <f t="shared" si="6"/>
        <v>|Cff00FF7F[饰品]紫晶坠子lv2|r</v>
      </c>
      <c r="K34" s="118" t="str">
        <f t="shared" si="7"/>
        <v>|Cffbbbbbb属性：|r|n攻击+3000|n生命值+15000|n生命回复+300|n攻速+40%|n闪避+6%|n每秒业力+7|n|n攻击6%概率范围|cffff4646业力*15|r魔法伤害|n|n|Cff00ff7f击杀200只怪有50%概率升级|r</v>
      </c>
      <c r="L34" s="7"/>
      <c r="M34" s="119" t="str">
        <f>VLOOKUP(LEFT(RIGHT(B34,5),4),装备!B:CU,20,FALSE)</f>
        <v>ReplaceableTextures\\CommandButtons\\BTNZ07.blp</v>
      </c>
      <c r="N34" s="136" t="s">
        <v>83</v>
      </c>
      <c r="O34" s="137" t="s">
        <v>84</v>
      </c>
      <c r="P34" s="7">
        <v>0</v>
      </c>
      <c r="Q34" s="7">
        <v>0</v>
      </c>
      <c r="R34" s="136" t="s">
        <v>83</v>
      </c>
      <c r="S34" s="136" t="s">
        <v>83</v>
      </c>
      <c r="T34" s="136" t="s">
        <v>83</v>
      </c>
      <c r="U34" s="136" t="s">
        <v>83</v>
      </c>
      <c r="V34" s="7"/>
      <c r="W34" s="7" t="s">
        <v>85</v>
      </c>
      <c r="X34" s="7">
        <v>0</v>
      </c>
      <c r="Y34" s="136" t="s">
        <v>83</v>
      </c>
      <c r="Z34" s="7">
        <v>0</v>
      </c>
      <c r="AA34" s="7">
        <v>0</v>
      </c>
      <c r="AB34" s="7">
        <v>0</v>
      </c>
      <c r="AC34" s="7">
        <v>1</v>
      </c>
      <c r="AD34" s="7">
        <v>1</v>
      </c>
      <c r="AE34" s="136" t="s">
        <v>83</v>
      </c>
      <c r="AF34" s="136" t="s">
        <v>83</v>
      </c>
      <c r="AG34" s="136" t="s">
        <v>83</v>
      </c>
      <c r="AH34" s="136" t="s">
        <v>83</v>
      </c>
      <c r="AI34" s="7"/>
      <c r="AJ34" s="7"/>
      <c r="AK34" s="7">
        <v>0</v>
      </c>
      <c r="AL34" s="7">
        <v>0</v>
      </c>
      <c r="AM34" s="136" t="s">
        <v>83</v>
      </c>
      <c r="AN34" s="7">
        <v>200</v>
      </c>
      <c r="AO34" s="7"/>
      <c r="AP34" s="7"/>
    </row>
    <row r="35" spans="1:42">
      <c r="A35" s="116"/>
      <c r="B35" s="7" t="str">
        <f>装备!B35</f>
        <v>E108</v>
      </c>
      <c r="C35" s="7" t="s">
        <v>41</v>
      </c>
      <c r="D35" s="7" t="s">
        <v>81</v>
      </c>
      <c r="E35" s="7" t="s">
        <v>86</v>
      </c>
      <c r="F35" s="7"/>
      <c r="G35" s="7"/>
      <c r="H35" s="7" t="str">
        <f>VLOOKUP(LEFT(RIGHT(B35,5),4),装备!B:CU,2,FALSE)</f>
        <v>|Cff00FF7F[饰品]紫晶坠子lv3|r</v>
      </c>
      <c r="I35" s="7" t="str">
        <f>VLOOKUP(B35,装备!B:CV,99,FALSE)</f>
        <v>|Cffbbbbbb属性：|r|n攻击+4500|n生命值+22500|n生命回复+450|n攻速+45%|n闪避+6%|n每秒业力+8|n|n攻击6%概率范围|cffff4646业力*15|r魔法伤害|n|n|Cff00ff7f击杀200只怪有50%概率升级|r</v>
      </c>
      <c r="J35" s="118" t="str">
        <f t="shared" si="6"/>
        <v>|Cff00FF7F[饰品]紫晶坠子lv3|r</v>
      </c>
      <c r="K35" s="118" t="str">
        <f t="shared" si="7"/>
        <v>|Cffbbbbbb属性：|r|n攻击+4500|n生命值+22500|n生命回复+450|n攻速+45%|n闪避+6%|n每秒业力+8|n|n攻击6%概率范围|cffff4646业力*15|r魔法伤害|n|n|Cff00ff7f击杀200只怪有50%概率升级|r</v>
      </c>
      <c r="L35" s="7"/>
      <c r="M35" s="119" t="str">
        <f>VLOOKUP(LEFT(RIGHT(B35,5),4),装备!B:CU,20,FALSE)</f>
        <v>ReplaceableTextures\\CommandButtons\\BTNZ07.blp</v>
      </c>
      <c r="N35" s="136" t="s">
        <v>83</v>
      </c>
      <c r="O35" s="137" t="s">
        <v>84</v>
      </c>
      <c r="P35" s="7">
        <v>0</v>
      </c>
      <c r="Q35" s="7">
        <v>0</v>
      </c>
      <c r="R35" s="136" t="s">
        <v>83</v>
      </c>
      <c r="S35" s="136" t="s">
        <v>83</v>
      </c>
      <c r="T35" s="136" t="s">
        <v>83</v>
      </c>
      <c r="U35" s="136" t="s">
        <v>83</v>
      </c>
      <c r="V35" s="7"/>
      <c r="W35" s="7" t="s">
        <v>85</v>
      </c>
      <c r="X35" s="7">
        <v>0</v>
      </c>
      <c r="Y35" s="136" t="s">
        <v>83</v>
      </c>
      <c r="Z35" s="7">
        <v>0</v>
      </c>
      <c r="AA35" s="7">
        <v>0</v>
      </c>
      <c r="AB35" s="7">
        <v>0</v>
      </c>
      <c r="AC35" s="7">
        <v>1</v>
      </c>
      <c r="AD35" s="7">
        <v>1</v>
      </c>
      <c r="AE35" s="136" t="s">
        <v>83</v>
      </c>
      <c r="AF35" s="136" t="s">
        <v>83</v>
      </c>
      <c r="AG35" s="136" t="s">
        <v>83</v>
      </c>
      <c r="AH35" s="136" t="s">
        <v>83</v>
      </c>
      <c r="AI35" s="7"/>
      <c r="AJ35" s="7"/>
      <c r="AK35" s="7">
        <v>0</v>
      </c>
      <c r="AL35" s="7">
        <v>0</v>
      </c>
      <c r="AM35" s="136" t="s">
        <v>83</v>
      </c>
      <c r="AN35" s="7">
        <v>200</v>
      </c>
      <c r="AO35" s="7"/>
      <c r="AP35" s="7"/>
    </row>
    <row r="36" spans="1:42">
      <c r="A36" s="116"/>
      <c r="B36" s="7" t="str">
        <f>装备!B36</f>
        <v>E109</v>
      </c>
      <c r="C36" s="7" t="s">
        <v>41</v>
      </c>
      <c r="D36" s="7" t="s">
        <v>81</v>
      </c>
      <c r="E36" s="7" t="s">
        <v>86</v>
      </c>
      <c r="F36" s="7"/>
      <c r="G36" s="7"/>
      <c r="H36" s="7" t="str">
        <f>VLOOKUP(LEFT(RIGHT(B36,5),4),装备!B:CU,2,FALSE)</f>
        <v>|Cff00FF7F[饰品]紫晶坠子lv4|r</v>
      </c>
      <c r="I36" s="7" t="str">
        <f>VLOOKUP(B36,装备!B:CV,99,FALSE)</f>
        <v>|Cffbbbbbb属性：|r|n攻击+6000|n生命值+30000|n生命回复+600|n攻速+50%|n闪避+6%|n每秒业力+9|n|n攻击6%概率范围|cffff4646业力*15|r魔法伤害|n|n|Cff00ff7f击杀200只怪有50%概率升级|r</v>
      </c>
      <c r="J36" s="118" t="str">
        <f t="shared" ref="J36:J53" si="8">H36</f>
        <v>|Cff00FF7F[饰品]紫晶坠子lv4|r</v>
      </c>
      <c r="K36" s="118" t="str">
        <f t="shared" ref="K36:K53" si="9">I36</f>
        <v>|Cffbbbbbb属性：|r|n攻击+6000|n生命值+30000|n生命回复+600|n攻速+50%|n闪避+6%|n每秒业力+9|n|n攻击6%概率范围|cffff4646业力*15|r魔法伤害|n|n|Cff00ff7f击杀200只怪有50%概率升级|r</v>
      </c>
      <c r="L36" s="7"/>
      <c r="M36" s="119" t="str">
        <f>VLOOKUP(LEFT(RIGHT(B36,5),4),装备!B:CU,20,FALSE)</f>
        <v>ReplaceableTextures\\CommandButtons\\BTNZ07.blp</v>
      </c>
      <c r="N36" s="136" t="s">
        <v>83</v>
      </c>
      <c r="O36" s="137" t="s">
        <v>84</v>
      </c>
      <c r="P36" s="7">
        <v>0</v>
      </c>
      <c r="Q36" s="7">
        <v>0</v>
      </c>
      <c r="R36" s="136" t="s">
        <v>83</v>
      </c>
      <c r="S36" s="136" t="s">
        <v>83</v>
      </c>
      <c r="T36" s="136" t="s">
        <v>83</v>
      </c>
      <c r="U36" s="136" t="s">
        <v>83</v>
      </c>
      <c r="V36" s="7"/>
      <c r="W36" s="7" t="s">
        <v>85</v>
      </c>
      <c r="X36" s="7">
        <v>0</v>
      </c>
      <c r="Y36" s="136" t="s">
        <v>83</v>
      </c>
      <c r="Z36" s="7">
        <v>0</v>
      </c>
      <c r="AA36" s="7">
        <v>0</v>
      </c>
      <c r="AB36" s="7">
        <v>0</v>
      </c>
      <c r="AC36" s="7">
        <v>1</v>
      </c>
      <c r="AD36" s="7">
        <v>1</v>
      </c>
      <c r="AE36" s="136" t="s">
        <v>83</v>
      </c>
      <c r="AF36" s="136" t="s">
        <v>83</v>
      </c>
      <c r="AG36" s="136" t="s">
        <v>83</v>
      </c>
      <c r="AH36" s="136" t="s">
        <v>83</v>
      </c>
      <c r="AI36" s="7"/>
      <c r="AJ36" s="7"/>
      <c r="AK36" s="7">
        <v>0</v>
      </c>
      <c r="AL36" s="7">
        <v>0</v>
      </c>
      <c r="AM36" s="136" t="s">
        <v>83</v>
      </c>
      <c r="AN36" s="7">
        <v>200</v>
      </c>
      <c r="AO36" s="7"/>
      <c r="AP36" s="7"/>
    </row>
    <row r="37" spans="1:42">
      <c r="A37" s="116"/>
      <c r="B37" s="7" t="str">
        <f>装备!B37</f>
        <v>E110</v>
      </c>
      <c r="C37" s="7" t="s">
        <v>41</v>
      </c>
      <c r="D37" s="7" t="s">
        <v>81</v>
      </c>
      <c r="E37" s="7" t="s">
        <v>86</v>
      </c>
      <c r="F37" s="7"/>
      <c r="G37" s="7"/>
      <c r="H37" s="7" t="str">
        <f>VLOOKUP(LEFT(RIGHT(B37,5),4),装备!B:CU,2,FALSE)</f>
        <v>|Cff00FF7F[饰品]紫晶坠子lv5|r</v>
      </c>
      <c r="I37" s="7" t="str">
        <f>VLOOKUP(B37,装备!B:CV,99,FALSE)</f>
        <v>|Cffbbbbbb属性：|r|n攻击+7500|n生命值+37500|n生命回复+750|n攻速+55%|n闪避+6%|n每秒业力+10|n|n攻击6%概率范围|cffff4646业力*15|r魔法伤害|n|n|Cff00ff7f击杀200只怪有50%概率升级|r</v>
      </c>
      <c r="J37" s="118" t="str">
        <f t="shared" si="8"/>
        <v>|Cff00FF7F[饰品]紫晶坠子lv5|r</v>
      </c>
      <c r="K37" s="118" t="str">
        <f t="shared" si="9"/>
        <v>|Cffbbbbbb属性：|r|n攻击+7500|n生命值+37500|n生命回复+750|n攻速+55%|n闪避+6%|n每秒业力+10|n|n攻击6%概率范围|cffff4646业力*15|r魔法伤害|n|n|Cff00ff7f击杀200只怪有50%概率升级|r</v>
      </c>
      <c r="L37" s="7"/>
      <c r="M37" s="119" t="str">
        <f>VLOOKUP(LEFT(RIGHT(B37,5),4),装备!B:CU,20,FALSE)</f>
        <v>ReplaceableTextures\\CommandButtons\\BTNZ07.blp</v>
      </c>
      <c r="N37" s="136" t="s">
        <v>83</v>
      </c>
      <c r="O37" s="137" t="s">
        <v>84</v>
      </c>
      <c r="P37" s="7">
        <v>0</v>
      </c>
      <c r="Q37" s="7">
        <v>0</v>
      </c>
      <c r="R37" s="136" t="s">
        <v>83</v>
      </c>
      <c r="S37" s="136" t="s">
        <v>83</v>
      </c>
      <c r="T37" s="136" t="s">
        <v>83</v>
      </c>
      <c r="U37" s="136" t="s">
        <v>83</v>
      </c>
      <c r="V37" s="7"/>
      <c r="W37" s="7" t="s">
        <v>85</v>
      </c>
      <c r="X37" s="7">
        <v>0</v>
      </c>
      <c r="Y37" s="136" t="s">
        <v>83</v>
      </c>
      <c r="Z37" s="7">
        <v>0</v>
      </c>
      <c r="AA37" s="7">
        <v>0</v>
      </c>
      <c r="AB37" s="7">
        <v>0</v>
      </c>
      <c r="AC37" s="7">
        <v>1</v>
      </c>
      <c r="AD37" s="7">
        <v>1</v>
      </c>
      <c r="AE37" s="136" t="s">
        <v>83</v>
      </c>
      <c r="AF37" s="136" t="s">
        <v>83</v>
      </c>
      <c r="AG37" s="136" t="s">
        <v>83</v>
      </c>
      <c r="AH37" s="136" t="s">
        <v>83</v>
      </c>
      <c r="AI37" s="7"/>
      <c r="AJ37" s="7"/>
      <c r="AK37" s="7">
        <v>0</v>
      </c>
      <c r="AL37" s="7">
        <v>0</v>
      </c>
      <c r="AM37" s="136" t="s">
        <v>83</v>
      </c>
      <c r="AN37" s="7">
        <v>200</v>
      </c>
      <c r="AO37" s="7"/>
      <c r="AP37" s="7"/>
    </row>
    <row r="38" spans="1:42">
      <c r="A38" s="116"/>
      <c r="B38" s="7" t="str">
        <f>装备!B38</f>
        <v>E111</v>
      </c>
      <c r="C38" s="7" t="s">
        <v>41</v>
      </c>
      <c r="D38" s="7" t="s">
        <v>81</v>
      </c>
      <c r="E38" s="7" t="s">
        <v>86</v>
      </c>
      <c r="F38" s="7"/>
      <c r="G38" s="7"/>
      <c r="H38" s="7" t="str">
        <f>VLOOKUP(LEFT(RIGHT(B38,5),4),装备!B:CU,2,FALSE)</f>
        <v>|Cff00BFFF[饰品]三才项圈lv1|r</v>
      </c>
      <c r="I38" s="7" t="str">
        <f>VLOOKUP(B38,装备!B:CV,99,FALSE)</f>
        <v>|Cffbbbbbb属性：|r|n攻击+15000|n生命值+75000|n生命回复+1500|n攻速+60%|n闪避+9%|n每秒业力+11|n|n攻击6%概率范围|cffff4646业力*15|r魔法伤害|n|n|Cff00ff7f击杀300只怪有50%概率升级|r</v>
      </c>
      <c r="J38" s="118" t="str">
        <f t="shared" si="8"/>
        <v>|Cff00BFFF[饰品]三才项圈lv1|r</v>
      </c>
      <c r="K38" s="118" t="str">
        <f t="shared" si="9"/>
        <v>|Cffbbbbbb属性：|r|n攻击+15000|n生命值+75000|n生命回复+1500|n攻速+60%|n闪避+9%|n每秒业力+11|n|n攻击6%概率范围|cffff4646业力*15|r魔法伤害|n|n|Cff00ff7f击杀300只怪有50%概率升级|r</v>
      </c>
      <c r="L38" s="7"/>
      <c r="M38" s="119" t="str">
        <f>VLOOKUP(LEFT(RIGHT(B38,5),4),装备!B:CU,20,FALSE)</f>
        <v>ReplaceableTextures\\CommandButtons\\BTNZ08.blp</v>
      </c>
      <c r="N38" s="136" t="s">
        <v>83</v>
      </c>
      <c r="O38" s="137" t="s">
        <v>84</v>
      </c>
      <c r="P38" s="7">
        <v>0</v>
      </c>
      <c r="Q38" s="7">
        <v>0</v>
      </c>
      <c r="R38" s="136" t="s">
        <v>83</v>
      </c>
      <c r="S38" s="136" t="s">
        <v>83</v>
      </c>
      <c r="T38" s="136" t="s">
        <v>83</v>
      </c>
      <c r="U38" s="136" t="s">
        <v>83</v>
      </c>
      <c r="V38" s="7"/>
      <c r="W38" s="7" t="s">
        <v>85</v>
      </c>
      <c r="X38" s="7">
        <v>0</v>
      </c>
      <c r="Y38" s="136" t="s">
        <v>83</v>
      </c>
      <c r="Z38" s="7">
        <v>0</v>
      </c>
      <c r="AA38" s="7">
        <v>0</v>
      </c>
      <c r="AB38" s="7">
        <v>0</v>
      </c>
      <c r="AC38" s="7">
        <v>1</v>
      </c>
      <c r="AD38" s="7">
        <v>1</v>
      </c>
      <c r="AE38" s="136" t="s">
        <v>83</v>
      </c>
      <c r="AF38" s="136" t="s">
        <v>83</v>
      </c>
      <c r="AG38" s="136" t="s">
        <v>83</v>
      </c>
      <c r="AH38" s="136" t="s">
        <v>83</v>
      </c>
      <c r="AI38" s="7"/>
      <c r="AJ38" s="7"/>
      <c r="AK38" s="7">
        <v>0</v>
      </c>
      <c r="AL38" s="7">
        <v>0</v>
      </c>
      <c r="AM38" s="136" t="s">
        <v>83</v>
      </c>
      <c r="AN38" s="7">
        <v>300</v>
      </c>
      <c r="AO38" s="7"/>
      <c r="AP38" s="7"/>
    </row>
    <row r="39" spans="1:42">
      <c r="A39" s="116"/>
      <c r="B39" s="7" t="str">
        <f>装备!B39</f>
        <v>E112</v>
      </c>
      <c r="C39" s="7" t="s">
        <v>41</v>
      </c>
      <c r="D39" s="7" t="s">
        <v>81</v>
      </c>
      <c r="E39" s="7" t="s">
        <v>86</v>
      </c>
      <c r="F39" s="7"/>
      <c r="G39" s="7"/>
      <c r="H39" s="7" t="str">
        <f>VLOOKUP(LEFT(RIGHT(B39,5),4),装备!B:CU,2,FALSE)</f>
        <v>|Cff00BFFF[饰品]三才项圈lv2|r</v>
      </c>
      <c r="I39" s="7" t="str">
        <f>VLOOKUP(B39,装备!B:CV,99,FALSE)</f>
        <v>|Cffbbbbbb属性：|r|n攻击+19500|n生命值+97500|n生命回复+1950|n攻速+65%|n闪避+9%|n每秒业力+12|n|n攻击6%概率范围|cffff4646业力*15|r魔法伤害|n|n|Cff00ff7f击杀300只怪有50%概率升级|r</v>
      </c>
      <c r="J39" s="118" t="str">
        <f t="shared" si="8"/>
        <v>|Cff00BFFF[饰品]三才项圈lv2|r</v>
      </c>
      <c r="K39" s="118" t="str">
        <f t="shared" si="9"/>
        <v>|Cffbbbbbb属性：|r|n攻击+19500|n生命值+97500|n生命回复+1950|n攻速+65%|n闪避+9%|n每秒业力+12|n|n攻击6%概率范围|cffff4646业力*15|r魔法伤害|n|n|Cff00ff7f击杀300只怪有50%概率升级|r</v>
      </c>
      <c r="L39" s="7"/>
      <c r="M39" s="119" t="str">
        <f>VLOOKUP(LEFT(RIGHT(B39,5),4),装备!B:CU,20,FALSE)</f>
        <v>ReplaceableTextures\\CommandButtons\\BTNZ08.blp</v>
      </c>
      <c r="N39" s="136" t="s">
        <v>83</v>
      </c>
      <c r="O39" s="137" t="s">
        <v>84</v>
      </c>
      <c r="P39" s="7">
        <v>0</v>
      </c>
      <c r="Q39" s="7">
        <v>0</v>
      </c>
      <c r="R39" s="136" t="s">
        <v>83</v>
      </c>
      <c r="S39" s="136" t="s">
        <v>83</v>
      </c>
      <c r="T39" s="136" t="s">
        <v>83</v>
      </c>
      <c r="U39" s="136" t="s">
        <v>83</v>
      </c>
      <c r="V39" s="7"/>
      <c r="W39" s="7" t="s">
        <v>85</v>
      </c>
      <c r="X39" s="7">
        <v>0</v>
      </c>
      <c r="Y39" s="136" t="s">
        <v>83</v>
      </c>
      <c r="Z39" s="7">
        <v>0</v>
      </c>
      <c r="AA39" s="7">
        <v>0</v>
      </c>
      <c r="AB39" s="7">
        <v>0</v>
      </c>
      <c r="AC39" s="7">
        <v>1</v>
      </c>
      <c r="AD39" s="7">
        <v>1</v>
      </c>
      <c r="AE39" s="136" t="s">
        <v>83</v>
      </c>
      <c r="AF39" s="136" t="s">
        <v>83</v>
      </c>
      <c r="AG39" s="136" t="s">
        <v>83</v>
      </c>
      <c r="AH39" s="136" t="s">
        <v>83</v>
      </c>
      <c r="AI39" s="7"/>
      <c r="AJ39" s="7"/>
      <c r="AK39" s="7">
        <v>0</v>
      </c>
      <c r="AL39" s="7">
        <v>0</v>
      </c>
      <c r="AM39" s="136" t="s">
        <v>83</v>
      </c>
      <c r="AN39" s="7">
        <v>300</v>
      </c>
      <c r="AO39" s="7"/>
      <c r="AP39" s="7"/>
    </row>
    <row r="40" spans="1:42">
      <c r="A40" s="116"/>
      <c r="B40" s="7" t="str">
        <f>装备!B40</f>
        <v>E113</v>
      </c>
      <c r="C40" s="7" t="s">
        <v>41</v>
      </c>
      <c r="D40" s="7" t="s">
        <v>81</v>
      </c>
      <c r="E40" s="7" t="s">
        <v>86</v>
      </c>
      <c r="F40" s="7"/>
      <c r="G40" s="7"/>
      <c r="H40" s="7" t="str">
        <f>VLOOKUP(LEFT(RIGHT(B40,5),4),装备!B:CU,2,FALSE)</f>
        <v>|Cff00BFFF[饰品]三才项圈lv3|r</v>
      </c>
      <c r="I40" s="7" t="str">
        <f>VLOOKUP(B40,装备!B:CV,99,FALSE)</f>
        <v>|Cffbbbbbb属性：|r|n攻击+24000|n生命值+120000|n生命回复+2400|n攻速+70%|n闪避+9%|n每秒业力+13|n|n攻击6%概率范围|cffff4646业力*15|r魔法伤害|n|n|Cff00ff7f击杀300只怪有50%概率升级|r</v>
      </c>
      <c r="J40" s="118" t="str">
        <f t="shared" si="8"/>
        <v>|Cff00BFFF[饰品]三才项圈lv3|r</v>
      </c>
      <c r="K40" s="118" t="str">
        <f t="shared" si="9"/>
        <v>|Cffbbbbbb属性：|r|n攻击+24000|n生命值+120000|n生命回复+2400|n攻速+70%|n闪避+9%|n每秒业力+13|n|n攻击6%概率范围|cffff4646业力*15|r魔法伤害|n|n|Cff00ff7f击杀300只怪有50%概率升级|r</v>
      </c>
      <c r="L40" s="7"/>
      <c r="M40" s="119" t="str">
        <f>VLOOKUP(LEFT(RIGHT(B40,5),4),装备!B:CU,20,FALSE)</f>
        <v>ReplaceableTextures\\CommandButtons\\BTNZ08.blp</v>
      </c>
      <c r="N40" s="136" t="s">
        <v>83</v>
      </c>
      <c r="O40" s="137" t="s">
        <v>84</v>
      </c>
      <c r="P40" s="7">
        <v>0</v>
      </c>
      <c r="Q40" s="7">
        <v>0</v>
      </c>
      <c r="R40" s="136" t="s">
        <v>83</v>
      </c>
      <c r="S40" s="136" t="s">
        <v>83</v>
      </c>
      <c r="T40" s="136" t="s">
        <v>83</v>
      </c>
      <c r="U40" s="136" t="s">
        <v>83</v>
      </c>
      <c r="V40" s="7"/>
      <c r="W40" s="7" t="s">
        <v>85</v>
      </c>
      <c r="X40" s="7">
        <v>0</v>
      </c>
      <c r="Y40" s="136" t="s">
        <v>83</v>
      </c>
      <c r="Z40" s="7">
        <v>0</v>
      </c>
      <c r="AA40" s="7">
        <v>0</v>
      </c>
      <c r="AB40" s="7">
        <v>0</v>
      </c>
      <c r="AC40" s="7">
        <v>1</v>
      </c>
      <c r="AD40" s="7">
        <v>1</v>
      </c>
      <c r="AE40" s="136" t="s">
        <v>83</v>
      </c>
      <c r="AF40" s="136" t="s">
        <v>83</v>
      </c>
      <c r="AG40" s="136" t="s">
        <v>83</v>
      </c>
      <c r="AH40" s="136" t="s">
        <v>83</v>
      </c>
      <c r="AI40" s="7"/>
      <c r="AJ40" s="7"/>
      <c r="AK40" s="7">
        <v>0</v>
      </c>
      <c r="AL40" s="7">
        <v>0</v>
      </c>
      <c r="AM40" s="136" t="s">
        <v>83</v>
      </c>
      <c r="AN40" s="7">
        <v>300</v>
      </c>
      <c r="AO40" s="7"/>
      <c r="AP40" s="7"/>
    </row>
    <row r="41" spans="1:42">
      <c r="A41" s="116"/>
      <c r="B41" s="7" t="str">
        <f>装备!B41</f>
        <v>E114</v>
      </c>
      <c r="C41" s="7" t="s">
        <v>41</v>
      </c>
      <c r="D41" s="7" t="s">
        <v>81</v>
      </c>
      <c r="E41" s="7" t="s">
        <v>86</v>
      </c>
      <c r="F41" s="7"/>
      <c r="G41" s="7"/>
      <c r="H41" s="7" t="str">
        <f>VLOOKUP(LEFT(RIGHT(B41,5),4),装备!B:CU,2,FALSE)</f>
        <v>|Cff00BFFF[饰品]三才项圈lv4|r</v>
      </c>
      <c r="I41" s="7" t="str">
        <f>VLOOKUP(B41,装备!B:CV,99,FALSE)</f>
        <v>|Cffbbbbbb属性：|r|n攻击+28500|n生命值+142500|n生命回复+2850|n攻速+75%|n闪避+9%|n每秒业力+14|n|n攻击6%概率范围|cffff4646业力*15|r魔法伤害|n|n|Cff00ff7f击杀300只怪有50%概率升级|r</v>
      </c>
      <c r="J41" s="118" t="str">
        <f t="shared" si="8"/>
        <v>|Cff00BFFF[饰品]三才项圈lv4|r</v>
      </c>
      <c r="K41" s="118" t="str">
        <f t="shared" si="9"/>
        <v>|Cffbbbbbb属性：|r|n攻击+28500|n生命值+142500|n生命回复+2850|n攻速+75%|n闪避+9%|n每秒业力+14|n|n攻击6%概率范围|cffff4646业力*15|r魔法伤害|n|n|Cff00ff7f击杀300只怪有50%概率升级|r</v>
      </c>
      <c r="L41" s="7"/>
      <c r="M41" s="119" t="str">
        <f>VLOOKUP(LEFT(RIGHT(B41,5),4),装备!B:CU,20,FALSE)</f>
        <v>ReplaceableTextures\\CommandButtons\\BTNZ08.blp</v>
      </c>
      <c r="N41" s="136" t="s">
        <v>83</v>
      </c>
      <c r="O41" s="137" t="s">
        <v>84</v>
      </c>
      <c r="P41" s="7">
        <v>0</v>
      </c>
      <c r="Q41" s="7">
        <v>0</v>
      </c>
      <c r="R41" s="136" t="s">
        <v>83</v>
      </c>
      <c r="S41" s="136" t="s">
        <v>83</v>
      </c>
      <c r="T41" s="136" t="s">
        <v>83</v>
      </c>
      <c r="U41" s="136" t="s">
        <v>83</v>
      </c>
      <c r="V41" s="7"/>
      <c r="W41" s="7" t="s">
        <v>85</v>
      </c>
      <c r="X41" s="7">
        <v>0</v>
      </c>
      <c r="Y41" s="136" t="s">
        <v>83</v>
      </c>
      <c r="Z41" s="7">
        <v>0</v>
      </c>
      <c r="AA41" s="7">
        <v>0</v>
      </c>
      <c r="AB41" s="7">
        <v>0</v>
      </c>
      <c r="AC41" s="7">
        <v>1</v>
      </c>
      <c r="AD41" s="7">
        <v>1</v>
      </c>
      <c r="AE41" s="136" t="s">
        <v>83</v>
      </c>
      <c r="AF41" s="136" t="s">
        <v>83</v>
      </c>
      <c r="AG41" s="136" t="s">
        <v>83</v>
      </c>
      <c r="AH41" s="136" t="s">
        <v>83</v>
      </c>
      <c r="AI41" s="7"/>
      <c r="AJ41" s="7"/>
      <c r="AK41" s="7">
        <v>0</v>
      </c>
      <c r="AL41" s="7">
        <v>0</v>
      </c>
      <c r="AM41" s="136" t="s">
        <v>83</v>
      </c>
      <c r="AN41" s="7">
        <v>300</v>
      </c>
      <c r="AO41" s="7"/>
      <c r="AP41" s="7"/>
    </row>
    <row r="42" spans="1:42">
      <c r="A42" s="116"/>
      <c r="B42" s="7" t="str">
        <f>装备!B42</f>
        <v>E115</v>
      </c>
      <c r="C42" s="7" t="s">
        <v>41</v>
      </c>
      <c r="D42" s="7" t="s">
        <v>81</v>
      </c>
      <c r="E42" s="7" t="s">
        <v>86</v>
      </c>
      <c r="F42" s="7"/>
      <c r="G42" s="7"/>
      <c r="H42" s="7" t="str">
        <f>VLOOKUP(LEFT(RIGHT(B42,5),4),装备!B:CU,2,FALSE)</f>
        <v>|Cff00BFFF[饰品]三才项圈lv5|r</v>
      </c>
      <c r="I42" s="7" t="str">
        <f>VLOOKUP(B42,装备!B:CV,99,FALSE)</f>
        <v>|Cffbbbbbb属性：|r|n攻击+31500|n生命值+157500|n生命回复+3150|n攻速+80%|n闪避+9%|n每秒业力+15|n|n攻击6%概率范围|cffff4646业力*15|r魔法伤害|n|n|Cff00ff7f击杀300只怪有50%概率升级|r</v>
      </c>
      <c r="J42" s="118" t="str">
        <f t="shared" si="8"/>
        <v>|Cff00BFFF[饰品]三才项圈lv5|r</v>
      </c>
      <c r="K42" s="118" t="str">
        <f t="shared" si="9"/>
        <v>|Cffbbbbbb属性：|r|n攻击+31500|n生命值+157500|n生命回复+3150|n攻速+80%|n闪避+9%|n每秒业力+15|n|n攻击6%概率范围|cffff4646业力*15|r魔法伤害|n|n|Cff00ff7f击杀300只怪有50%概率升级|r</v>
      </c>
      <c r="L42" s="7"/>
      <c r="M42" s="119" t="str">
        <f>VLOOKUP(LEFT(RIGHT(B42,5),4),装备!B:CU,20,FALSE)</f>
        <v>ReplaceableTextures\\CommandButtons\\BTNZ08.blp</v>
      </c>
      <c r="N42" s="136" t="s">
        <v>83</v>
      </c>
      <c r="O42" s="137" t="s">
        <v>84</v>
      </c>
      <c r="P42" s="7">
        <v>0</v>
      </c>
      <c r="Q42" s="7">
        <v>0</v>
      </c>
      <c r="R42" s="136" t="s">
        <v>83</v>
      </c>
      <c r="S42" s="136" t="s">
        <v>83</v>
      </c>
      <c r="T42" s="136" t="s">
        <v>83</v>
      </c>
      <c r="U42" s="136" t="s">
        <v>83</v>
      </c>
      <c r="V42" s="7"/>
      <c r="W42" s="7" t="s">
        <v>85</v>
      </c>
      <c r="X42" s="7">
        <v>0</v>
      </c>
      <c r="Y42" s="136" t="s">
        <v>83</v>
      </c>
      <c r="Z42" s="7">
        <v>0</v>
      </c>
      <c r="AA42" s="7">
        <v>0</v>
      </c>
      <c r="AB42" s="7">
        <v>0</v>
      </c>
      <c r="AC42" s="7">
        <v>1</v>
      </c>
      <c r="AD42" s="7">
        <v>1</v>
      </c>
      <c r="AE42" s="136" t="s">
        <v>83</v>
      </c>
      <c r="AF42" s="136" t="s">
        <v>83</v>
      </c>
      <c r="AG42" s="136" t="s">
        <v>83</v>
      </c>
      <c r="AH42" s="136" t="s">
        <v>83</v>
      </c>
      <c r="AI42" s="7"/>
      <c r="AJ42" s="7"/>
      <c r="AK42" s="7">
        <v>0</v>
      </c>
      <c r="AL42" s="7">
        <v>0</v>
      </c>
      <c r="AM42" s="136" t="s">
        <v>83</v>
      </c>
      <c r="AN42" s="7">
        <v>300</v>
      </c>
      <c r="AO42" s="7"/>
      <c r="AP42" s="7"/>
    </row>
    <row r="43" spans="1:42">
      <c r="A43" s="116"/>
      <c r="B43" s="7" t="str">
        <f>装备!B43</f>
        <v>E116</v>
      </c>
      <c r="C43" s="7" t="s">
        <v>41</v>
      </c>
      <c r="D43" s="7" t="s">
        <v>81</v>
      </c>
      <c r="E43" s="7" t="s">
        <v>86</v>
      </c>
      <c r="F43" s="7"/>
      <c r="G43" s="7"/>
      <c r="H43" s="7" t="str">
        <f>VLOOKUP(LEFT(RIGHT(B43,5),4),装备!B:CU,2,FALSE)</f>
        <v>|CffFFC926[饰品]秘魔灵珠lv1|r</v>
      </c>
      <c r="I43" s="7" t="str">
        <f>VLOOKUP(B43,装备!B:CV,99,FALSE)</f>
        <v>|Cffbbbbbb属性：|r|n攻击+45000|n生命值+225000|n生命回复+4500|n攻速+85%|n闪避+12%|n每秒业力+16|n|n攻击6%概率范围|cffff4646业力*15|r魔法伤害|n|n|Cff00ff7f击杀400只怪有50%概率升级|r</v>
      </c>
      <c r="J43" s="118" t="str">
        <f t="shared" si="8"/>
        <v>|CffFFC926[饰品]秘魔灵珠lv1|r</v>
      </c>
      <c r="K43" s="118" t="str">
        <f t="shared" si="9"/>
        <v>|Cffbbbbbb属性：|r|n攻击+45000|n生命值+225000|n生命回复+4500|n攻速+85%|n闪避+12%|n每秒业力+16|n|n攻击6%概率范围|cffff4646业力*15|r魔法伤害|n|n|Cff00ff7f击杀400只怪有50%概率升级|r</v>
      </c>
      <c r="L43" s="7"/>
      <c r="M43" s="119" t="str">
        <f>VLOOKUP(LEFT(RIGHT(B43,5),4),装备!B:CU,20,FALSE)</f>
        <v>ReplaceableTextures\\CommandButtons\\BTNZ09.blp</v>
      </c>
      <c r="N43" s="136" t="s">
        <v>83</v>
      </c>
      <c r="O43" s="137" t="s">
        <v>84</v>
      </c>
      <c r="P43" s="7">
        <v>0</v>
      </c>
      <c r="Q43" s="7">
        <v>0</v>
      </c>
      <c r="R43" s="136" t="s">
        <v>83</v>
      </c>
      <c r="S43" s="136" t="s">
        <v>83</v>
      </c>
      <c r="T43" s="136" t="s">
        <v>83</v>
      </c>
      <c r="U43" s="136" t="s">
        <v>83</v>
      </c>
      <c r="V43" s="7"/>
      <c r="W43" s="7" t="s">
        <v>85</v>
      </c>
      <c r="X43" s="7">
        <v>0</v>
      </c>
      <c r="Y43" s="136" t="s">
        <v>83</v>
      </c>
      <c r="Z43" s="7">
        <v>0</v>
      </c>
      <c r="AA43" s="7">
        <v>0</v>
      </c>
      <c r="AB43" s="7">
        <v>0</v>
      </c>
      <c r="AC43" s="7">
        <v>1</v>
      </c>
      <c r="AD43" s="7">
        <v>1</v>
      </c>
      <c r="AE43" s="136" t="s">
        <v>83</v>
      </c>
      <c r="AF43" s="136" t="s">
        <v>83</v>
      </c>
      <c r="AG43" s="136" t="s">
        <v>83</v>
      </c>
      <c r="AH43" s="136" t="s">
        <v>83</v>
      </c>
      <c r="AI43" s="7"/>
      <c r="AJ43" s="7"/>
      <c r="AK43" s="7">
        <v>0</v>
      </c>
      <c r="AL43" s="7">
        <v>0</v>
      </c>
      <c r="AM43" s="136" t="s">
        <v>83</v>
      </c>
      <c r="AN43" s="7">
        <v>400</v>
      </c>
      <c r="AO43" s="7"/>
      <c r="AP43" s="7"/>
    </row>
    <row r="44" spans="1:42">
      <c r="A44" s="116"/>
      <c r="B44" s="7" t="str">
        <f>装备!B44</f>
        <v>E117</v>
      </c>
      <c r="C44" s="7" t="s">
        <v>41</v>
      </c>
      <c r="D44" s="7" t="s">
        <v>81</v>
      </c>
      <c r="E44" s="7" t="s">
        <v>86</v>
      </c>
      <c r="F44" s="7"/>
      <c r="G44" s="7"/>
      <c r="H44" s="7" t="str">
        <f>VLOOKUP(LEFT(RIGHT(B44,5),4),装备!B:CU,2,FALSE)</f>
        <v>|CffFFC926[饰品]秘魔灵珠lv2|r</v>
      </c>
      <c r="I44" s="7" t="str">
        <f>VLOOKUP(B44,装备!B:CV,99,FALSE)</f>
        <v>|Cffbbbbbb属性：|r|n攻击+52500|n生命值+262500|n生命回复+5250|n攻速+90%|n闪避+12%|n每秒业力+17|n|n攻击6%概率范围|cffff4646业力*15|r魔法伤害|n|n|Cff00ff7f击杀400只怪有50%概率升级|r</v>
      </c>
      <c r="J44" s="118" t="str">
        <f t="shared" si="8"/>
        <v>|CffFFC926[饰品]秘魔灵珠lv2|r</v>
      </c>
      <c r="K44" s="118" t="str">
        <f t="shared" si="9"/>
        <v>|Cffbbbbbb属性：|r|n攻击+52500|n生命值+262500|n生命回复+5250|n攻速+90%|n闪避+12%|n每秒业力+17|n|n攻击6%概率范围|cffff4646业力*15|r魔法伤害|n|n|Cff00ff7f击杀400只怪有50%概率升级|r</v>
      </c>
      <c r="L44" s="7"/>
      <c r="M44" s="119" t="str">
        <f>VLOOKUP(LEFT(RIGHT(B44,5),4),装备!B:CU,20,FALSE)</f>
        <v>ReplaceableTextures\\CommandButtons\\BTNZ09.blp</v>
      </c>
      <c r="N44" s="136" t="s">
        <v>83</v>
      </c>
      <c r="O44" s="137" t="s">
        <v>84</v>
      </c>
      <c r="P44" s="7">
        <v>0</v>
      </c>
      <c r="Q44" s="7">
        <v>0</v>
      </c>
      <c r="R44" s="136" t="s">
        <v>83</v>
      </c>
      <c r="S44" s="136" t="s">
        <v>83</v>
      </c>
      <c r="T44" s="136" t="s">
        <v>83</v>
      </c>
      <c r="U44" s="136" t="s">
        <v>83</v>
      </c>
      <c r="V44" s="7"/>
      <c r="W44" s="7" t="s">
        <v>85</v>
      </c>
      <c r="X44" s="7">
        <v>0</v>
      </c>
      <c r="Y44" s="136" t="s">
        <v>83</v>
      </c>
      <c r="Z44" s="7">
        <v>0</v>
      </c>
      <c r="AA44" s="7">
        <v>0</v>
      </c>
      <c r="AB44" s="7">
        <v>0</v>
      </c>
      <c r="AC44" s="7">
        <v>1</v>
      </c>
      <c r="AD44" s="7">
        <v>1</v>
      </c>
      <c r="AE44" s="136" t="s">
        <v>83</v>
      </c>
      <c r="AF44" s="136" t="s">
        <v>83</v>
      </c>
      <c r="AG44" s="136" t="s">
        <v>83</v>
      </c>
      <c r="AH44" s="136" t="s">
        <v>83</v>
      </c>
      <c r="AI44" s="7"/>
      <c r="AJ44" s="7"/>
      <c r="AK44" s="7">
        <v>0</v>
      </c>
      <c r="AL44" s="7">
        <v>0</v>
      </c>
      <c r="AM44" s="136" t="s">
        <v>83</v>
      </c>
      <c r="AN44" s="7">
        <v>400</v>
      </c>
      <c r="AO44" s="7"/>
      <c r="AP44" s="7"/>
    </row>
    <row r="45" spans="1:42">
      <c r="A45" s="116"/>
      <c r="B45" s="7" t="str">
        <f>装备!B45</f>
        <v>E118</v>
      </c>
      <c r="C45" s="7" t="s">
        <v>41</v>
      </c>
      <c r="D45" s="7" t="s">
        <v>81</v>
      </c>
      <c r="E45" s="7" t="s">
        <v>86</v>
      </c>
      <c r="F45" s="7"/>
      <c r="G45" s="7"/>
      <c r="H45" s="7" t="str">
        <f>VLOOKUP(LEFT(RIGHT(B45,5),4),装备!B:CU,2,FALSE)</f>
        <v>|CffFFC926[饰品]秘魔灵珠lv3|r</v>
      </c>
      <c r="I45" s="7" t="str">
        <f>VLOOKUP(B45,装备!B:CV,99,FALSE)</f>
        <v>|Cffbbbbbb属性：|r|n攻击+60000|n生命值+300000|n生命回复+6000|n攻速+95%|n闪避+12%|n每秒业力+18|n|n攻击6%概率范围|cffff4646业力*15|r魔法伤害|n|n|Cff00ff7f击杀400只怪有50%概率升级|r</v>
      </c>
      <c r="J45" s="118" t="str">
        <f t="shared" si="8"/>
        <v>|CffFFC926[饰品]秘魔灵珠lv3|r</v>
      </c>
      <c r="K45" s="118" t="str">
        <f t="shared" si="9"/>
        <v>|Cffbbbbbb属性：|r|n攻击+60000|n生命值+300000|n生命回复+6000|n攻速+95%|n闪避+12%|n每秒业力+18|n|n攻击6%概率范围|cffff4646业力*15|r魔法伤害|n|n|Cff00ff7f击杀400只怪有50%概率升级|r</v>
      </c>
      <c r="L45" s="7"/>
      <c r="M45" s="119" t="str">
        <f>VLOOKUP(LEFT(RIGHT(B45,5),4),装备!B:CU,20,FALSE)</f>
        <v>ReplaceableTextures\\CommandButtons\\BTNZ09.blp</v>
      </c>
      <c r="N45" s="136" t="s">
        <v>83</v>
      </c>
      <c r="O45" s="137" t="s">
        <v>84</v>
      </c>
      <c r="P45" s="7">
        <v>0</v>
      </c>
      <c r="Q45" s="7">
        <v>0</v>
      </c>
      <c r="R45" s="136" t="s">
        <v>83</v>
      </c>
      <c r="S45" s="136" t="s">
        <v>83</v>
      </c>
      <c r="T45" s="136" t="s">
        <v>83</v>
      </c>
      <c r="U45" s="136" t="s">
        <v>83</v>
      </c>
      <c r="V45" s="7"/>
      <c r="W45" s="7" t="s">
        <v>85</v>
      </c>
      <c r="X45" s="7">
        <v>0</v>
      </c>
      <c r="Y45" s="136" t="s">
        <v>83</v>
      </c>
      <c r="Z45" s="7">
        <v>0</v>
      </c>
      <c r="AA45" s="7">
        <v>0</v>
      </c>
      <c r="AB45" s="7">
        <v>0</v>
      </c>
      <c r="AC45" s="7">
        <v>1</v>
      </c>
      <c r="AD45" s="7">
        <v>1</v>
      </c>
      <c r="AE45" s="136" t="s">
        <v>83</v>
      </c>
      <c r="AF45" s="136" t="s">
        <v>83</v>
      </c>
      <c r="AG45" s="136" t="s">
        <v>83</v>
      </c>
      <c r="AH45" s="136" t="s">
        <v>83</v>
      </c>
      <c r="AI45" s="7"/>
      <c r="AJ45" s="7"/>
      <c r="AK45" s="7">
        <v>0</v>
      </c>
      <c r="AL45" s="7">
        <v>0</v>
      </c>
      <c r="AM45" s="136" t="s">
        <v>83</v>
      </c>
      <c r="AN45" s="7">
        <v>400</v>
      </c>
      <c r="AO45" s="7"/>
      <c r="AP45" s="7"/>
    </row>
    <row r="46" spans="1:42">
      <c r="A46" s="116"/>
      <c r="B46" s="7" t="str">
        <f>装备!B46</f>
        <v>E119</v>
      </c>
      <c r="C46" s="7" t="s">
        <v>41</v>
      </c>
      <c r="D46" s="7" t="s">
        <v>81</v>
      </c>
      <c r="E46" s="7" t="s">
        <v>86</v>
      </c>
      <c r="F46" s="7"/>
      <c r="G46" s="7"/>
      <c r="H46" s="7" t="str">
        <f>VLOOKUP(LEFT(RIGHT(B46,5),4),装备!B:CU,2,FALSE)</f>
        <v>|CffFFC926[饰品]秘魔灵珠lv4|r</v>
      </c>
      <c r="I46" s="7" t="str">
        <f>VLOOKUP(B46,装备!B:CV,99,FALSE)</f>
        <v>|Cffbbbbbb属性：|r|n攻击+67500|n生命值+337500|n生命回复+6750|n攻速+100%|n闪避+12%|n每秒业力+19|n|n攻击6%概率范围|cffff4646业力*15|r魔法伤害|n|n|Cff00ff7f击杀400只怪有50%概率升级|r</v>
      </c>
      <c r="J46" s="118" t="str">
        <f t="shared" si="8"/>
        <v>|CffFFC926[饰品]秘魔灵珠lv4|r</v>
      </c>
      <c r="K46" s="118" t="str">
        <f t="shared" si="9"/>
        <v>|Cffbbbbbb属性：|r|n攻击+67500|n生命值+337500|n生命回复+6750|n攻速+100%|n闪避+12%|n每秒业力+19|n|n攻击6%概率范围|cffff4646业力*15|r魔法伤害|n|n|Cff00ff7f击杀400只怪有50%概率升级|r</v>
      </c>
      <c r="L46" s="7"/>
      <c r="M46" s="119" t="str">
        <f>VLOOKUP(LEFT(RIGHT(B46,5),4),装备!B:CU,20,FALSE)</f>
        <v>ReplaceableTextures\\CommandButtons\\BTNZ09.blp</v>
      </c>
      <c r="N46" s="136" t="s">
        <v>83</v>
      </c>
      <c r="O46" s="137" t="s">
        <v>84</v>
      </c>
      <c r="P46" s="7">
        <v>0</v>
      </c>
      <c r="Q46" s="7">
        <v>0</v>
      </c>
      <c r="R46" s="136" t="s">
        <v>83</v>
      </c>
      <c r="S46" s="136" t="s">
        <v>83</v>
      </c>
      <c r="T46" s="136" t="s">
        <v>83</v>
      </c>
      <c r="U46" s="136" t="s">
        <v>83</v>
      </c>
      <c r="V46" s="7"/>
      <c r="W46" s="7" t="s">
        <v>85</v>
      </c>
      <c r="X46" s="7">
        <v>0</v>
      </c>
      <c r="Y46" s="136" t="s">
        <v>83</v>
      </c>
      <c r="Z46" s="7">
        <v>0</v>
      </c>
      <c r="AA46" s="7">
        <v>0</v>
      </c>
      <c r="AB46" s="7">
        <v>0</v>
      </c>
      <c r="AC46" s="7">
        <v>1</v>
      </c>
      <c r="AD46" s="7">
        <v>1</v>
      </c>
      <c r="AE46" s="136" t="s">
        <v>83</v>
      </c>
      <c r="AF46" s="136" t="s">
        <v>83</v>
      </c>
      <c r="AG46" s="136" t="s">
        <v>83</v>
      </c>
      <c r="AH46" s="136" t="s">
        <v>83</v>
      </c>
      <c r="AI46" s="7"/>
      <c r="AJ46" s="7"/>
      <c r="AK46" s="7">
        <v>0</v>
      </c>
      <c r="AL46" s="7">
        <v>0</v>
      </c>
      <c r="AM46" s="136" t="s">
        <v>83</v>
      </c>
      <c r="AN46" s="7">
        <v>400</v>
      </c>
      <c r="AO46" s="7"/>
      <c r="AP46" s="7"/>
    </row>
    <row r="47" spans="1:42">
      <c r="A47" s="116"/>
      <c r="B47" s="7" t="str">
        <f>装备!B47</f>
        <v>E120</v>
      </c>
      <c r="C47" s="7" t="s">
        <v>41</v>
      </c>
      <c r="D47" s="7" t="s">
        <v>81</v>
      </c>
      <c r="E47" s="7" t="s">
        <v>86</v>
      </c>
      <c r="F47" s="7"/>
      <c r="G47" s="7"/>
      <c r="H47" s="7" t="str">
        <f>VLOOKUP(LEFT(RIGHT(B47,5),4),装备!B:CU,2,FALSE)</f>
        <v>|CffFFC926[饰品]秘魔灵珠lv5|r</v>
      </c>
      <c r="I47" s="7" t="str">
        <f>VLOOKUP(B47,装备!B:CV,99,FALSE)</f>
        <v>|Cffbbbbbb属性：|r|n攻击+75000|n生命值+375000|n生命回复+7500|n攻速+105%|n闪避+12%|n每秒业力+20|n|n攻击6%概率范围|cffff4646业力*15|r魔法伤害|n|n|Cff00ff7f击杀400只怪有50%概率升级|r</v>
      </c>
      <c r="J47" s="118" t="str">
        <f t="shared" si="8"/>
        <v>|CffFFC926[饰品]秘魔灵珠lv5|r</v>
      </c>
      <c r="K47" s="118" t="str">
        <f t="shared" si="9"/>
        <v>|Cffbbbbbb属性：|r|n攻击+75000|n生命值+375000|n生命回复+7500|n攻速+105%|n闪避+12%|n每秒业力+20|n|n攻击6%概率范围|cffff4646业力*15|r魔法伤害|n|n|Cff00ff7f击杀400只怪有50%概率升级|r</v>
      </c>
      <c r="L47" s="7"/>
      <c r="M47" s="119" t="str">
        <f>VLOOKUP(LEFT(RIGHT(B47,5),4),装备!B:CU,20,FALSE)</f>
        <v>ReplaceableTextures\\CommandButtons\\BTNZ09.blp</v>
      </c>
      <c r="N47" s="136" t="s">
        <v>83</v>
      </c>
      <c r="O47" s="137" t="s">
        <v>84</v>
      </c>
      <c r="P47" s="7">
        <v>0</v>
      </c>
      <c r="Q47" s="7">
        <v>0</v>
      </c>
      <c r="R47" s="136" t="s">
        <v>83</v>
      </c>
      <c r="S47" s="136" t="s">
        <v>83</v>
      </c>
      <c r="T47" s="136" t="s">
        <v>83</v>
      </c>
      <c r="U47" s="136" t="s">
        <v>83</v>
      </c>
      <c r="V47" s="7"/>
      <c r="W47" s="7" t="s">
        <v>85</v>
      </c>
      <c r="X47" s="7">
        <v>0</v>
      </c>
      <c r="Y47" s="136" t="s">
        <v>83</v>
      </c>
      <c r="Z47" s="7">
        <v>0</v>
      </c>
      <c r="AA47" s="7">
        <v>0</v>
      </c>
      <c r="AB47" s="7">
        <v>0</v>
      </c>
      <c r="AC47" s="7">
        <v>1</v>
      </c>
      <c r="AD47" s="7">
        <v>1</v>
      </c>
      <c r="AE47" s="136" t="s">
        <v>83</v>
      </c>
      <c r="AF47" s="136" t="s">
        <v>83</v>
      </c>
      <c r="AG47" s="136" t="s">
        <v>83</v>
      </c>
      <c r="AH47" s="136" t="s">
        <v>83</v>
      </c>
      <c r="AI47" s="7"/>
      <c r="AJ47" s="7"/>
      <c r="AK47" s="7">
        <v>0</v>
      </c>
      <c r="AL47" s="7">
        <v>0</v>
      </c>
      <c r="AM47" s="136" t="s">
        <v>83</v>
      </c>
      <c r="AN47" s="7">
        <v>400</v>
      </c>
      <c r="AO47" s="7"/>
      <c r="AP47" s="7"/>
    </row>
    <row r="48" spans="1:42">
      <c r="A48" s="116"/>
      <c r="B48" s="7" t="str">
        <f>装备!B48</f>
        <v>E121</v>
      </c>
      <c r="C48" s="7" t="s">
        <v>41</v>
      </c>
      <c r="D48" s="7" t="s">
        <v>81</v>
      </c>
      <c r="E48" s="7" t="s">
        <v>86</v>
      </c>
      <c r="F48" s="7"/>
      <c r="G48" s="7"/>
      <c r="H48" s="7" t="str">
        <f>VLOOKUP(LEFT(RIGHT(B48,5),4),装备!B:CU,2,FALSE)</f>
        <v>|CffFF0000[饰品]流光绝影lv1|r</v>
      </c>
      <c r="I48" s="7" t="str">
        <f>VLOOKUP(B48,装备!B:CV,99,FALSE)</f>
        <v>|Cffbbbbbb属性：|r|n攻击+112500|n生命值+562500|n生命回复+11250|n攻速+110%|n闪避+15%|n每秒业力+21|n|n攻击6%概率范围|cffff4646业力*15|r魔法伤害|n|n|Cff00ff7f击杀500只怪有50%概率升级|r</v>
      </c>
      <c r="J48" s="118" t="str">
        <f t="shared" si="8"/>
        <v>|CffFF0000[饰品]流光绝影lv1|r</v>
      </c>
      <c r="K48" s="118" t="str">
        <f t="shared" si="9"/>
        <v>|Cffbbbbbb属性：|r|n攻击+112500|n生命值+562500|n生命回复+11250|n攻速+110%|n闪避+15%|n每秒业力+21|n|n攻击6%概率范围|cffff4646业力*15|r魔法伤害|n|n|Cff00ff7f击杀500只怪有50%概率升级|r</v>
      </c>
      <c r="L48" s="7"/>
      <c r="M48" s="119" t="str">
        <f>VLOOKUP(LEFT(RIGHT(B48,5),4),装备!B:CU,20,FALSE)</f>
        <v>ReplaceableTextures\\CommandButtons\\BTNZ10.blp</v>
      </c>
      <c r="N48" s="136" t="s">
        <v>83</v>
      </c>
      <c r="O48" s="137" t="s">
        <v>84</v>
      </c>
      <c r="P48" s="7">
        <v>0</v>
      </c>
      <c r="Q48" s="7">
        <v>0</v>
      </c>
      <c r="R48" s="136" t="s">
        <v>83</v>
      </c>
      <c r="S48" s="136" t="s">
        <v>83</v>
      </c>
      <c r="T48" s="136" t="s">
        <v>83</v>
      </c>
      <c r="U48" s="136" t="s">
        <v>83</v>
      </c>
      <c r="V48" s="7"/>
      <c r="W48" s="7" t="s">
        <v>85</v>
      </c>
      <c r="X48" s="7">
        <v>0</v>
      </c>
      <c r="Y48" s="136" t="s">
        <v>83</v>
      </c>
      <c r="Z48" s="7">
        <v>0</v>
      </c>
      <c r="AA48" s="7">
        <v>0</v>
      </c>
      <c r="AB48" s="7">
        <v>0</v>
      </c>
      <c r="AC48" s="7">
        <v>1</v>
      </c>
      <c r="AD48" s="7">
        <v>1</v>
      </c>
      <c r="AE48" s="136" t="s">
        <v>83</v>
      </c>
      <c r="AF48" s="136" t="s">
        <v>83</v>
      </c>
      <c r="AG48" s="136" t="s">
        <v>83</v>
      </c>
      <c r="AH48" s="136" t="s">
        <v>83</v>
      </c>
      <c r="AI48" s="7"/>
      <c r="AJ48" s="7"/>
      <c r="AK48" s="7">
        <v>0</v>
      </c>
      <c r="AL48" s="7">
        <v>0</v>
      </c>
      <c r="AM48" s="136" t="s">
        <v>83</v>
      </c>
      <c r="AN48" s="7">
        <v>500</v>
      </c>
      <c r="AO48" s="7"/>
      <c r="AP48" s="7"/>
    </row>
    <row r="49" spans="1:42">
      <c r="A49" s="116"/>
      <c r="B49" s="7" t="str">
        <f>装备!B49</f>
        <v>E122</v>
      </c>
      <c r="C49" s="7" t="s">
        <v>41</v>
      </c>
      <c r="D49" s="7" t="s">
        <v>81</v>
      </c>
      <c r="E49" s="7" t="s">
        <v>86</v>
      </c>
      <c r="F49" s="7"/>
      <c r="G49" s="7"/>
      <c r="H49" s="7" t="str">
        <f>VLOOKUP(LEFT(RIGHT(B49,5),4),装备!B:CU,2,FALSE)</f>
        <v>|CffFF0000[饰品]流光绝影lv2|r</v>
      </c>
      <c r="I49" s="7" t="str">
        <f>VLOOKUP(B49,装备!B:CV,99,FALSE)</f>
        <v>|Cffbbbbbb属性：|r|n攻击+127500|n生命值+637500|n生命回复+12750|n攻速+115%|n闪避+15%|n每秒业力+22|n|n攻击6%概率范围|cffff4646业力*15|r魔法伤害|n|n|Cff00ff7f击杀500只怪有50%概率升级|r</v>
      </c>
      <c r="J49" s="118" t="str">
        <f t="shared" si="8"/>
        <v>|CffFF0000[饰品]流光绝影lv2|r</v>
      </c>
      <c r="K49" s="118" t="str">
        <f t="shared" si="9"/>
        <v>|Cffbbbbbb属性：|r|n攻击+127500|n生命值+637500|n生命回复+12750|n攻速+115%|n闪避+15%|n每秒业力+22|n|n攻击6%概率范围|cffff4646业力*15|r魔法伤害|n|n|Cff00ff7f击杀500只怪有50%概率升级|r</v>
      </c>
      <c r="L49" s="7"/>
      <c r="M49" s="119" t="str">
        <f>VLOOKUP(LEFT(RIGHT(B49,5),4),装备!B:CU,20,FALSE)</f>
        <v>ReplaceableTextures\\CommandButtons\\BTNZ10.blp</v>
      </c>
      <c r="N49" s="136" t="s">
        <v>83</v>
      </c>
      <c r="O49" s="137" t="s">
        <v>84</v>
      </c>
      <c r="P49" s="7">
        <v>0</v>
      </c>
      <c r="Q49" s="7">
        <v>0</v>
      </c>
      <c r="R49" s="136" t="s">
        <v>83</v>
      </c>
      <c r="S49" s="136" t="s">
        <v>83</v>
      </c>
      <c r="T49" s="136" t="s">
        <v>83</v>
      </c>
      <c r="U49" s="136" t="s">
        <v>83</v>
      </c>
      <c r="V49" s="7"/>
      <c r="W49" s="7" t="s">
        <v>85</v>
      </c>
      <c r="X49" s="7">
        <v>0</v>
      </c>
      <c r="Y49" s="136" t="s">
        <v>83</v>
      </c>
      <c r="Z49" s="7">
        <v>0</v>
      </c>
      <c r="AA49" s="7">
        <v>0</v>
      </c>
      <c r="AB49" s="7">
        <v>0</v>
      </c>
      <c r="AC49" s="7">
        <v>1</v>
      </c>
      <c r="AD49" s="7">
        <v>1</v>
      </c>
      <c r="AE49" s="136" t="s">
        <v>83</v>
      </c>
      <c r="AF49" s="136" t="s">
        <v>83</v>
      </c>
      <c r="AG49" s="136" t="s">
        <v>83</v>
      </c>
      <c r="AH49" s="136" t="s">
        <v>83</v>
      </c>
      <c r="AI49" s="7"/>
      <c r="AJ49" s="7"/>
      <c r="AK49" s="7">
        <v>0</v>
      </c>
      <c r="AL49" s="7">
        <v>0</v>
      </c>
      <c r="AM49" s="136" t="s">
        <v>83</v>
      </c>
      <c r="AN49" s="7">
        <v>500</v>
      </c>
      <c r="AO49" s="7"/>
      <c r="AP49" s="7"/>
    </row>
    <row r="50" spans="1:42">
      <c r="A50" s="116"/>
      <c r="B50" s="7" t="str">
        <f>装备!B50</f>
        <v>E123</v>
      </c>
      <c r="C50" s="7" t="s">
        <v>41</v>
      </c>
      <c r="D50" s="7" t="s">
        <v>81</v>
      </c>
      <c r="E50" s="7" t="s">
        <v>86</v>
      </c>
      <c r="F50" s="7"/>
      <c r="G50" s="7"/>
      <c r="H50" s="7" t="str">
        <f>VLOOKUP(LEFT(RIGHT(B50,5),4),装备!B:CU,2,FALSE)</f>
        <v>|CffFF0000[饰品]流光绝影lv3|r</v>
      </c>
      <c r="I50" s="7" t="str">
        <f>VLOOKUP(B50,装备!B:CV,99,FALSE)</f>
        <v>|Cffbbbbbb属性：|r|n攻击+142500|n生命值+712500|n生命回复+14250|n攻速+120%|n闪避+15%|n每秒业力+23|n|n攻击6%概率范围|cffff4646业力*15|r魔法伤害|n|n|Cff00ff7f击杀500只怪有50%概率升级|r</v>
      </c>
      <c r="J50" s="118" t="str">
        <f t="shared" si="8"/>
        <v>|CffFF0000[饰品]流光绝影lv3|r</v>
      </c>
      <c r="K50" s="118" t="str">
        <f t="shared" si="9"/>
        <v>|Cffbbbbbb属性：|r|n攻击+142500|n生命值+712500|n生命回复+14250|n攻速+120%|n闪避+15%|n每秒业力+23|n|n攻击6%概率范围|cffff4646业力*15|r魔法伤害|n|n|Cff00ff7f击杀500只怪有50%概率升级|r</v>
      </c>
      <c r="L50" s="7"/>
      <c r="M50" s="119" t="str">
        <f>VLOOKUP(LEFT(RIGHT(B50,5),4),装备!B:CU,20,FALSE)</f>
        <v>ReplaceableTextures\\CommandButtons\\BTNZ10.blp</v>
      </c>
      <c r="N50" s="136" t="s">
        <v>83</v>
      </c>
      <c r="O50" s="137" t="s">
        <v>84</v>
      </c>
      <c r="P50" s="7">
        <v>0</v>
      </c>
      <c r="Q50" s="7">
        <v>0</v>
      </c>
      <c r="R50" s="136" t="s">
        <v>83</v>
      </c>
      <c r="S50" s="136" t="s">
        <v>83</v>
      </c>
      <c r="T50" s="136" t="s">
        <v>83</v>
      </c>
      <c r="U50" s="136" t="s">
        <v>83</v>
      </c>
      <c r="V50" s="7"/>
      <c r="W50" s="7" t="s">
        <v>85</v>
      </c>
      <c r="X50" s="7">
        <v>0</v>
      </c>
      <c r="Y50" s="136" t="s">
        <v>83</v>
      </c>
      <c r="Z50" s="7">
        <v>0</v>
      </c>
      <c r="AA50" s="7">
        <v>0</v>
      </c>
      <c r="AB50" s="7">
        <v>0</v>
      </c>
      <c r="AC50" s="7">
        <v>1</v>
      </c>
      <c r="AD50" s="7">
        <v>1</v>
      </c>
      <c r="AE50" s="136" t="s">
        <v>83</v>
      </c>
      <c r="AF50" s="136" t="s">
        <v>83</v>
      </c>
      <c r="AG50" s="136" t="s">
        <v>83</v>
      </c>
      <c r="AH50" s="136" t="s">
        <v>83</v>
      </c>
      <c r="AI50" s="7"/>
      <c r="AJ50" s="7"/>
      <c r="AK50" s="7">
        <v>0</v>
      </c>
      <c r="AL50" s="7">
        <v>0</v>
      </c>
      <c r="AM50" s="136" t="s">
        <v>83</v>
      </c>
      <c r="AN50" s="7">
        <v>500</v>
      </c>
      <c r="AO50" s="7"/>
      <c r="AP50" s="7"/>
    </row>
    <row r="51" spans="1:42">
      <c r="A51" s="116"/>
      <c r="B51" s="7" t="str">
        <f>装备!B51</f>
        <v>E124</v>
      </c>
      <c r="C51" s="7" t="s">
        <v>41</v>
      </c>
      <c r="D51" s="7" t="s">
        <v>81</v>
      </c>
      <c r="E51" s="7" t="s">
        <v>86</v>
      </c>
      <c r="F51" s="7"/>
      <c r="G51" s="7"/>
      <c r="H51" s="7" t="str">
        <f>VLOOKUP(LEFT(RIGHT(B51,5),4),装备!B:CU,2,FALSE)</f>
        <v>|CffFF0000[饰品]流光绝影lv4|r</v>
      </c>
      <c r="I51" s="7" t="str">
        <f>VLOOKUP(B51,装备!B:CV,99,FALSE)</f>
        <v>|Cffbbbbbb属性：|r|n攻击+157500|n生命值+787500|n生命回复+15750|n攻速+125%|n闪避+15%|n每秒业力+24|n|n攻击6%概率范围|cffff4646业力*15|r魔法伤害|n|n|Cff00ff7f击杀500只怪有50%概率升级|r</v>
      </c>
      <c r="J51" s="118" t="str">
        <f t="shared" si="8"/>
        <v>|CffFF0000[饰品]流光绝影lv4|r</v>
      </c>
      <c r="K51" s="118" t="str">
        <f t="shared" si="9"/>
        <v>|Cffbbbbbb属性：|r|n攻击+157500|n生命值+787500|n生命回复+15750|n攻速+125%|n闪避+15%|n每秒业力+24|n|n攻击6%概率范围|cffff4646业力*15|r魔法伤害|n|n|Cff00ff7f击杀500只怪有50%概率升级|r</v>
      </c>
      <c r="L51" s="7"/>
      <c r="M51" s="119" t="str">
        <f>VLOOKUP(LEFT(RIGHT(B51,5),4),装备!B:CU,20,FALSE)</f>
        <v>ReplaceableTextures\\CommandButtons\\BTNZ10.blp</v>
      </c>
      <c r="N51" s="136" t="s">
        <v>83</v>
      </c>
      <c r="O51" s="137" t="s">
        <v>84</v>
      </c>
      <c r="P51" s="7">
        <v>0</v>
      </c>
      <c r="Q51" s="7">
        <v>0</v>
      </c>
      <c r="R51" s="136" t="s">
        <v>83</v>
      </c>
      <c r="S51" s="136" t="s">
        <v>83</v>
      </c>
      <c r="T51" s="136" t="s">
        <v>83</v>
      </c>
      <c r="U51" s="136" t="s">
        <v>83</v>
      </c>
      <c r="V51" s="7"/>
      <c r="W51" s="7" t="s">
        <v>85</v>
      </c>
      <c r="X51" s="7">
        <v>0</v>
      </c>
      <c r="Y51" s="136" t="s">
        <v>83</v>
      </c>
      <c r="Z51" s="7">
        <v>0</v>
      </c>
      <c r="AA51" s="7">
        <v>0</v>
      </c>
      <c r="AB51" s="7">
        <v>0</v>
      </c>
      <c r="AC51" s="7">
        <v>1</v>
      </c>
      <c r="AD51" s="7">
        <v>1</v>
      </c>
      <c r="AE51" s="136" t="s">
        <v>83</v>
      </c>
      <c r="AF51" s="136" t="s">
        <v>83</v>
      </c>
      <c r="AG51" s="136" t="s">
        <v>83</v>
      </c>
      <c r="AH51" s="136" t="s">
        <v>83</v>
      </c>
      <c r="AI51" s="7"/>
      <c r="AJ51" s="7"/>
      <c r="AK51" s="7">
        <v>0</v>
      </c>
      <c r="AL51" s="7">
        <v>0</v>
      </c>
      <c r="AM51" s="136" t="s">
        <v>83</v>
      </c>
      <c r="AN51" s="7">
        <v>500</v>
      </c>
      <c r="AO51" s="7"/>
      <c r="AP51" s="7"/>
    </row>
    <row r="52" spans="1:42">
      <c r="A52" s="116"/>
      <c r="B52" s="7" t="str">
        <f>装备!B52</f>
        <v>E125</v>
      </c>
      <c r="C52" s="7" t="s">
        <v>41</v>
      </c>
      <c r="D52" s="7" t="s">
        <v>81</v>
      </c>
      <c r="E52" s="7" t="s">
        <v>86</v>
      </c>
      <c r="F52" s="7"/>
      <c r="G52" s="7"/>
      <c r="H52" s="7" t="str">
        <f>VLOOKUP(LEFT(RIGHT(B52,5),4),装备!B:CU,2,FALSE)</f>
        <v>|CffFF0000[饰品]流光绝影lv5|r</v>
      </c>
      <c r="I52" s="7" t="str">
        <f>VLOOKUP(B52,装备!B:CV,99,FALSE)</f>
        <v>|Cffbbbbbb属性：|r|n攻击+187500|n生命值+937500|n生命回复+18750|n攻速+130%|n闪避+15%|n每秒业力+25|n|n攻击6%概率范围|cffff4646业力*15|r魔法伤害|n|n|Cff00ff7f击杀只怪有50%概率升级|r</v>
      </c>
      <c r="J52" s="118" t="str">
        <f t="shared" si="8"/>
        <v>|CffFF0000[饰品]流光绝影lv5|r</v>
      </c>
      <c r="K52" s="118" t="str">
        <f t="shared" si="9"/>
        <v>|Cffbbbbbb属性：|r|n攻击+187500|n生命值+937500|n生命回复+18750|n攻速+130%|n闪避+15%|n每秒业力+25|n|n攻击6%概率范围|cffff4646业力*15|r魔法伤害|n|n|Cff00ff7f击杀只怪有50%概率升级|r</v>
      </c>
      <c r="L52" s="7"/>
      <c r="M52" s="119" t="str">
        <f>VLOOKUP(LEFT(RIGHT(B52,5),4),装备!B:CU,20,FALSE)</f>
        <v>ReplaceableTextures\\CommandButtons\\BTNZ10.blp</v>
      </c>
      <c r="N52" s="136" t="s">
        <v>83</v>
      </c>
      <c r="O52" s="137" t="s">
        <v>84</v>
      </c>
      <c r="P52" s="7">
        <v>0</v>
      </c>
      <c r="Q52" s="7">
        <v>0</v>
      </c>
      <c r="R52" s="136" t="s">
        <v>83</v>
      </c>
      <c r="S52" s="136" t="s">
        <v>83</v>
      </c>
      <c r="T52" s="136" t="s">
        <v>83</v>
      </c>
      <c r="U52" s="136" t="s">
        <v>83</v>
      </c>
      <c r="V52" s="7"/>
      <c r="W52" s="7" t="s">
        <v>85</v>
      </c>
      <c r="X52" s="7">
        <v>0</v>
      </c>
      <c r="Y52" s="136" t="s">
        <v>83</v>
      </c>
      <c r="Z52" s="7">
        <v>0</v>
      </c>
      <c r="AA52" s="7">
        <v>0</v>
      </c>
      <c r="AB52" s="7">
        <v>0</v>
      </c>
      <c r="AC52" s="7">
        <v>1</v>
      </c>
      <c r="AD52" s="7">
        <v>1</v>
      </c>
      <c r="AE52" s="136" t="s">
        <v>83</v>
      </c>
      <c r="AF52" s="136" t="s">
        <v>83</v>
      </c>
      <c r="AG52" s="136" t="s">
        <v>83</v>
      </c>
      <c r="AH52" s="136" t="s">
        <v>83</v>
      </c>
      <c r="AI52" s="7"/>
      <c r="AJ52" s="7"/>
      <c r="AK52" s="7">
        <v>0</v>
      </c>
      <c r="AL52" s="7">
        <v>0</v>
      </c>
      <c r="AM52" s="136" t="s">
        <v>83</v>
      </c>
      <c r="AN52" s="7"/>
      <c r="AO52" s="7"/>
      <c r="AP52" s="7"/>
    </row>
    <row r="53" spans="1:42">
      <c r="A53" s="116"/>
      <c r="B53" s="7" t="str">
        <f>装备!B53</f>
        <v>E201</v>
      </c>
      <c r="C53" s="7" t="s">
        <v>41</v>
      </c>
      <c r="D53" s="7" t="s">
        <v>81</v>
      </c>
      <c r="E53" s="7" t="s">
        <v>82</v>
      </c>
      <c r="F53" s="7"/>
      <c r="G53" s="7"/>
      <c r="H53" s="7" t="str">
        <f>VLOOKUP(LEFT(RIGHT(B53,5),4),装备!B:CU,2,FALSE)</f>
        <v>[防具]贤者道袍lv1</v>
      </c>
      <c r="I53" s="7" t="str">
        <f>VLOOKUP(B53,装备!B:CV,99,FALSE)</f>
        <v>|Cffbbbbbb属性：|r|n护甲+30|n生命值+750|n生命回复+15|n|n|Cff00ff7f点击消耗500金币进行强化|n成功率100%</v>
      </c>
      <c r="J53" s="118" t="str">
        <f t="shared" si="8"/>
        <v>[防具]贤者道袍lv1</v>
      </c>
      <c r="K53" s="118" t="str">
        <f t="shared" si="9"/>
        <v>|Cffbbbbbb属性：|r|n护甲+30|n生命值+750|n生命回复+15|n|n|Cff00ff7f点击消耗500金币进行强化|n成功率100%</v>
      </c>
      <c r="L53" s="7"/>
      <c r="M53" s="119" t="str">
        <f>VLOOKUP(LEFT(RIGHT(B53,5),4),装备!B:CU,20,FALSE)</f>
        <v>ReplaceableTextures\\CommandButtons\\BTNZ11.blp</v>
      </c>
      <c r="N53" s="136" t="s">
        <v>83</v>
      </c>
      <c r="O53" s="137" t="s">
        <v>84</v>
      </c>
      <c r="P53" s="7">
        <v>0</v>
      </c>
      <c r="Q53" s="7">
        <v>0</v>
      </c>
      <c r="R53" s="136" t="s">
        <v>83</v>
      </c>
      <c r="S53" s="136" t="s">
        <v>83</v>
      </c>
      <c r="T53" s="136" t="s">
        <v>83</v>
      </c>
      <c r="U53" s="136" t="s">
        <v>83</v>
      </c>
      <c r="V53" s="7"/>
      <c r="W53" s="7" t="s">
        <v>85</v>
      </c>
      <c r="X53" s="7">
        <v>0</v>
      </c>
      <c r="Y53" s="136" t="s">
        <v>83</v>
      </c>
      <c r="Z53" s="7">
        <v>0</v>
      </c>
      <c r="AA53" s="7">
        <v>0</v>
      </c>
      <c r="AB53" s="7">
        <v>0</v>
      </c>
      <c r="AC53" s="7">
        <v>1</v>
      </c>
      <c r="AD53" s="7">
        <v>1</v>
      </c>
      <c r="AE53" s="136" t="s">
        <v>83</v>
      </c>
      <c r="AF53" s="136" t="s">
        <v>83</v>
      </c>
      <c r="AG53" s="136" t="s">
        <v>83</v>
      </c>
      <c r="AH53" s="136" t="s">
        <v>83</v>
      </c>
      <c r="AI53" s="7"/>
      <c r="AJ53" s="7"/>
      <c r="AK53" s="7">
        <v>0</v>
      </c>
      <c r="AL53" s="7">
        <v>0</v>
      </c>
      <c r="AM53" s="136" t="s">
        <v>83</v>
      </c>
      <c r="AN53" s="7"/>
      <c r="AO53" s="7"/>
      <c r="AP53" s="7">
        <v>1</v>
      </c>
    </row>
    <row r="54" spans="1:42">
      <c r="A54" s="116"/>
      <c r="B54" s="7" t="str">
        <f>装备!B54</f>
        <v>E202</v>
      </c>
      <c r="C54" s="7" t="s">
        <v>41</v>
      </c>
      <c r="D54" s="7" t="s">
        <v>81</v>
      </c>
      <c r="E54" s="7" t="s">
        <v>82</v>
      </c>
      <c r="F54" s="7"/>
      <c r="G54" s="7"/>
      <c r="H54" s="7" t="str">
        <f>VLOOKUP(LEFT(RIGHT(B54,5),4),装备!B:CU,2,FALSE)</f>
        <v>[防具]贤者道袍lv2</v>
      </c>
      <c r="I54" s="7" t="str">
        <f>VLOOKUP(B54,装备!B:CV,99,FALSE)</f>
        <v>|Cffbbbbbb属性：|r|n护甲+60|n生命值+1500|n生命回复+30|n|n|Cff00ff7f点击消耗500金币进行强化|n成功率100%</v>
      </c>
      <c r="J54" s="118" t="str">
        <f t="shared" ref="J54:J58" si="10">H54</f>
        <v>[防具]贤者道袍lv2</v>
      </c>
      <c r="K54" s="118" t="str">
        <f t="shared" ref="K54:K58" si="11">I54</f>
        <v>|Cffbbbbbb属性：|r|n护甲+60|n生命值+1500|n生命回复+30|n|n|Cff00ff7f点击消耗500金币进行强化|n成功率100%</v>
      </c>
      <c r="L54" s="7"/>
      <c r="M54" s="119" t="str">
        <f>VLOOKUP(LEFT(RIGHT(B54,5),4),装备!B:CU,20,FALSE)</f>
        <v>ReplaceableTextures\\CommandButtons\\BTNZ11.blp</v>
      </c>
      <c r="N54" s="136" t="s">
        <v>83</v>
      </c>
      <c r="O54" s="137" t="s">
        <v>84</v>
      </c>
      <c r="P54" s="7">
        <v>0</v>
      </c>
      <c r="Q54" s="7">
        <v>0</v>
      </c>
      <c r="R54" s="136" t="s">
        <v>83</v>
      </c>
      <c r="S54" s="136" t="s">
        <v>83</v>
      </c>
      <c r="T54" s="136" t="s">
        <v>83</v>
      </c>
      <c r="U54" s="136" t="s">
        <v>83</v>
      </c>
      <c r="V54" s="7"/>
      <c r="W54" s="7" t="s">
        <v>85</v>
      </c>
      <c r="X54" s="7">
        <v>0</v>
      </c>
      <c r="Y54" s="136" t="s">
        <v>83</v>
      </c>
      <c r="Z54" s="7">
        <v>0</v>
      </c>
      <c r="AA54" s="7">
        <v>0</v>
      </c>
      <c r="AB54" s="7">
        <v>0</v>
      </c>
      <c r="AC54" s="7">
        <v>1</v>
      </c>
      <c r="AD54" s="7">
        <v>1</v>
      </c>
      <c r="AE54" s="136" t="s">
        <v>83</v>
      </c>
      <c r="AF54" s="136" t="s">
        <v>83</v>
      </c>
      <c r="AG54" s="136" t="s">
        <v>83</v>
      </c>
      <c r="AH54" s="136" t="s">
        <v>83</v>
      </c>
      <c r="AI54" s="7"/>
      <c r="AJ54" s="7"/>
      <c r="AK54" s="7">
        <v>0</v>
      </c>
      <c r="AL54" s="7">
        <v>0</v>
      </c>
      <c r="AM54" s="136" t="s">
        <v>83</v>
      </c>
      <c r="AN54" s="7"/>
      <c r="AO54" s="7"/>
      <c r="AP54" s="7">
        <v>1</v>
      </c>
    </row>
    <row r="55" spans="1:42">
      <c r="A55" s="116"/>
      <c r="B55" s="7" t="str">
        <f>装备!B55</f>
        <v>E203</v>
      </c>
      <c r="C55" s="7" t="s">
        <v>41</v>
      </c>
      <c r="D55" s="7" t="s">
        <v>81</v>
      </c>
      <c r="E55" s="7" t="s">
        <v>82</v>
      </c>
      <c r="F55" s="7"/>
      <c r="G55" s="7"/>
      <c r="H55" s="7" t="str">
        <f>VLOOKUP(LEFT(RIGHT(B55,5),4),装备!B:CU,2,FALSE)</f>
        <v>[防具]贤者道袍lv3</v>
      </c>
      <c r="I55" s="7" t="str">
        <f>VLOOKUP(B55,装备!B:CV,99,FALSE)</f>
        <v>|Cffbbbbbb属性：|r|n护甲+90|n生命值+2250|n生命回复+45|n|n|Cff00ff7f点击消耗500金币进行强化|n成功率100%</v>
      </c>
      <c r="J55" s="118" t="str">
        <f t="shared" si="10"/>
        <v>[防具]贤者道袍lv3</v>
      </c>
      <c r="K55" s="118" t="str">
        <f t="shared" si="11"/>
        <v>|Cffbbbbbb属性：|r|n护甲+90|n生命值+2250|n生命回复+45|n|n|Cff00ff7f点击消耗500金币进行强化|n成功率100%</v>
      </c>
      <c r="L55" s="7"/>
      <c r="M55" s="119" t="str">
        <f>VLOOKUP(LEFT(RIGHT(B55,5),4),装备!B:CU,20,FALSE)</f>
        <v>ReplaceableTextures\\CommandButtons\\BTNZ11.blp</v>
      </c>
      <c r="N55" s="136" t="s">
        <v>83</v>
      </c>
      <c r="O55" s="137" t="s">
        <v>84</v>
      </c>
      <c r="P55" s="7">
        <v>0</v>
      </c>
      <c r="Q55" s="7">
        <v>0</v>
      </c>
      <c r="R55" s="136" t="s">
        <v>83</v>
      </c>
      <c r="S55" s="136" t="s">
        <v>83</v>
      </c>
      <c r="T55" s="136" t="s">
        <v>83</v>
      </c>
      <c r="U55" s="136" t="s">
        <v>83</v>
      </c>
      <c r="V55" s="7"/>
      <c r="W55" s="7" t="s">
        <v>85</v>
      </c>
      <c r="X55" s="7">
        <v>0</v>
      </c>
      <c r="Y55" s="136" t="s">
        <v>83</v>
      </c>
      <c r="Z55" s="7">
        <v>0</v>
      </c>
      <c r="AA55" s="7">
        <v>0</v>
      </c>
      <c r="AB55" s="7">
        <v>0</v>
      </c>
      <c r="AC55" s="7">
        <v>1</v>
      </c>
      <c r="AD55" s="7">
        <v>1</v>
      </c>
      <c r="AE55" s="136" t="s">
        <v>83</v>
      </c>
      <c r="AF55" s="136" t="s">
        <v>83</v>
      </c>
      <c r="AG55" s="136" t="s">
        <v>83</v>
      </c>
      <c r="AH55" s="136" t="s">
        <v>83</v>
      </c>
      <c r="AI55" s="7"/>
      <c r="AJ55" s="7"/>
      <c r="AK55" s="7">
        <v>0</v>
      </c>
      <c r="AL55" s="7">
        <v>0</v>
      </c>
      <c r="AM55" s="136" t="s">
        <v>83</v>
      </c>
      <c r="AN55" s="7"/>
      <c r="AO55" s="7"/>
      <c r="AP55" s="7">
        <v>1</v>
      </c>
    </row>
    <row r="56" spans="1:42">
      <c r="A56" s="116"/>
      <c r="B56" s="7" t="str">
        <f>装备!B56</f>
        <v>E204</v>
      </c>
      <c r="C56" s="7" t="s">
        <v>41</v>
      </c>
      <c r="D56" s="7" t="s">
        <v>81</v>
      </c>
      <c r="E56" s="7" t="s">
        <v>82</v>
      </c>
      <c r="F56" s="7"/>
      <c r="G56" s="7"/>
      <c r="H56" s="7" t="str">
        <f>VLOOKUP(LEFT(RIGHT(B56,5),4),装备!B:CU,2,FALSE)</f>
        <v>[防具]贤者道袍lv4</v>
      </c>
      <c r="I56" s="7" t="str">
        <f>VLOOKUP(B56,装备!B:CV,99,FALSE)</f>
        <v>|Cffbbbbbb属性：|r|n护甲+120|n生命值+3750|n生命回复+75|n|n|Cff00ff7f点击消耗500金币进行强化|n成功率100%</v>
      </c>
      <c r="J56" s="118" t="str">
        <f t="shared" si="10"/>
        <v>[防具]贤者道袍lv4</v>
      </c>
      <c r="K56" s="118" t="str">
        <f t="shared" si="11"/>
        <v>|Cffbbbbbb属性：|r|n护甲+120|n生命值+3750|n生命回复+75|n|n|Cff00ff7f点击消耗500金币进行强化|n成功率100%</v>
      </c>
      <c r="L56" s="7"/>
      <c r="M56" s="119" t="str">
        <f>VLOOKUP(LEFT(RIGHT(B56,5),4),装备!B:CU,20,FALSE)</f>
        <v>ReplaceableTextures\\CommandButtons\\BTNZ11.blp</v>
      </c>
      <c r="N56" s="136" t="s">
        <v>83</v>
      </c>
      <c r="O56" s="137" t="s">
        <v>84</v>
      </c>
      <c r="P56" s="7">
        <v>0</v>
      </c>
      <c r="Q56" s="7">
        <v>0</v>
      </c>
      <c r="R56" s="136" t="s">
        <v>83</v>
      </c>
      <c r="S56" s="136" t="s">
        <v>83</v>
      </c>
      <c r="T56" s="136" t="s">
        <v>83</v>
      </c>
      <c r="U56" s="136" t="s">
        <v>83</v>
      </c>
      <c r="V56" s="7"/>
      <c r="W56" s="7" t="s">
        <v>85</v>
      </c>
      <c r="X56" s="7">
        <v>0</v>
      </c>
      <c r="Y56" s="136" t="s">
        <v>83</v>
      </c>
      <c r="Z56" s="7">
        <v>0</v>
      </c>
      <c r="AA56" s="7">
        <v>0</v>
      </c>
      <c r="AB56" s="7">
        <v>0</v>
      </c>
      <c r="AC56" s="7">
        <v>1</v>
      </c>
      <c r="AD56" s="7">
        <v>1</v>
      </c>
      <c r="AE56" s="136" t="s">
        <v>83</v>
      </c>
      <c r="AF56" s="136" t="s">
        <v>83</v>
      </c>
      <c r="AG56" s="136" t="s">
        <v>83</v>
      </c>
      <c r="AH56" s="136" t="s">
        <v>83</v>
      </c>
      <c r="AI56" s="7"/>
      <c r="AJ56" s="7"/>
      <c r="AK56" s="7">
        <v>0</v>
      </c>
      <c r="AL56" s="7">
        <v>0</v>
      </c>
      <c r="AM56" s="136" t="s">
        <v>83</v>
      </c>
      <c r="AN56" s="7"/>
      <c r="AO56" s="7"/>
      <c r="AP56" s="7">
        <v>1</v>
      </c>
    </row>
    <row r="57" spans="1:42">
      <c r="A57" s="116"/>
      <c r="B57" s="7" t="str">
        <f>装备!B57</f>
        <v>E205</v>
      </c>
      <c r="C57" s="7" t="s">
        <v>41</v>
      </c>
      <c r="D57" s="7" t="s">
        <v>81</v>
      </c>
      <c r="E57" s="7" t="s">
        <v>82</v>
      </c>
      <c r="F57" s="7"/>
      <c r="G57" s="7"/>
      <c r="H57" s="7" t="str">
        <f>VLOOKUP(LEFT(RIGHT(B57,5),4),装备!B:CU,2,FALSE)</f>
        <v>[防具]贤者道袍lv5</v>
      </c>
      <c r="I57" s="7" t="str">
        <f>VLOOKUP(B57,装备!B:CV,99,FALSE)</f>
        <v>|Cffbbbbbb属性：|r|n护甲+150|n生命值+5250|n生命回复+105|n|n|Cff00ff7f点击消耗2000金币进行晋阶挑战</v>
      </c>
      <c r="J57" s="118" t="str">
        <f t="shared" si="10"/>
        <v>[防具]贤者道袍lv5</v>
      </c>
      <c r="K57" s="118" t="str">
        <f t="shared" si="11"/>
        <v>|Cffbbbbbb属性：|r|n护甲+150|n生命值+5250|n生命回复+105|n|n|Cff00ff7f点击消耗2000金币进行晋阶挑战</v>
      </c>
      <c r="L57" s="7"/>
      <c r="M57" s="119" t="str">
        <f>VLOOKUP(LEFT(RIGHT(B57,5),4),装备!B:CU,20,FALSE)</f>
        <v>ReplaceableTextures\\CommandButtons\\BTNZ11.blp</v>
      </c>
      <c r="N57" s="136" t="s">
        <v>83</v>
      </c>
      <c r="O57" s="137" t="s">
        <v>84</v>
      </c>
      <c r="P57" s="7">
        <v>0</v>
      </c>
      <c r="Q57" s="7">
        <v>0</v>
      </c>
      <c r="R57" s="136" t="s">
        <v>83</v>
      </c>
      <c r="S57" s="136" t="s">
        <v>83</v>
      </c>
      <c r="T57" s="136" t="s">
        <v>83</v>
      </c>
      <c r="U57" s="136" t="s">
        <v>83</v>
      </c>
      <c r="V57" s="7"/>
      <c r="W57" s="7" t="s">
        <v>85</v>
      </c>
      <c r="X57" s="7">
        <v>0</v>
      </c>
      <c r="Y57" s="136" t="s">
        <v>83</v>
      </c>
      <c r="Z57" s="7">
        <v>0</v>
      </c>
      <c r="AA57" s="7">
        <v>0</v>
      </c>
      <c r="AB57" s="7">
        <v>0</v>
      </c>
      <c r="AC57" s="7">
        <v>1</v>
      </c>
      <c r="AD57" s="7">
        <v>1</v>
      </c>
      <c r="AE57" s="136" t="s">
        <v>83</v>
      </c>
      <c r="AF57" s="136" t="s">
        <v>83</v>
      </c>
      <c r="AG57" s="136" t="s">
        <v>83</v>
      </c>
      <c r="AH57" s="136" t="s">
        <v>83</v>
      </c>
      <c r="AI57" s="7"/>
      <c r="AJ57" s="7"/>
      <c r="AK57" s="7">
        <v>0</v>
      </c>
      <c r="AL57" s="7">
        <v>0</v>
      </c>
      <c r="AM57" s="136" t="s">
        <v>83</v>
      </c>
      <c r="AN57" s="7"/>
      <c r="AO57" s="7"/>
      <c r="AP57" s="7">
        <v>1</v>
      </c>
    </row>
    <row r="58" spans="1:42">
      <c r="A58" s="116"/>
      <c r="B58" s="7" t="str">
        <f>装备!B58</f>
        <v>E206</v>
      </c>
      <c r="C58" s="7" t="s">
        <v>41</v>
      </c>
      <c r="D58" s="7" t="s">
        <v>81</v>
      </c>
      <c r="E58" s="7" t="s">
        <v>82</v>
      </c>
      <c r="F58" s="7"/>
      <c r="G58" s="7"/>
      <c r="H58" s="7" t="str">
        <f>VLOOKUP(LEFT(RIGHT(B58,5),4),装备!B:CU,2,FALSE)</f>
        <v>|Cff00FF7F[防具]珊瑚玉衣lv1|r</v>
      </c>
      <c r="I58" s="7" t="str">
        <f>VLOOKUP(B58,装备!B:CV,99,FALSE)</f>
        <v>|Cffbbbbbb属性：|r|n护甲+200|n生命值+7500|n生命回复+150|n生命恢复%+1|n|n|Cff00ff7f点击消耗1000金币进行强化|n成功率90%</v>
      </c>
      <c r="J58" s="118" t="str">
        <f t="shared" si="10"/>
        <v>|Cff00FF7F[防具]珊瑚玉衣lv1|r</v>
      </c>
      <c r="K58" s="118" t="str">
        <f t="shared" si="11"/>
        <v>|Cffbbbbbb属性：|r|n护甲+200|n生命值+7500|n生命回复+150|n生命恢复%+1|n|n|Cff00ff7f点击消耗1000金币进行强化|n成功率90%</v>
      </c>
      <c r="L58" s="7"/>
      <c r="M58" s="119" t="str">
        <f>VLOOKUP(LEFT(RIGHT(B58,5),4),装备!B:CU,20,FALSE)</f>
        <v>ReplaceableTextures\\CommandButtons\\BTNZ12.blp</v>
      </c>
      <c r="N58" s="136" t="s">
        <v>83</v>
      </c>
      <c r="O58" s="137" t="s">
        <v>84</v>
      </c>
      <c r="P58" s="7">
        <v>0</v>
      </c>
      <c r="Q58" s="7">
        <v>0</v>
      </c>
      <c r="R58" s="136" t="s">
        <v>83</v>
      </c>
      <c r="S58" s="136" t="s">
        <v>83</v>
      </c>
      <c r="T58" s="136" t="s">
        <v>83</v>
      </c>
      <c r="U58" s="136" t="s">
        <v>83</v>
      </c>
      <c r="V58" s="7"/>
      <c r="W58" s="7" t="s">
        <v>85</v>
      </c>
      <c r="X58" s="7">
        <v>0</v>
      </c>
      <c r="Y58" s="136" t="s">
        <v>83</v>
      </c>
      <c r="Z58" s="7">
        <v>0</v>
      </c>
      <c r="AA58" s="7">
        <v>0</v>
      </c>
      <c r="AB58" s="7">
        <v>0</v>
      </c>
      <c r="AC58" s="7">
        <v>1</v>
      </c>
      <c r="AD58" s="7">
        <v>1</v>
      </c>
      <c r="AE58" s="136" t="s">
        <v>83</v>
      </c>
      <c r="AF58" s="136" t="s">
        <v>83</v>
      </c>
      <c r="AG58" s="136" t="s">
        <v>83</v>
      </c>
      <c r="AH58" s="136" t="s">
        <v>83</v>
      </c>
      <c r="AI58" s="7"/>
      <c r="AJ58" s="7"/>
      <c r="AK58" s="7">
        <v>0</v>
      </c>
      <c r="AL58" s="7">
        <v>0</v>
      </c>
      <c r="AM58" s="136" t="s">
        <v>83</v>
      </c>
      <c r="AN58" s="7"/>
      <c r="AO58" s="7"/>
      <c r="AP58" s="7">
        <v>1</v>
      </c>
    </row>
    <row r="59" spans="1:42">
      <c r="A59" s="116"/>
      <c r="B59" s="7" t="str">
        <f>装备!B59</f>
        <v>E207</v>
      </c>
      <c r="C59" s="7" t="s">
        <v>41</v>
      </c>
      <c r="D59" s="7" t="s">
        <v>81</v>
      </c>
      <c r="E59" s="7" t="s">
        <v>82</v>
      </c>
      <c r="F59" s="7"/>
      <c r="G59" s="7"/>
      <c r="H59" s="7" t="str">
        <f>VLOOKUP(LEFT(RIGHT(B59,5),4),装备!B:CU,2,FALSE)</f>
        <v>|Cff00FF7F[防具]珊瑚玉衣lv2|r</v>
      </c>
      <c r="I59" s="7" t="str">
        <f>VLOOKUP(B59,装备!B:CV,99,FALSE)</f>
        <v>|Cffbbbbbb属性：|r|n护甲+260|n生命值+12000|n生命回复+240|n生命恢复%+1|n|n|Cff00ff7f点击消耗1000金币进行强化|n成功率90%</v>
      </c>
      <c r="J59" s="118" t="str">
        <f t="shared" ref="J59:J62" si="12">H59</f>
        <v>|Cff00FF7F[防具]珊瑚玉衣lv2|r</v>
      </c>
      <c r="K59" s="118" t="str">
        <f t="shared" ref="K59:K62" si="13">I59</f>
        <v>|Cffbbbbbb属性：|r|n护甲+260|n生命值+12000|n生命回复+240|n生命恢复%+1|n|n|Cff00ff7f点击消耗1000金币进行强化|n成功率90%</v>
      </c>
      <c r="L59" s="7"/>
      <c r="M59" s="119" t="str">
        <f>VLOOKUP(LEFT(RIGHT(B59,5),4),装备!B:CU,20,FALSE)</f>
        <v>ReplaceableTextures\\CommandButtons\\BTNZ12.blp</v>
      </c>
      <c r="N59" s="136" t="s">
        <v>83</v>
      </c>
      <c r="O59" s="137" t="s">
        <v>84</v>
      </c>
      <c r="P59" s="7">
        <v>0</v>
      </c>
      <c r="Q59" s="7">
        <v>0</v>
      </c>
      <c r="R59" s="136" t="s">
        <v>83</v>
      </c>
      <c r="S59" s="136" t="s">
        <v>83</v>
      </c>
      <c r="T59" s="136" t="s">
        <v>83</v>
      </c>
      <c r="U59" s="136" t="s">
        <v>83</v>
      </c>
      <c r="V59" s="7"/>
      <c r="W59" s="7" t="s">
        <v>85</v>
      </c>
      <c r="X59" s="7">
        <v>0</v>
      </c>
      <c r="Y59" s="136" t="s">
        <v>83</v>
      </c>
      <c r="Z59" s="7">
        <v>0</v>
      </c>
      <c r="AA59" s="7">
        <v>0</v>
      </c>
      <c r="AB59" s="7">
        <v>0</v>
      </c>
      <c r="AC59" s="7">
        <v>1</v>
      </c>
      <c r="AD59" s="7">
        <v>1</v>
      </c>
      <c r="AE59" s="136" t="s">
        <v>83</v>
      </c>
      <c r="AF59" s="136" t="s">
        <v>83</v>
      </c>
      <c r="AG59" s="136" t="s">
        <v>83</v>
      </c>
      <c r="AH59" s="136" t="s">
        <v>83</v>
      </c>
      <c r="AI59" s="7"/>
      <c r="AJ59" s="7"/>
      <c r="AK59" s="7">
        <v>0</v>
      </c>
      <c r="AL59" s="7">
        <v>0</v>
      </c>
      <c r="AM59" s="136" t="s">
        <v>83</v>
      </c>
      <c r="AN59" s="7"/>
      <c r="AO59" s="7"/>
      <c r="AP59" s="7">
        <v>1</v>
      </c>
    </row>
    <row r="60" spans="1:42">
      <c r="A60" s="116"/>
      <c r="B60" s="7" t="str">
        <f>装备!B60</f>
        <v>E208</v>
      </c>
      <c r="C60" s="7" t="s">
        <v>41</v>
      </c>
      <c r="D60" s="7" t="s">
        <v>81</v>
      </c>
      <c r="E60" s="7" t="s">
        <v>82</v>
      </c>
      <c r="F60" s="7"/>
      <c r="G60" s="7"/>
      <c r="H60" s="7" t="str">
        <f>VLOOKUP(LEFT(RIGHT(B60,5),4),装备!B:CU,2,FALSE)</f>
        <v>|Cff00FF7F[防具]珊瑚玉衣lv3|r</v>
      </c>
      <c r="I60" s="7" t="str">
        <f>VLOOKUP(B60,装备!B:CV,99,FALSE)</f>
        <v>|Cffbbbbbb属性：|r|n护甲+320|n生命值+16500|n生命回复+330|n生命恢复%+1|n|n|Cff00ff7f点击消耗1000金币进行强化|n成功率90%</v>
      </c>
      <c r="J60" s="118" t="str">
        <f t="shared" si="12"/>
        <v>|Cff00FF7F[防具]珊瑚玉衣lv3|r</v>
      </c>
      <c r="K60" s="118" t="str">
        <f t="shared" si="13"/>
        <v>|Cffbbbbbb属性：|r|n护甲+320|n生命值+16500|n生命回复+330|n生命恢复%+1|n|n|Cff00ff7f点击消耗1000金币进行强化|n成功率90%</v>
      </c>
      <c r="L60" s="7"/>
      <c r="M60" s="119" t="str">
        <f>VLOOKUP(LEFT(RIGHT(B60,5),4),装备!B:CU,20,FALSE)</f>
        <v>ReplaceableTextures\\CommandButtons\\BTNZ12.blp</v>
      </c>
      <c r="N60" s="136" t="s">
        <v>83</v>
      </c>
      <c r="O60" s="137" t="s">
        <v>84</v>
      </c>
      <c r="P60" s="7">
        <v>0</v>
      </c>
      <c r="Q60" s="7">
        <v>0</v>
      </c>
      <c r="R60" s="136" t="s">
        <v>83</v>
      </c>
      <c r="S60" s="136" t="s">
        <v>83</v>
      </c>
      <c r="T60" s="136" t="s">
        <v>83</v>
      </c>
      <c r="U60" s="136" t="s">
        <v>83</v>
      </c>
      <c r="V60" s="7"/>
      <c r="W60" s="7" t="s">
        <v>85</v>
      </c>
      <c r="X60" s="7">
        <v>0</v>
      </c>
      <c r="Y60" s="136" t="s">
        <v>83</v>
      </c>
      <c r="Z60" s="7">
        <v>0</v>
      </c>
      <c r="AA60" s="7">
        <v>0</v>
      </c>
      <c r="AB60" s="7">
        <v>0</v>
      </c>
      <c r="AC60" s="7">
        <v>1</v>
      </c>
      <c r="AD60" s="7">
        <v>1</v>
      </c>
      <c r="AE60" s="136" t="s">
        <v>83</v>
      </c>
      <c r="AF60" s="136" t="s">
        <v>83</v>
      </c>
      <c r="AG60" s="136" t="s">
        <v>83</v>
      </c>
      <c r="AH60" s="136" t="s">
        <v>83</v>
      </c>
      <c r="AI60" s="7"/>
      <c r="AJ60" s="7"/>
      <c r="AK60" s="7">
        <v>0</v>
      </c>
      <c r="AL60" s="7">
        <v>0</v>
      </c>
      <c r="AM60" s="136" t="s">
        <v>83</v>
      </c>
      <c r="AN60" s="7"/>
      <c r="AO60" s="7"/>
      <c r="AP60" s="7">
        <v>1</v>
      </c>
    </row>
    <row r="61" spans="1:42">
      <c r="A61" s="116"/>
      <c r="B61" s="7" t="str">
        <f>装备!B61</f>
        <v>E209</v>
      </c>
      <c r="C61" s="7" t="s">
        <v>41</v>
      </c>
      <c r="D61" s="7" t="s">
        <v>81</v>
      </c>
      <c r="E61" s="7" t="s">
        <v>82</v>
      </c>
      <c r="F61" s="7"/>
      <c r="G61" s="7"/>
      <c r="H61" s="7" t="str">
        <f>VLOOKUP(LEFT(RIGHT(B61,5),4),装备!B:CU,2,FALSE)</f>
        <v>|Cff00FF7F[防具]珊瑚玉衣lv4|r</v>
      </c>
      <c r="I61" s="7" t="str">
        <f>VLOOKUP(B61,装备!B:CV,99,FALSE)</f>
        <v>|Cffbbbbbb属性：|r|n护甲+380|n生命值+21000|n生命回复+420|n生命恢复%+1|n|n|Cff00ff7f点击消耗1000金币进行强化|n成功率90%</v>
      </c>
      <c r="J61" s="118" t="str">
        <f t="shared" si="12"/>
        <v>|Cff00FF7F[防具]珊瑚玉衣lv4|r</v>
      </c>
      <c r="K61" s="118" t="str">
        <f t="shared" si="13"/>
        <v>|Cffbbbbbb属性：|r|n护甲+380|n生命值+21000|n生命回复+420|n生命恢复%+1|n|n|Cff00ff7f点击消耗1000金币进行强化|n成功率90%</v>
      </c>
      <c r="L61" s="7"/>
      <c r="M61" s="119" t="str">
        <f>VLOOKUP(LEFT(RIGHT(B61,5),4),装备!B:CU,20,FALSE)</f>
        <v>ReplaceableTextures\\CommandButtons\\BTNZ12.blp</v>
      </c>
      <c r="N61" s="136" t="s">
        <v>83</v>
      </c>
      <c r="O61" s="137" t="s">
        <v>84</v>
      </c>
      <c r="P61" s="7">
        <v>0</v>
      </c>
      <c r="Q61" s="7">
        <v>0</v>
      </c>
      <c r="R61" s="136" t="s">
        <v>83</v>
      </c>
      <c r="S61" s="136" t="s">
        <v>83</v>
      </c>
      <c r="T61" s="136" t="s">
        <v>83</v>
      </c>
      <c r="U61" s="136" t="s">
        <v>83</v>
      </c>
      <c r="V61" s="7"/>
      <c r="W61" s="7" t="s">
        <v>85</v>
      </c>
      <c r="X61" s="7">
        <v>0</v>
      </c>
      <c r="Y61" s="136" t="s">
        <v>83</v>
      </c>
      <c r="Z61" s="7">
        <v>0</v>
      </c>
      <c r="AA61" s="7">
        <v>0</v>
      </c>
      <c r="AB61" s="7">
        <v>0</v>
      </c>
      <c r="AC61" s="7">
        <v>1</v>
      </c>
      <c r="AD61" s="7">
        <v>1</v>
      </c>
      <c r="AE61" s="136" t="s">
        <v>83</v>
      </c>
      <c r="AF61" s="136" t="s">
        <v>83</v>
      </c>
      <c r="AG61" s="136" t="s">
        <v>83</v>
      </c>
      <c r="AH61" s="136" t="s">
        <v>83</v>
      </c>
      <c r="AI61" s="7"/>
      <c r="AJ61" s="7"/>
      <c r="AK61" s="7">
        <v>0</v>
      </c>
      <c r="AL61" s="7">
        <v>0</v>
      </c>
      <c r="AM61" s="136" t="s">
        <v>83</v>
      </c>
      <c r="AN61" s="7"/>
      <c r="AO61" s="7"/>
      <c r="AP61" s="7">
        <v>1</v>
      </c>
    </row>
    <row r="62" spans="1:42">
      <c r="A62" s="116"/>
      <c r="B62" s="7" t="str">
        <f>装备!B62</f>
        <v>E210</v>
      </c>
      <c r="C62" s="7" t="s">
        <v>41</v>
      </c>
      <c r="D62" s="7" t="s">
        <v>81</v>
      </c>
      <c r="E62" s="7" t="s">
        <v>82</v>
      </c>
      <c r="F62" s="7"/>
      <c r="G62" s="7"/>
      <c r="H62" s="7" t="str">
        <f>VLOOKUP(LEFT(RIGHT(B62,5),4),装备!B:CU,2,FALSE)</f>
        <v>|Cff00FF7F[防具]珊瑚玉衣lv5|r</v>
      </c>
      <c r="I62" s="7" t="str">
        <f>VLOOKUP(B62,装备!B:CV,99,FALSE)</f>
        <v>|Cffbbbbbb属性：|r|n护甲+440|n生命值+25500|n生命回复+510|n生命恢复%+1|n|n|Cff00ff7f点击消耗6000金币进行晋阶挑战</v>
      </c>
      <c r="J62" s="118" t="str">
        <f t="shared" si="12"/>
        <v>|Cff00FF7F[防具]珊瑚玉衣lv5|r</v>
      </c>
      <c r="K62" s="118" t="str">
        <f t="shared" si="13"/>
        <v>|Cffbbbbbb属性：|r|n护甲+440|n生命值+25500|n生命回复+510|n生命恢复%+1|n|n|Cff00ff7f点击消耗6000金币进行晋阶挑战</v>
      </c>
      <c r="L62" s="7"/>
      <c r="M62" s="119" t="str">
        <f>VLOOKUP(LEFT(RIGHT(B62,5),4),装备!B:CU,20,FALSE)</f>
        <v>ReplaceableTextures\\CommandButtons\\BTNZ12.blp</v>
      </c>
      <c r="N62" s="136" t="s">
        <v>83</v>
      </c>
      <c r="O62" s="137" t="s">
        <v>84</v>
      </c>
      <c r="P62" s="7">
        <v>0</v>
      </c>
      <c r="Q62" s="7">
        <v>0</v>
      </c>
      <c r="R62" s="136" t="s">
        <v>83</v>
      </c>
      <c r="S62" s="136" t="s">
        <v>83</v>
      </c>
      <c r="T62" s="136" t="s">
        <v>83</v>
      </c>
      <c r="U62" s="136" t="s">
        <v>83</v>
      </c>
      <c r="V62" s="7"/>
      <c r="W62" s="7" t="s">
        <v>85</v>
      </c>
      <c r="X62" s="7">
        <v>0</v>
      </c>
      <c r="Y62" s="136" t="s">
        <v>83</v>
      </c>
      <c r="Z62" s="7">
        <v>0</v>
      </c>
      <c r="AA62" s="7">
        <v>0</v>
      </c>
      <c r="AB62" s="7">
        <v>0</v>
      </c>
      <c r="AC62" s="7">
        <v>1</v>
      </c>
      <c r="AD62" s="7">
        <v>1</v>
      </c>
      <c r="AE62" s="136" t="s">
        <v>83</v>
      </c>
      <c r="AF62" s="136" t="s">
        <v>83</v>
      </c>
      <c r="AG62" s="136" t="s">
        <v>83</v>
      </c>
      <c r="AH62" s="136" t="s">
        <v>83</v>
      </c>
      <c r="AI62" s="7"/>
      <c r="AJ62" s="7"/>
      <c r="AK62" s="7">
        <v>0</v>
      </c>
      <c r="AL62" s="7">
        <v>0</v>
      </c>
      <c r="AM62" s="136" t="s">
        <v>83</v>
      </c>
      <c r="AN62" s="7"/>
      <c r="AO62" s="7"/>
      <c r="AP62" s="7">
        <v>1</v>
      </c>
    </row>
    <row r="63" spans="1:42">
      <c r="A63" s="116"/>
      <c r="B63" s="7" t="str">
        <f>装备!B63</f>
        <v>E211</v>
      </c>
      <c r="C63" s="7" t="s">
        <v>41</v>
      </c>
      <c r="D63" s="7" t="s">
        <v>81</v>
      </c>
      <c r="E63" s="7" t="s">
        <v>82</v>
      </c>
      <c r="F63" s="7"/>
      <c r="G63" s="7"/>
      <c r="H63" s="7" t="str">
        <f>VLOOKUP(LEFT(RIGHT(B63,5),4),装备!B:CU,2,FALSE)</f>
        <v>|Cff00BFFF[防具]圣谕披风lv1|r</v>
      </c>
      <c r="I63" s="7" t="str">
        <f>VLOOKUP(B63,装备!B:CV,99,FALSE)</f>
        <v>|Cffbbbbbb属性：|r|n护甲+500|n生命值+37500|n生命回复+750|n生命恢复%+1|n|n|Cff00ff7f点击消耗3000金币进行强化|n成功率80%</v>
      </c>
      <c r="J63" s="118" t="str">
        <f t="shared" ref="J63:J77" si="14">H63</f>
        <v>|Cff00BFFF[防具]圣谕披风lv1|r</v>
      </c>
      <c r="K63" s="118" t="str">
        <f t="shared" ref="K63:K77" si="15">I63</f>
        <v>|Cffbbbbbb属性：|r|n护甲+500|n生命值+37500|n生命回复+750|n生命恢复%+1|n|n|Cff00ff7f点击消耗3000金币进行强化|n成功率80%</v>
      </c>
      <c r="L63" s="7"/>
      <c r="M63" s="119" t="str">
        <f>VLOOKUP(LEFT(RIGHT(B63,5),4),装备!B:CU,20,FALSE)</f>
        <v>ReplaceableTextures\\CommandButtons\\BTNZ13.blp</v>
      </c>
      <c r="N63" s="136" t="s">
        <v>83</v>
      </c>
      <c r="O63" s="137" t="s">
        <v>84</v>
      </c>
      <c r="P63" s="7">
        <v>0</v>
      </c>
      <c r="Q63" s="7">
        <v>0</v>
      </c>
      <c r="R63" s="136" t="s">
        <v>83</v>
      </c>
      <c r="S63" s="136" t="s">
        <v>83</v>
      </c>
      <c r="T63" s="136" t="s">
        <v>83</v>
      </c>
      <c r="U63" s="136" t="s">
        <v>83</v>
      </c>
      <c r="V63" s="7"/>
      <c r="W63" s="7" t="s">
        <v>85</v>
      </c>
      <c r="X63" s="7">
        <v>0</v>
      </c>
      <c r="Y63" s="136" t="s">
        <v>83</v>
      </c>
      <c r="Z63" s="7">
        <v>0</v>
      </c>
      <c r="AA63" s="7">
        <v>0</v>
      </c>
      <c r="AB63" s="7">
        <v>0</v>
      </c>
      <c r="AC63" s="7">
        <v>1</v>
      </c>
      <c r="AD63" s="7">
        <v>1</v>
      </c>
      <c r="AE63" s="136" t="s">
        <v>83</v>
      </c>
      <c r="AF63" s="136" t="s">
        <v>83</v>
      </c>
      <c r="AG63" s="136" t="s">
        <v>83</v>
      </c>
      <c r="AH63" s="136" t="s">
        <v>83</v>
      </c>
      <c r="AI63" s="7"/>
      <c r="AJ63" s="7"/>
      <c r="AK63" s="7">
        <v>0</v>
      </c>
      <c r="AL63" s="7">
        <v>0</v>
      </c>
      <c r="AM63" s="136" t="s">
        <v>83</v>
      </c>
      <c r="AN63" s="7"/>
      <c r="AO63" s="7"/>
      <c r="AP63" s="7">
        <v>1</v>
      </c>
    </row>
    <row r="64" spans="1:42">
      <c r="A64" s="116"/>
      <c r="B64" s="7" t="str">
        <f>装备!B64</f>
        <v>E212</v>
      </c>
      <c r="C64" s="7" t="s">
        <v>41</v>
      </c>
      <c r="D64" s="7" t="s">
        <v>81</v>
      </c>
      <c r="E64" s="7" t="s">
        <v>82</v>
      </c>
      <c r="F64" s="7"/>
      <c r="G64" s="7"/>
      <c r="H64" s="7" t="str">
        <f>VLOOKUP(LEFT(RIGHT(B64,5),4),装备!B:CU,2,FALSE)</f>
        <v>|Cff00BFFF[防具]圣谕披风lv2|r</v>
      </c>
      <c r="I64" s="7" t="str">
        <f>VLOOKUP(B64,装备!B:CV,99,FALSE)</f>
        <v>|Cffbbbbbb属性：|r|n护甲+580|n生命值+52500|n生命回复+1050|n生命恢复%+1|n|n|Cff00ff7f点击消耗3000金币进行强化|n成功率80%</v>
      </c>
      <c r="J64" s="118" t="str">
        <f t="shared" si="14"/>
        <v>|Cff00BFFF[防具]圣谕披风lv2|r</v>
      </c>
      <c r="K64" s="118" t="str">
        <f t="shared" si="15"/>
        <v>|Cffbbbbbb属性：|r|n护甲+580|n生命值+52500|n生命回复+1050|n生命恢复%+1|n|n|Cff00ff7f点击消耗3000金币进行强化|n成功率80%</v>
      </c>
      <c r="L64" s="7"/>
      <c r="M64" s="119" t="str">
        <f>VLOOKUP(LEFT(RIGHT(B64,5),4),装备!B:CU,20,FALSE)</f>
        <v>ReplaceableTextures\\CommandButtons\\BTNZ13.blp</v>
      </c>
      <c r="N64" s="136" t="s">
        <v>83</v>
      </c>
      <c r="O64" s="137" t="s">
        <v>84</v>
      </c>
      <c r="P64" s="7">
        <v>0</v>
      </c>
      <c r="Q64" s="7">
        <v>0</v>
      </c>
      <c r="R64" s="136" t="s">
        <v>83</v>
      </c>
      <c r="S64" s="136" t="s">
        <v>83</v>
      </c>
      <c r="T64" s="136" t="s">
        <v>83</v>
      </c>
      <c r="U64" s="136" t="s">
        <v>83</v>
      </c>
      <c r="V64" s="7"/>
      <c r="W64" s="7" t="s">
        <v>85</v>
      </c>
      <c r="X64" s="7">
        <v>0</v>
      </c>
      <c r="Y64" s="136" t="s">
        <v>83</v>
      </c>
      <c r="Z64" s="7">
        <v>0</v>
      </c>
      <c r="AA64" s="7">
        <v>0</v>
      </c>
      <c r="AB64" s="7">
        <v>0</v>
      </c>
      <c r="AC64" s="7">
        <v>1</v>
      </c>
      <c r="AD64" s="7">
        <v>1</v>
      </c>
      <c r="AE64" s="136" t="s">
        <v>83</v>
      </c>
      <c r="AF64" s="136" t="s">
        <v>83</v>
      </c>
      <c r="AG64" s="136" t="s">
        <v>83</v>
      </c>
      <c r="AH64" s="136" t="s">
        <v>83</v>
      </c>
      <c r="AI64" s="7"/>
      <c r="AJ64" s="7"/>
      <c r="AK64" s="7">
        <v>0</v>
      </c>
      <c r="AL64" s="7">
        <v>0</v>
      </c>
      <c r="AM64" s="136" t="s">
        <v>83</v>
      </c>
      <c r="AN64" s="7"/>
      <c r="AO64" s="7"/>
      <c r="AP64" s="7">
        <v>1</v>
      </c>
    </row>
    <row r="65" spans="1:42">
      <c r="A65" s="116"/>
      <c r="B65" s="7" t="str">
        <f>装备!B65</f>
        <v>E213</v>
      </c>
      <c r="C65" s="7" t="s">
        <v>41</v>
      </c>
      <c r="D65" s="7" t="s">
        <v>81</v>
      </c>
      <c r="E65" s="7" t="s">
        <v>82</v>
      </c>
      <c r="F65" s="7"/>
      <c r="G65" s="7"/>
      <c r="H65" s="7" t="str">
        <f>VLOOKUP(LEFT(RIGHT(B65,5),4),装备!B:CU,2,FALSE)</f>
        <v>|Cff00BFFF[防具]圣谕披风lv3|r</v>
      </c>
      <c r="I65" s="7" t="str">
        <f>VLOOKUP(B65,装备!B:CV,99,FALSE)</f>
        <v>|Cffbbbbbb属性：|r|n护甲+660|n生命值+67500|n生命回复+1350|n生命恢复%+1|n|n|Cff00ff7f点击消耗3000金币进行强化|n成功率80%</v>
      </c>
      <c r="J65" s="118" t="str">
        <f t="shared" si="14"/>
        <v>|Cff00BFFF[防具]圣谕披风lv3|r</v>
      </c>
      <c r="K65" s="118" t="str">
        <f t="shared" si="15"/>
        <v>|Cffbbbbbb属性：|r|n护甲+660|n生命值+67500|n生命回复+1350|n生命恢复%+1|n|n|Cff00ff7f点击消耗3000金币进行强化|n成功率80%</v>
      </c>
      <c r="L65" s="7"/>
      <c r="M65" s="119" t="str">
        <f>VLOOKUP(LEFT(RIGHT(B65,5),4),装备!B:CU,20,FALSE)</f>
        <v>ReplaceableTextures\\CommandButtons\\BTNZ13.blp</v>
      </c>
      <c r="N65" s="136" t="s">
        <v>83</v>
      </c>
      <c r="O65" s="137" t="s">
        <v>84</v>
      </c>
      <c r="P65" s="7">
        <v>0</v>
      </c>
      <c r="Q65" s="7">
        <v>0</v>
      </c>
      <c r="R65" s="136" t="s">
        <v>83</v>
      </c>
      <c r="S65" s="136" t="s">
        <v>83</v>
      </c>
      <c r="T65" s="136" t="s">
        <v>83</v>
      </c>
      <c r="U65" s="136" t="s">
        <v>83</v>
      </c>
      <c r="V65" s="7"/>
      <c r="W65" s="7" t="s">
        <v>85</v>
      </c>
      <c r="X65" s="7">
        <v>0</v>
      </c>
      <c r="Y65" s="136" t="s">
        <v>83</v>
      </c>
      <c r="Z65" s="7">
        <v>0</v>
      </c>
      <c r="AA65" s="7">
        <v>0</v>
      </c>
      <c r="AB65" s="7">
        <v>0</v>
      </c>
      <c r="AC65" s="7">
        <v>1</v>
      </c>
      <c r="AD65" s="7">
        <v>1</v>
      </c>
      <c r="AE65" s="136" t="s">
        <v>83</v>
      </c>
      <c r="AF65" s="136" t="s">
        <v>83</v>
      </c>
      <c r="AG65" s="136" t="s">
        <v>83</v>
      </c>
      <c r="AH65" s="136" t="s">
        <v>83</v>
      </c>
      <c r="AI65" s="7"/>
      <c r="AJ65" s="7"/>
      <c r="AK65" s="7">
        <v>0</v>
      </c>
      <c r="AL65" s="7">
        <v>0</v>
      </c>
      <c r="AM65" s="136" t="s">
        <v>83</v>
      </c>
      <c r="AN65" s="7"/>
      <c r="AO65" s="7"/>
      <c r="AP65" s="7">
        <v>1</v>
      </c>
    </row>
    <row r="66" spans="1:42">
      <c r="A66" s="116"/>
      <c r="B66" s="7" t="str">
        <f>装备!B66</f>
        <v>E214</v>
      </c>
      <c r="C66" s="7" t="s">
        <v>41</v>
      </c>
      <c r="D66" s="7" t="s">
        <v>81</v>
      </c>
      <c r="E66" s="7" t="s">
        <v>82</v>
      </c>
      <c r="F66" s="7"/>
      <c r="G66" s="7"/>
      <c r="H66" s="7" t="str">
        <f>VLOOKUP(LEFT(RIGHT(B66,5),4),装备!B:CU,2,FALSE)</f>
        <v>|Cff00BFFF[防具]圣谕披风lv4|r</v>
      </c>
      <c r="I66" s="7" t="str">
        <f>VLOOKUP(B66,装备!B:CV,99,FALSE)</f>
        <v>|Cffbbbbbb属性：|r|n护甲+740|n生命值+82500|n生命回复+1650|n生命恢复%+1|n|n|Cff00ff7f点击消耗3000金币进行强化|n成功率80%</v>
      </c>
      <c r="J66" s="118" t="str">
        <f t="shared" si="14"/>
        <v>|Cff00BFFF[防具]圣谕披风lv4|r</v>
      </c>
      <c r="K66" s="118" t="str">
        <f t="shared" si="15"/>
        <v>|Cffbbbbbb属性：|r|n护甲+740|n生命值+82500|n生命回复+1650|n生命恢复%+1|n|n|Cff00ff7f点击消耗3000金币进行强化|n成功率80%</v>
      </c>
      <c r="L66" s="7"/>
      <c r="M66" s="119" t="str">
        <f>VLOOKUP(LEFT(RIGHT(B66,5),4),装备!B:CU,20,FALSE)</f>
        <v>ReplaceableTextures\\CommandButtons\\BTNZ13.blp</v>
      </c>
      <c r="N66" s="136" t="s">
        <v>83</v>
      </c>
      <c r="O66" s="137" t="s">
        <v>84</v>
      </c>
      <c r="P66" s="7">
        <v>0</v>
      </c>
      <c r="Q66" s="7">
        <v>0</v>
      </c>
      <c r="R66" s="136" t="s">
        <v>83</v>
      </c>
      <c r="S66" s="136" t="s">
        <v>83</v>
      </c>
      <c r="T66" s="136" t="s">
        <v>83</v>
      </c>
      <c r="U66" s="136" t="s">
        <v>83</v>
      </c>
      <c r="V66" s="7"/>
      <c r="W66" s="7" t="s">
        <v>85</v>
      </c>
      <c r="X66" s="7">
        <v>0</v>
      </c>
      <c r="Y66" s="136" t="s">
        <v>83</v>
      </c>
      <c r="Z66" s="7">
        <v>0</v>
      </c>
      <c r="AA66" s="7">
        <v>0</v>
      </c>
      <c r="AB66" s="7">
        <v>0</v>
      </c>
      <c r="AC66" s="7">
        <v>1</v>
      </c>
      <c r="AD66" s="7">
        <v>1</v>
      </c>
      <c r="AE66" s="136" t="s">
        <v>83</v>
      </c>
      <c r="AF66" s="136" t="s">
        <v>83</v>
      </c>
      <c r="AG66" s="136" t="s">
        <v>83</v>
      </c>
      <c r="AH66" s="136" t="s">
        <v>83</v>
      </c>
      <c r="AI66" s="7"/>
      <c r="AJ66" s="7"/>
      <c r="AK66" s="7">
        <v>0</v>
      </c>
      <c r="AL66" s="7">
        <v>0</v>
      </c>
      <c r="AM66" s="136" t="s">
        <v>83</v>
      </c>
      <c r="AN66" s="7"/>
      <c r="AO66" s="7"/>
      <c r="AP66" s="7">
        <v>1</v>
      </c>
    </row>
    <row r="67" spans="1:42">
      <c r="A67" s="116"/>
      <c r="B67" s="7" t="str">
        <f>装备!B67</f>
        <v>E215</v>
      </c>
      <c r="C67" s="7" t="s">
        <v>41</v>
      </c>
      <c r="D67" s="7" t="s">
        <v>81</v>
      </c>
      <c r="E67" s="7" t="s">
        <v>82</v>
      </c>
      <c r="F67" s="7"/>
      <c r="G67" s="7"/>
      <c r="H67" s="7" t="str">
        <f>VLOOKUP(LEFT(RIGHT(B67,5),4),装备!B:CU,2,FALSE)</f>
        <v>|Cff00BFFF[防具]圣谕披风lv5|r</v>
      </c>
      <c r="I67" s="7" t="str">
        <f>VLOOKUP(B67,装备!B:CV,99,FALSE)</f>
        <v>|Cffbbbbbb属性：|r|n护甲+820|n生命值+97500|n生命回复+1950|n生命恢复%+1|n|n|Cff00ff7f点击消耗15000金币进行晋阶挑战</v>
      </c>
      <c r="J67" s="118" t="str">
        <f t="shared" si="14"/>
        <v>|Cff00BFFF[防具]圣谕披风lv5|r</v>
      </c>
      <c r="K67" s="118" t="str">
        <f t="shared" si="15"/>
        <v>|Cffbbbbbb属性：|r|n护甲+820|n生命值+97500|n生命回复+1950|n生命恢复%+1|n|n|Cff00ff7f点击消耗15000金币进行晋阶挑战</v>
      </c>
      <c r="L67" s="7"/>
      <c r="M67" s="119" t="str">
        <f>VLOOKUP(LEFT(RIGHT(B67,5),4),装备!B:CU,20,FALSE)</f>
        <v>ReplaceableTextures\\CommandButtons\\BTNZ13.blp</v>
      </c>
      <c r="N67" s="136" t="s">
        <v>83</v>
      </c>
      <c r="O67" s="137" t="s">
        <v>84</v>
      </c>
      <c r="P67" s="7">
        <v>0</v>
      </c>
      <c r="Q67" s="7">
        <v>0</v>
      </c>
      <c r="R67" s="136" t="s">
        <v>83</v>
      </c>
      <c r="S67" s="136" t="s">
        <v>83</v>
      </c>
      <c r="T67" s="136" t="s">
        <v>83</v>
      </c>
      <c r="U67" s="136" t="s">
        <v>83</v>
      </c>
      <c r="V67" s="7"/>
      <c r="W67" s="7" t="s">
        <v>85</v>
      </c>
      <c r="X67" s="7">
        <v>0</v>
      </c>
      <c r="Y67" s="136" t="s">
        <v>83</v>
      </c>
      <c r="Z67" s="7">
        <v>0</v>
      </c>
      <c r="AA67" s="7">
        <v>0</v>
      </c>
      <c r="AB67" s="7">
        <v>0</v>
      </c>
      <c r="AC67" s="7">
        <v>1</v>
      </c>
      <c r="AD67" s="7">
        <v>1</v>
      </c>
      <c r="AE67" s="136" t="s">
        <v>83</v>
      </c>
      <c r="AF67" s="136" t="s">
        <v>83</v>
      </c>
      <c r="AG67" s="136" t="s">
        <v>83</v>
      </c>
      <c r="AH67" s="136" t="s">
        <v>83</v>
      </c>
      <c r="AI67" s="7"/>
      <c r="AJ67" s="7"/>
      <c r="AK67" s="7">
        <v>0</v>
      </c>
      <c r="AL67" s="7">
        <v>0</v>
      </c>
      <c r="AM67" s="136" t="s">
        <v>83</v>
      </c>
      <c r="AN67" s="7"/>
      <c r="AO67" s="7"/>
      <c r="AP67" s="7">
        <v>1</v>
      </c>
    </row>
    <row r="68" spans="1:42">
      <c r="A68" s="116"/>
      <c r="B68" s="7" t="str">
        <f>装备!B68</f>
        <v>E216</v>
      </c>
      <c r="C68" s="7" t="s">
        <v>41</v>
      </c>
      <c r="D68" s="7" t="s">
        <v>81</v>
      </c>
      <c r="E68" s="7" t="s">
        <v>82</v>
      </c>
      <c r="F68" s="7"/>
      <c r="G68" s="7"/>
      <c r="H68" s="7" t="str">
        <f>VLOOKUP(LEFT(RIGHT(B68,5),4),装备!B:CU,2,FALSE)</f>
        <v>|CffFFC926[防具]乾坤护心甲lv1|r</v>
      </c>
      <c r="I68" s="7" t="str">
        <f>VLOOKUP(B68,装备!B:CV,99,FALSE)</f>
        <v>|Cffbbbbbb属性：|r|n护甲+1000|n生命值+150000|n生命回复+3000|n生命恢复%+2|n|n|Cff00ff7f点击消耗10000金币进行强化|n成功率70%</v>
      </c>
      <c r="J68" s="118" t="str">
        <f t="shared" si="14"/>
        <v>|CffFFC926[防具]乾坤护心甲lv1|r</v>
      </c>
      <c r="K68" s="118" t="str">
        <f t="shared" si="15"/>
        <v>|Cffbbbbbb属性：|r|n护甲+1000|n生命值+150000|n生命回复+3000|n生命恢复%+2|n|n|Cff00ff7f点击消耗10000金币进行强化|n成功率70%</v>
      </c>
      <c r="L68" s="7"/>
      <c r="M68" s="119" t="str">
        <f>VLOOKUP(LEFT(RIGHT(B68,5),4),装备!B:CU,20,FALSE)</f>
        <v>ReplaceableTextures\\CommandButtons\\BTNZ14.blp</v>
      </c>
      <c r="N68" s="136" t="s">
        <v>83</v>
      </c>
      <c r="O68" s="137" t="s">
        <v>84</v>
      </c>
      <c r="P68" s="7">
        <v>0</v>
      </c>
      <c r="Q68" s="7">
        <v>0</v>
      </c>
      <c r="R68" s="136" t="s">
        <v>83</v>
      </c>
      <c r="S68" s="136" t="s">
        <v>83</v>
      </c>
      <c r="T68" s="136" t="s">
        <v>83</v>
      </c>
      <c r="U68" s="136" t="s">
        <v>83</v>
      </c>
      <c r="V68" s="7"/>
      <c r="W68" s="7" t="s">
        <v>85</v>
      </c>
      <c r="X68" s="7">
        <v>0</v>
      </c>
      <c r="Y68" s="136" t="s">
        <v>83</v>
      </c>
      <c r="Z68" s="7">
        <v>0</v>
      </c>
      <c r="AA68" s="7">
        <v>0</v>
      </c>
      <c r="AB68" s="7">
        <v>0</v>
      </c>
      <c r="AC68" s="7">
        <v>1</v>
      </c>
      <c r="AD68" s="7">
        <v>1</v>
      </c>
      <c r="AE68" s="136" t="s">
        <v>83</v>
      </c>
      <c r="AF68" s="136" t="s">
        <v>83</v>
      </c>
      <c r="AG68" s="136" t="s">
        <v>83</v>
      </c>
      <c r="AH68" s="136" t="s">
        <v>83</v>
      </c>
      <c r="AI68" s="7"/>
      <c r="AJ68" s="7"/>
      <c r="AK68" s="7">
        <v>0</v>
      </c>
      <c r="AL68" s="7">
        <v>0</v>
      </c>
      <c r="AM68" s="136" t="s">
        <v>83</v>
      </c>
      <c r="AN68" s="7"/>
      <c r="AO68" s="7"/>
      <c r="AP68" s="7">
        <v>1</v>
      </c>
    </row>
    <row r="69" spans="1:42">
      <c r="A69" s="116"/>
      <c r="B69" s="7" t="str">
        <f>装备!B69</f>
        <v>E217</v>
      </c>
      <c r="C69" s="7" t="s">
        <v>41</v>
      </c>
      <c r="D69" s="7" t="s">
        <v>81</v>
      </c>
      <c r="E69" s="7" t="s">
        <v>82</v>
      </c>
      <c r="F69" s="7"/>
      <c r="G69" s="7"/>
      <c r="H69" s="7" t="str">
        <f>VLOOKUP(LEFT(RIGHT(B69,5),4),装备!B:CU,2,FALSE)</f>
        <v>|CffFFC926[防具]乾坤护心甲lv2|r</v>
      </c>
      <c r="I69" s="7" t="str">
        <f>VLOOKUP(B69,装备!B:CV,99,FALSE)</f>
        <v>|Cffbbbbbb属性：|r|n护甲+1100|n生命值+225000|n生命回复+4500|n生命恢复%+2|n|n|Cff00ff7f点击消耗10000金币进行强化|n成功率70%</v>
      </c>
      <c r="J69" s="118" t="str">
        <f t="shared" si="14"/>
        <v>|CffFFC926[防具]乾坤护心甲lv2|r</v>
      </c>
      <c r="K69" s="118" t="str">
        <f t="shared" si="15"/>
        <v>|Cffbbbbbb属性：|r|n护甲+1100|n生命值+225000|n生命回复+4500|n生命恢复%+2|n|n|Cff00ff7f点击消耗10000金币进行强化|n成功率70%</v>
      </c>
      <c r="L69" s="7"/>
      <c r="M69" s="119" t="str">
        <f>VLOOKUP(LEFT(RIGHT(B69,5),4),装备!B:CU,20,FALSE)</f>
        <v>ReplaceableTextures\\CommandButtons\\BTNZ14.blp</v>
      </c>
      <c r="N69" s="136" t="s">
        <v>83</v>
      </c>
      <c r="O69" s="137" t="s">
        <v>84</v>
      </c>
      <c r="P69" s="7">
        <v>0</v>
      </c>
      <c r="Q69" s="7">
        <v>0</v>
      </c>
      <c r="R69" s="136" t="s">
        <v>83</v>
      </c>
      <c r="S69" s="136" t="s">
        <v>83</v>
      </c>
      <c r="T69" s="136" t="s">
        <v>83</v>
      </c>
      <c r="U69" s="136" t="s">
        <v>83</v>
      </c>
      <c r="V69" s="7"/>
      <c r="W69" s="7" t="s">
        <v>85</v>
      </c>
      <c r="X69" s="7">
        <v>0</v>
      </c>
      <c r="Y69" s="136" t="s">
        <v>83</v>
      </c>
      <c r="Z69" s="7">
        <v>0</v>
      </c>
      <c r="AA69" s="7">
        <v>0</v>
      </c>
      <c r="AB69" s="7">
        <v>0</v>
      </c>
      <c r="AC69" s="7">
        <v>1</v>
      </c>
      <c r="AD69" s="7">
        <v>1</v>
      </c>
      <c r="AE69" s="136" t="s">
        <v>83</v>
      </c>
      <c r="AF69" s="136" t="s">
        <v>83</v>
      </c>
      <c r="AG69" s="136" t="s">
        <v>83</v>
      </c>
      <c r="AH69" s="136" t="s">
        <v>83</v>
      </c>
      <c r="AI69" s="7"/>
      <c r="AJ69" s="7"/>
      <c r="AK69" s="7">
        <v>0</v>
      </c>
      <c r="AL69" s="7">
        <v>0</v>
      </c>
      <c r="AM69" s="136" t="s">
        <v>83</v>
      </c>
      <c r="AN69" s="7"/>
      <c r="AO69" s="7"/>
      <c r="AP69" s="7">
        <v>1</v>
      </c>
    </row>
    <row r="70" spans="1:42">
      <c r="A70" s="116"/>
      <c r="B70" s="7" t="str">
        <f>装备!B70</f>
        <v>E218</v>
      </c>
      <c r="C70" s="7" t="s">
        <v>41</v>
      </c>
      <c r="D70" s="7" t="s">
        <v>81</v>
      </c>
      <c r="E70" s="7" t="s">
        <v>82</v>
      </c>
      <c r="F70" s="7"/>
      <c r="G70" s="7"/>
      <c r="H70" s="7" t="str">
        <f>VLOOKUP(LEFT(RIGHT(B70,5),4),装备!B:CU,2,FALSE)</f>
        <v>|CffFFC926[防具]乾坤护心甲lv3|r</v>
      </c>
      <c r="I70" s="7" t="str">
        <f>VLOOKUP(B70,装备!B:CV,99,FALSE)</f>
        <v>|Cffbbbbbb属性：|r|n护甲+1200|n生命值+300000|n生命回复+6000|n生命恢复%+2|n|n|Cff00ff7f点击消耗10000金币进行强化|n成功率70%</v>
      </c>
      <c r="J70" s="118" t="str">
        <f t="shared" si="14"/>
        <v>|CffFFC926[防具]乾坤护心甲lv3|r</v>
      </c>
      <c r="K70" s="118" t="str">
        <f t="shared" si="15"/>
        <v>|Cffbbbbbb属性：|r|n护甲+1200|n生命值+300000|n生命回复+6000|n生命恢复%+2|n|n|Cff00ff7f点击消耗10000金币进行强化|n成功率70%</v>
      </c>
      <c r="L70" s="7"/>
      <c r="M70" s="119" t="str">
        <f>VLOOKUP(LEFT(RIGHT(B70,5),4),装备!B:CU,20,FALSE)</f>
        <v>ReplaceableTextures\\CommandButtons\\BTNZ14.blp</v>
      </c>
      <c r="N70" s="136" t="s">
        <v>83</v>
      </c>
      <c r="O70" s="137" t="s">
        <v>84</v>
      </c>
      <c r="P70" s="7">
        <v>0</v>
      </c>
      <c r="Q70" s="7">
        <v>0</v>
      </c>
      <c r="R70" s="136" t="s">
        <v>83</v>
      </c>
      <c r="S70" s="136" t="s">
        <v>83</v>
      </c>
      <c r="T70" s="136" t="s">
        <v>83</v>
      </c>
      <c r="U70" s="136" t="s">
        <v>83</v>
      </c>
      <c r="V70" s="7"/>
      <c r="W70" s="7" t="s">
        <v>85</v>
      </c>
      <c r="X70" s="7">
        <v>0</v>
      </c>
      <c r="Y70" s="136" t="s">
        <v>83</v>
      </c>
      <c r="Z70" s="7">
        <v>0</v>
      </c>
      <c r="AA70" s="7">
        <v>0</v>
      </c>
      <c r="AB70" s="7">
        <v>0</v>
      </c>
      <c r="AC70" s="7">
        <v>1</v>
      </c>
      <c r="AD70" s="7">
        <v>1</v>
      </c>
      <c r="AE70" s="136" t="s">
        <v>83</v>
      </c>
      <c r="AF70" s="136" t="s">
        <v>83</v>
      </c>
      <c r="AG70" s="136" t="s">
        <v>83</v>
      </c>
      <c r="AH70" s="136" t="s">
        <v>83</v>
      </c>
      <c r="AI70" s="7"/>
      <c r="AJ70" s="7"/>
      <c r="AK70" s="7">
        <v>0</v>
      </c>
      <c r="AL70" s="7">
        <v>0</v>
      </c>
      <c r="AM70" s="136" t="s">
        <v>83</v>
      </c>
      <c r="AN70" s="7"/>
      <c r="AO70" s="7"/>
      <c r="AP70" s="7">
        <v>1</v>
      </c>
    </row>
    <row r="71" spans="1:42">
      <c r="A71" s="116"/>
      <c r="B71" s="7" t="str">
        <f>装备!B71</f>
        <v>E219</v>
      </c>
      <c r="C71" s="7" t="s">
        <v>41</v>
      </c>
      <c r="D71" s="7" t="s">
        <v>81</v>
      </c>
      <c r="E71" s="7" t="s">
        <v>82</v>
      </c>
      <c r="F71" s="7"/>
      <c r="G71" s="7"/>
      <c r="H71" s="7" t="str">
        <f>VLOOKUP(LEFT(RIGHT(B71,5),4),装备!B:CU,2,FALSE)</f>
        <v>|CffFFC926[防具]乾坤护心甲lv4|r</v>
      </c>
      <c r="I71" s="7" t="str">
        <f>VLOOKUP(B71,装备!B:CV,99,FALSE)</f>
        <v>|Cffbbbbbb属性：|r|n护甲+1300|n生命值+375000|n生命回复+7500|n生命恢复%+2|n|n|Cff00ff7f点击消耗10000金币进行强化|n成功率70%</v>
      </c>
      <c r="J71" s="118" t="str">
        <f t="shared" si="14"/>
        <v>|CffFFC926[防具]乾坤护心甲lv4|r</v>
      </c>
      <c r="K71" s="118" t="str">
        <f t="shared" si="15"/>
        <v>|Cffbbbbbb属性：|r|n护甲+1300|n生命值+375000|n生命回复+7500|n生命恢复%+2|n|n|Cff00ff7f点击消耗10000金币进行强化|n成功率70%</v>
      </c>
      <c r="L71" s="7"/>
      <c r="M71" s="119" t="str">
        <f>VLOOKUP(LEFT(RIGHT(B71,5),4),装备!B:CU,20,FALSE)</f>
        <v>ReplaceableTextures\\CommandButtons\\BTNZ14.blp</v>
      </c>
      <c r="N71" s="136" t="s">
        <v>83</v>
      </c>
      <c r="O71" s="137" t="s">
        <v>84</v>
      </c>
      <c r="P71" s="7">
        <v>0</v>
      </c>
      <c r="Q71" s="7">
        <v>0</v>
      </c>
      <c r="R71" s="136" t="s">
        <v>83</v>
      </c>
      <c r="S71" s="136" t="s">
        <v>83</v>
      </c>
      <c r="T71" s="136" t="s">
        <v>83</v>
      </c>
      <c r="U71" s="136" t="s">
        <v>83</v>
      </c>
      <c r="V71" s="7"/>
      <c r="W71" s="7" t="s">
        <v>85</v>
      </c>
      <c r="X71" s="7">
        <v>0</v>
      </c>
      <c r="Y71" s="136" t="s">
        <v>83</v>
      </c>
      <c r="Z71" s="7">
        <v>0</v>
      </c>
      <c r="AA71" s="7">
        <v>0</v>
      </c>
      <c r="AB71" s="7">
        <v>0</v>
      </c>
      <c r="AC71" s="7">
        <v>1</v>
      </c>
      <c r="AD71" s="7">
        <v>1</v>
      </c>
      <c r="AE71" s="136" t="s">
        <v>83</v>
      </c>
      <c r="AF71" s="136" t="s">
        <v>83</v>
      </c>
      <c r="AG71" s="136" t="s">
        <v>83</v>
      </c>
      <c r="AH71" s="136" t="s">
        <v>83</v>
      </c>
      <c r="AI71" s="7"/>
      <c r="AJ71" s="7"/>
      <c r="AK71" s="7">
        <v>0</v>
      </c>
      <c r="AL71" s="7">
        <v>0</v>
      </c>
      <c r="AM71" s="136" t="s">
        <v>83</v>
      </c>
      <c r="AN71" s="7"/>
      <c r="AO71" s="7"/>
      <c r="AP71" s="7">
        <v>1</v>
      </c>
    </row>
    <row r="72" spans="1:42">
      <c r="A72" s="116"/>
      <c r="B72" s="7" t="str">
        <f>装备!B72</f>
        <v>E220</v>
      </c>
      <c r="C72" s="7" t="s">
        <v>41</v>
      </c>
      <c r="D72" s="7" t="s">
        <v>81</v>
      </c>
      <c r="E72" s="7" t="s">
        <v>82</v>
      </c>
      <c r="F72" s="7"/>
      <c r="G72" s="7"/>
      <c r="H72" s="7" t="str">
        <f>VLOOKUP(LEFT(RIGHT(B72,5),4),装备!B:CU,2,FALSE)</f>
        <v>|CffFFC926[防具]乾坤护心甲lv5|r</v>
      </c>
      <c r="I72" s="7" t="str">
        <f>VLOOKUP(B72,装备!B:CV,99,FALSE)</f>
        <v>|Cffbbbbbb属性：|r|n护甲+1400|n生命值+450000|n生命回复+9000|n生命恢复%+2|n|n|Cff00ff7f点击消耗30000金币进行晋阶挑战</v>
      </c>
      <c r="J72" s="118" t="str">
        <f t="shared" si="14"/>
        <v>|CffFFC926[防具]乾坤护心甲lv5|r</v>
      </c>
      <c r="K72" s="118" t="str">
        <f t="shared" si="15"/>
        <v>|Cffbbbbbb属性：|r|n护甲+1400|n生命值+450000|n生命回复+9000|n生命恢复%+2|n|n|Cff00ff7f点击消耗30000金币进行晋阶挑战</v>
      </c>
      <c r="L72" s="7"/>
      <c r="M72" s="119" t="str">
        <f>VLOOKUP(LEFT(RIGHT(B72,5),4),装备!B:CU,20,FALSE)</f>
        <v>ReplaceableTextures\\CommandButtons\\BTNZ14.blp</v>
      </c>
      <c r="N72" s="136" t="s">
        <v>83</v>
      </c>
      <c r="O72" s="137" t="s">
        <v>84</v>
      </c>
      <c r="P72" s="7">
        <v>0</v>
      </c>
      <c r="Q72" s="7">
        <v>0</v>
      </c>
      <c r="R72" s="136" t="s">
        <v>83</v>
      </c>
      <c r="S72" s="136" t="s">
        <v>83</v>
      </c>
      <c r="T72" s="136" t="s">
        <v>83</v>
      </c>
      <c r="U72" s="136" t="s">
        <v>83</v>
      </c>
      <c r="V72" s="7"/>
      <c r="W72" s="7" t="s">
        <v>85</v>
      </c>
      <c r="X72" s="7">
        <v>0</v>
      </c>
      <c r="Y72" s="136" t="s">
        <v>83</v>
      </c>
      <c r="Z72" s="7">
        <v>0</v>
      </c>
      <c r="AA72" s="7">
        <v>0</v>
      </c>
      <c r="AB72" s="7">
        <v>0</v>
      </c>
      <c r="AC72" s="7">
        <v>1</v>
      </c>
      <c r="AD72" s="7">
        <v>1</v>
      </c>
      <c r="AE72" s="136" t="s">
        <v>83</v>
      </c>
      <c r="AF72" s="136" t="s">
        <v>83</v>
      </c>
      <c r="AG72" s="136" t="s">
        <v>83</v>
      </c>
      <c r="AH72" s="136" t="s">
        <v>83</v>
      </c>
      <c r="AI72" s="7"/>
      <c r="AJ72" s="7"/>
      <c r="AK72" s="7">
        <v>0</v>
      </c>
      <c r="AL72" s="7">
        <v>0</v>
      </c>
      <c r="AM72" s="136" t="s">
        <v>83</v>
      </c>
      <c r="AN72" s="7"/>
      <c r="AO72" s="7"/>
      <c r="AP72" s="7">
        <v>1</v>
      </c>
    </row>
    <row r="73" spans="1:42">
      <c r="A73" s="116"/>
      <c r="B73" s="7" t="str">
        <f>装备!B73</f>
        <v>E221</v>
      </c>
      <c r="C73" s="7" t="s">
        <v>41</v>
      </c>
      <c r="D73" s="7" t="s">
        <v>81</v>
      </c>
      <c r="E73" s="7" t="s">
        <v>82</v>
      </c>
      <c r="F73" s="7"/>
      <c r="G73" s="7"/>
      <c r="H73" s="7" t="str">
        <f>VLOOKUP(LEFT(RIGHT(B73,5),4),装备!B:CU,2,FALSE)</f>
        <v>|CffFF0000[防具]九龙黄金甲lv1|r</v>
      </c>
      <c r="I73" s="7" t="str">
        <f>VLOOKUP(B73,装备!B:CV,99,FALSE)</f>
        <v>|Cffbbbbbb属性：|r|n护甲+2000|n生命值+750000|n生命回复+15000|n生命恢复%+3|n|n|Cff00ff7f点击消耗20000金币进行强化|n成功率50%</v>
      </c>
      <c r="J73" s="118" t="str">
        <f t="shared" si="14"/>
        <v>|CffFF0000[防具]九龙黄金甲lv1|r</v>
      </c>
      <c r="K73" s="118" t="str">
        <f t="shared" si="15"/>
        <v>|Cffbbbbbb属性：|r|n护甲+2000|n生命值+750000|n生命回复+15000|n生命恢复%+3|n|n|Cff00ff7f点击消耗20000金币进行强化|n成功率50%</v>
      </c>
      <c r="L73" s="7"/>
      <c r="M73" s="119" t="str">
        <f>VLOOKUP(LEFT(RIGHT(B73,5),4),装备!B:CU,20,FALSE)</f>
        <v>ReplaceableTextures\\CommandButtons\\BTNZ15.blp</v>
      </c>
      <c r="N73" s="136" t="s">
        <v>83</v>
      </c>
      <c r="O73" s="137" t="s">
        <v>84</v>
      </c>
      <c r="P73" s="7">
        <v>0</v>
      </c>
      <c r="Q73" s="7">
        <v>0</v>
      </c>
      <c r="R73" s="136" t="s">
        <v>83</v>
      </c>
      <c r="S73" s="136" t="s">
        <v>83</v>
      </c>
      <c r="T73" s="136" t="s">
        <v>83</v>
      </c>
      <c r="U73" s="136" t="s">
        <v>83</v>
      </c>
      <c r="V73" s="7"/>
      <c r="W73" s="7" t="s">
        <v>85</v>
      </c>
      <c r="X73" s="7">
        <v>0</v>
      </c>
      <c r="Y73" s="136" t="s">
        <v>83</v>
      </c>
      <c r="Z73" s="7">
        <v>0</v>
      </c>
      <c r="AA73" s="7">
        <v>0</v>
      </c>
      <c r="AB73" s="7">
        <v>0</v>
      </c>
      <c r="AC73" s="7">
        <v>1</v>
      </c>
      <c r="AD73" s="7">
        <v>1</v>
      </c>
      <c r="AE73" s="136" t="s">
        <v>83</v>
      </c>
      <c r="AF73" s="136" t="s">
        <v>83</v>
      </c>
      <c r="AG73" s="136" t="s">
        <v>83</v>
      </c>
      <c r="AH73" s="136" t="s">
        <v>83</v>
      </c>
      <c r="AI73" s="7"/>
      <c r="AJ73" s="7"/>
      <c r="AK73" s="7">
        <v>0</v>
      </c>
      <c r="AL73" s="7">
        <v>0</v>
      </c>
      <c r="AM73" s="136" t="s">
        <v>83</v>
      </c>
      <c r="AN73" s="7"/>
      <c r="AO73" s="7"/>
      <c r="AP73" s="7">
        <v>1</v>
      </c>
    </row>
    <row r="74" spans="1:42">
      <c r="A74" s="116"/>
      <c r="B74" s="7" t="str">
        <f>装备!B74</f>
        <v>E222</v>
      </c>
      <c r="C74" s="7" t="s">
        <v>41</v>
      </c>
      <c r="D74" s="7" t="s">
        <v>81</v>
      </c>
      <c r="E74" s="7" t="s">
        <v>82</v>
      </c>
      <c r="F74" s="7"/>
      <c r="G74" s="7"/>
      <c r="H74" s="7" t="str">
        <f>VLOOKUP(LEFT(RIGHT(B74,5),4),装备!B:CU,2,FALSE)</f>
        <v>|CffFF0000[防具]九龙黄金甲lv2|r</v>
      </c>
      <c r="I74" s="7" t="str">
        <f>VLOOKUP(B74,装备!B:CV,99,FALSE)</f>
        <v>|Cffbbbbbb属性：|r|n护甲+2200|n生命值+1200000|n生命回复+24000|n生命恢复%+3|n|n|Cff00ff7f点击消耗20000金币进行强化|n成功率50%</v>
      </c>
      <c r="J74" s="118" t="str">
        <f t="shared" si="14"/>
        <v>|CffFF0000[防具]九龙黄金甲lv2|r</v>
      </c>
      <c r="K74" s="118" t="str">
        <f t="shared" si="15"/>
        <v>|Cffbbbbbb属性：|r|n护甲+2200|n生命值+1200000|n生命回复+24000|n生命恢复%+3|n|n|Cff00ff7f点击消耗20000金币进行强化|n成功率50%</v>
      </c>
      <c r="L74" s="7"/>
      <c r="M74" s="119" t="str">
        <f>VLOOKUP(LEFT(RIGHT(B74,5),4),装备!B:CU,20,FALSE)</f>
        <v>ReplaceableTextures\\CommandButtons\\BTNZ15.blp</v>
      </c>
      <c r="N74" s="136" t="s">
        <v>83</v>
      </c>
      <c r="O74" s="137" t="s">
        <v>84</v>
      </c>
      <c r="P74" s="7">
        <v>0</v>
      </c>
      <c r="Q74" s="7">
        <v>0</v>
      </c>
      <c r="R74" s="136" t="s">
        <v>83</v>
      </c>
      <c r="S74" s="136" t="s">
        <v>83</v>
      </c>
      <c r="T74" s="136" t="s">
        <v>83</v>
      </c>
      <c r="U74" s="136" t="s">
        <v>83</v>
      </c>
      <c r="V74" s="7"/>
      <c r="W74" s="7" t="s">
        <v>85</v>
      </c>
      <c r="X74" s="7">
        <v>0</v>
      </c>
      <c r="Y74" s="136" t="s">
        <v>83</v>
      </c>
      <c r="Z74" s="7">
        <v>0</v>
      </c>
      <c r="AA74" s="7">
        <v>0</v>
      </c>
      <c r="AB74" s="7">
        <v>0</v>
      </c>
      <c r="AC74" s="7">
        <v>1</v>
      </c>
      <c r="AD74" s="7">
        <v>1</v>
      </c>
      <c r="AE74" s="136" t="s">
        <v>83</v>
      </c>
      <c r="AF74" s="136" t="s">
        <v>83</v>
      </c>
      <c r="AG74" s="136" t="s">
        <v>83</v>
      </c>
      <c r="AH74" s="136" t="s">
        <v>83</v>
      </c>
      <c r="AI74" s="7"/>
      <c r="AJ74" s="7"/>
      <c r="AK74" s="7">
        <v>0</v>
      </c>
      <c r="AL74" s="7">
        <v>0</v>
      </c>
      <c r="AM74" s="136" t="s">
        <v>83</v>
      </c>
      <c r="AN74" s="7"/>
      <c r="AO74" s="7"/>
      <c r="AP74" s="7">
        <v>1</v>
      </c>
    </row>
    <row r="75" spans="1:42">
      <c r="A75" s="116"/>
      <c r="B75" s="7" t="str">
        <f>装备!B75</f>
        <v>E223</v>
      </c>
      <c r="C75" s="7" t="s">
        <v>41</v>
      </c>
      <c r="D75" s="7" t="s">
        <v>81</v>
      </c>
      <c r="E75" s="7" t="s">
        <v>82</v>
      </c>
      <c r="F75" s="7"/>
      <c r="G75" s="7"/>
      <c r="H75" s="7" t="str">
        <f>VLOOKUP(LEFT(RIGHT(B75,5),4),装备!B:CU,2,FALSE)</f>
        <v>|CffFF0000[防具]九龙黄金甲lv3|r</v>
      </c>
      <c r="I75" s="7" t="str">
        <f>VLOOKUP(B75,装备!B:CV,99,FALSE)</f>
        <v>|Cffbbbbbb属性：|r|n护甲+2400|n生命值+1650000|n生命回复+33000|n生命恢复%+3|n|n|Cff00ff7f点击消耗20000金币进行强化|n成功率50%</v>
      </c>
      <c r="J75" s="118" t="str">
        <f t="shared" si="14"/>
        <v>|CffFF0000[防具]九龙黄金甲lv3|r</v>
      </c>
      <c r="K75" s="118" t="str">
        <f t="shared" si="15"/>
        <v>|Cffbbbbbb属性：|r|n护甲+2400|n生命值+1650000|n生命回复+33000|n生命恢复%+3|n|n|Cff00ff7f点击消耗20000金币进行强化|n成功率50%</v>
      </c>
      <c r="L75" s="7"/>
      <c r="M75" s="119" t="str">
        <f>VLOOKUP(LEFT(RIGHT(B75,5),4),装备!B:CU,20,FALSE)</f>
        <v>ReplaceableTextures\\CommandButtons\\BTNZ15.blp</v>
      </c>
      <c r="N75" s="136" t="s">
        <v>83</v>
      </c>
      <c r="O75" s="137" t="s">
        <v>84</v>
      </c>
      <c r="P75" s="7">
        <v>0</v>
      </c>
      <c r="Q75" s="7">
        <v>0</v>
      </c>
      <c r="R75" s="136" t="s">
        <v>83</v>
      </c>
      <c r="S75" s="136" t="s">
        <v>83</v>
      </c>
      <c r="T75" s="136" t="s">
        <v>83</v>
      </c>
      <c r="U75" s="136" t="s">
        <v>83</v>
      </c>
      <c r="V75" s="7"/>
      <c r="W75" s="7" t="s">
        <v>85</v>
      </c>
      <c r="X75" s="7">
        <v>0</v>
      </c>
      <c r="Y75" s="136" t="s">
        <v>83</v>
      </c>
      <c r="Z75" s="7">
        <v>0</v>
      </c>
      <c r="AA75" s="7">
        <v>0</v>
      </c>
      <c r="AB75" s="7">
        <v>0</v>
      </c>
      <c r="AC75" s="7">
        <v>1</v>
      </c>
      <c r="AD75" s="7">
        <v>1</v>
      </c>
      <c r="AE75" s="136" t="s">
        <v>83</v>
      </c>
      <c r="AF75" s="136" t="s">
        <v>83</v>
      </c>
      <c r="AG75" s="136" t="s">
        <v>83</v>
      </c>
      <c r="AH75" s="136" t="s">
        <v>83</v>
      </c>
      <c r="AI75" s="7"/>
      <c r="AJ75" s="7"/>
      <c r="AK75" s="7">
        <v>0</v>
      </c>
      <c r="AL75" s="7">
        <v>0</v>
      </c>
      <c r="AM75" s="136" t="s">
        <v>83</v>
      </c>
      <c r="AN75" s="7"/>
      <c r="AO75" s="7"/>
      <c r="AP75" s="7">
        <v>1</v>
      </c>
    </row>
    <row r="76" spans="1:42">
      <c r="A76" s="116"/>
      <c r="B76" s="7" t="str">
        <f>装备!B76</f>
        <v>E224</v>
      </c>
      <c r="C76" s="7" t="s">
        <v>41</v>
      </c>
      <c r="D76" s="7" t="s">
        <v>81</v>
      </c>
      <c r="E76" s="7" t="s">
        <v>82</v>
      </c>
      <c r="F76" s="7"/>
      <c r="G76" s="7"/>
      <c r="H76" s="7" t="str">
        <f>VLOOKUP(LEFT(RIGHT(B76,5),4),装备!B:CU,2,FALSE)</f>
        <v>|CffFF0000[防具]九龙黄金甲lv4|r</v>
      </c>
      <c r="I76" s="7" t="str">
        <f>VLOOKUP(B76,装备!B:CV,99,FALSE)</f>
        <v>|Cffbbbbbb属性：|r|n护甲+2600|n生命值+2100000|n生命回复+42000|n生命恢复%+3|n|n|Cff00ff7f点击消耗20000金币进行强化|n成功率50%</v>
      </c>
      <c r="J76" s="118" t="str">
        <f t="shared" si="14"/>
        <v>|CffFF0000[防具]九龙黄金甲lv4|r</v>
      </c>
      <c r="K76" s="118" t="str">
        <f t="shared" si="15"/>
        <v>|Cffbbbbbb属性：|r|n护甲+2600|n生命值+2100000|n生命回复+42000|n生命恢复%+3|n|n|Cff00ff7f点击消耗20000金币进行强化|n成功率50%</v>
      </c>
      <c r="L76" s="7"/>
      <c r="M76" s="119" t="str">
        <f>VLOOKUP(LEFT(RIGHT(B76,5),4),装备!B:CU,20,FALSE)</f>
        <v>ReplaceableTextures\\CommandButtons\\BTNZ15.blp</v>
      </c>
      <c r="N76" s="136" t="s">
        <v>83</v>
      </c>
      <c r="O76" s="137" t="s">
        <v>84</v>
      </c>
      <c r="P76" s="7">
        <v>0</v>
      </c>
      <c r="Q76" s="7">
        <v>0</v>
      </c>
      <c r="R76" s="136" t="s">
        <v>83</v>
      </c>
      <c r="S76" s="136" t="s">
        <v>83</v>
      </c>
      <c r="T76" s="136" t="s">
        <v>83</v>
      </c>
      <c r="U76" s="136" t="s">
        <v>83</v>
      </c>
      <c r="V76" s="7"/>
      <c r="W76" s="7" t="s">
        <v>85</v>
      </c>
      <c r="X76" s="7">
        <v>0</v>
      </c>
      <c r="Y76" s="136" t="s">
        <v>83</v>
      </c>
      <c r="Z76" s="7">
        <v>0</v>
      </c>
      <c r="AA76" s="7">
        <v>0</v>
      </c>
      <c r="AB76" s="7">
        <v>0</v>
      </c>
      <c r="AC76" s="7">
        <v>1</v>
      </c>
      <c r="AD76" s="7">
        <v>1</v>
      </c>
      <c r="AE76" s="136" t="s">
        <v>83</v>
      </c>
      <c r="AF76" s="136" t="s">
        <v>83</v>
      </c>
      <c r="AG76" s="136" t="s">
        <v>83</v>
      </c>
      <c r="AH76" s="136" t="s">
        <v>83</v>
      </c>
      <c r="AI76" s="7"/>
      <c r="AJ76" s="7"/>
      <c r="AK76" s="7">
        <v>0</v>
      </c>
      <c r="AL76" s="7">
        <v>0</v>
      </c>
      <c r="AM76" s="136" t="s">
        <v>83</v>
      </c>
      <c r="AN76" s="7"/>
      <c r="AO76" s="7"/>
      <c r="AP76" s="7">
        <v>1</v>
      </c>
    </row>
    <row r="77" spans="1:42">
      <c r="A77" s="116"/>
      <c r="B77" s="7" t="str">
        <f>装备!B77</f>
        <v>E225</v>
      </c>
      <c r="C77" s="7" t="s">
        <v>41</v>
      </c>
      <c r="D77" s="7" t="s">
        <v>81</v>
      </c>
      <c r="E77" s="7"/>
      <c r="F77" s="7"/>
      <c r="G77" s="7"/>
      <c r="H77" s="7" t="str">
        <f>VLOOKUP(LEFT(RIGHT(B77,5),4),装备!B:CU,2,FALSE)</f>
        <v>|CffFF0000[防具]九龙黄金甲lv5|r</v>
      </c>
      <c r="I77" s="7" t="str">
        <f>VLOOKUP(B77,装备!B:CV,99,FALSE)</f>
        <v>|Cffbbbbbb属性：|r|n护甲+2800|n生命值+3000000|n生命回复+60000|n生命恢复%+5|n|Cff999999装备进化：未开放|r</v>
      </c>
      <c r="J77" s="118" t="str">
        <f t="shared" si="14"/>
        <v>|CffFF0000[防具]九龙黄金甲lv5|r</v>
      </c>
      <c r="K77" s="118" t="str">
        <f t="shared" si="15"/>
        <v>|Cffbbbbbb属性：|r|n护甲+2800|n生命值+3000000|n生命回复+60000|n生命恢复%+5|n|Cff999999装备进化：未开放|r</v>
      </c>
      <c r="L77" s="7"/>
      <c r="M77" s="119" t="str">
        <f>VLOOKUP(LEFT(RIGHT(B77,5),4),装备!B:CU,20,FALSE)</f>
        <v>ReplaceableTextures\\CommandButtons\\BTNZ15.blp</v>
      </c>
      <c r="N77" s="136" t="s">
        <v>83</v>
      </c>
      <c r="O77" s="137" t="s">
        <v>84</v>
      </c>
      <c r="P77" s="7">
        <v>0</v>
      </c>
      <c r="Q77" s="7">
        <v>0</v>
      </c>
      <c r="R77" s="136" t="s">
        <v>83</v>
      </c>
      <c r="S77" s="136" t="s">
        <v>83</v>
      </c>
      <c r="T77" s="136" t="s">
        <v>83</v>
      </c>
      <c r="U77" s="136" t="s">
        <v>83</v>
      </c>
      <c r="V77" s="7"/>
      <c r="W77" s="7" t="s">
        <v>85</v>
      </c>
      <c r="X77" s="7">
        <v>0</v>
      </c>
      <c r="Y77" s="136" t="s">
        <v>83</v>
      </c>
      <c r="Z77" s="7">
        <v>0</v>
      </c>
      <c r="AA77" s="7">
        <v>0</v>
      </c>
      <c r="AB77" s="7">
        <v>0</v>
      </c>
      <c r="AC77" s="7">
        <v>1</v>
      </c>
      <c r="AD77" s="7">
        <v>1</v>
      </c>
      <c r="AE77" s="136" t="s">
        <v>83</v>
      </c>
      <c r="AF77" s="136" t="s">
        <v>83</v>
      </c>
      <c r="AG77" s="136" t="s">
        <v>83</v>
      </c>
      <c r="AH77" s="136" t="s">
        <v>83</v>
      </c>
      <c r="AI77" s="7"/>
      <c r="AJ77" s="7"/>
      <c r="AK77" s="7">
        <v>0</v>
      </c>
      <c r="AL77" s="7">
        <v>0</v>
      </c>
      <c r="AM77" s="136" t="s">
        <v>83</v>
      </c>
      <c r="AN77" s="7"/>
      <c r="AO77" s="7"/>
      <c r="AP77" s="7"/>
    </row>
    <row r="78" spans="1:42">
      <c r="A78" s="116"/>
      <c r="B78" s="7" t="str">
        <f>装备!B78</f>
        <v>IJ01</v>
      </c>
      <c r="C78" s="7" t="s">
        <v>41</v>
      </c>
      <c r="D78" s="7" t="s">
        <v>81</v>
      </c>
      <c r="E78" s="7" t="s">
        <v>82</v>
      </c>
      <c r="F78" s="7"/>
      <c r="G78" s="7"/>
      <c r="H78" s="7" t="str">
        <f>VLOOKUP(LEFT(RIGHT(B78,5),4),装备!B:CU,2,FALSE)</f>
        <v>低级道果</v>
      </c>
      <c r="I78" s="7" t="str">
        <f>VLOOKUP(B78,装备!B:CV,99,FALSE)</f>
        <v>|Cffbbbbbb属性：|r|n攻击+5000|n生命值+25000|n物理伤害+5%|n法术伤害+5%|n杀敌攻击+5|n杀敌业力+1|n杀敌生命+5|n</v>
      </c>
      <c r="J78" s="118" t="str">
        <f t="shared" ref="J78" si="16">H78</f>
        <v>低级道果</v>
      </c>
      <c r="K78" s="118" t="str">
        <f t="shared" ref="K78" si="17">I78</f>
        <v>|Cffbbbbbb属性：|r|n攻击+5000|n生命值+25000|n物理伤害+5%|n法术伤害+5%|n杀敌攻击+5|n杀敌业力+1|n杀敌生命+5|n</v>
      </c>
      <c r="L78" s="7"/>
      <c r="M78" s="119" t="str">
        <f>VLOOKUP(LEFT(RIGHT(B78,5),4),装备!B:CU,20,FALSE)</f>
        <v>ReplaceableTextures\\CommandButtons\\BTNOrbOfFrost.blp</v>
      </c>
      <c r="N78" s="136" t="s">
        <v>83</v>
      </c>
      <c r="O78" s="137" t="s">
        <v>84</v>
      </c>
      <c r="P78" s="7">
        <v>0</v>
      </c>
      <c r="Q78" s="7">
        <v>0</v>
      </c>
      <c r="R78" s="136" t="s">
        <v>83</v>
      </c>
      <c r="S78" s="136" t="s">
        <v>83</v>
      </c>
      <c r="T78" s="136" t="s">
        <v>83</v>
      </c>
      <c r="U78" s="136" t="s">
        <v>83</v>
      </c>
      <c r="V78" s="7"/>
      <c r="W78" s="7" t="s">
        <v>87</v>
      </c>
      <c r="X78" s="7">
        <v>0</v>
      </c>
      <c r="Y78" s="136" t="s">
        <v>83</v>
      </c>
      <c r="Z78" s="7">
        <v>0</v>
      </c>
      <c r="AA78" s="7">
        <v>0</v>
      </c>
      <c r="AB78" s="7">
        <v>0</v>
      </c>
      <c r="AC78" s="7">
        <v>1</v>
      </c>
      <c r="AD78" s="7">
        <v>1</v>
      </c>
      <c r="AE78" s="136" t="s">
        <v>83</v>
      </c>
      <c r="AF78" s="136" t="s">
        <v>83</v>
      </c>
      <c r="AG78" s="136" t="s">
        <v>83</v>
      </c>
      <c r="AH78" s="136" t="s">
        <v>83</v>
      </c>
      <c r="AI78" s="7">
        <v>1</v>
      </c>
      <c r="AJ78" s="7"/>
      <c r="AK78" s="7">
        <v>1</v>
      </c>
      <c r="AL78" s="7">
        <v>1</v>
      </c>
      <c r="AM78" s="136" t="s">
        <v>83</v>
      </c>
      <c r="AN78" s="7">
        <v>1</v>
      </c>
      <c r="AO78" s="7">
        <v>1</v>
      </c>
      <c r="AP78" s="7">
        <v>1</v>
      </c>
    </row>
    <row r="79" spans="1:42">
      <c r="A79" s="116"/>
      <c r="B79" s="7" t="str">
        <f>装备!B79</f>
        <v>IJ02</v>
      </c>
      <c r="C79" s="7" t="s">
        <v>41</v>
      </c>
      <c r="D79" s="7" t="s">
        <v>81</v>
      </c>
      <c r="E79" s="7" t="s">
        <v>82</v>
      </c>
      <c r="F79" s="7"/>
      <c r="G79" s="7"/>
      <c r="H79" s="7" t="str">
        <f>VLOOKUP(LEFT(RIGHT(B79,5),4),装备!B:CU,2,FALSE)</f>
        <v>中级道果</v>
      </c>
      <c r="I79" s="7" t="str">
        <f>VLOOKUP(B79,装备!B:CV,99,FALSE)</f>
        <v>|Cffbbbbbb属性：|r|n攻击+12000|n生命值+60000|n物理伤害+5%|n法术伤害+5%|n杀敌攻击+5|n杀敌业力+1|n杀敌生命+5|n</v>
      </c>
      <c r="J79" s="118" t="str">
        <f t="shared" ref="J79:J82" si="18">H79</f>
        <v>中级道果</v>
      </c>
      <c r="K79" s="118" t="str">
        <f t="shared" ref="K79:K82" si="19">I79</f>
        <v>|Cffbbbbbb属性：|r|n攻击+12000|n生命值+60000|n物理伤害+5%|n法术伤害+5%|n杀敌攻击+5|n杀敌业力+1|n杀敌生命+5|n</v>
      </c>
      <c r="L79" s="7"/>
      <c r="M79" s="119" t="str">
        <f>VLOOKUP(LEFT(RIGHT(B79,5),4),装备!B:CU,20,FALSE)</f>
        <v>ReplaceableTextures\\CommandButtons\\BTNOrbOfVenom.blp</v>
      </c>
      <c r="N79" s="136" t="s">
        <v>83</v>
      </c>
      <c r="O79" s="137" t="s">
        <v>84</v>
      </c>
      <c r="P79" s="7">
        <v>0</v>
      </c>
      <c r="Q79" s="7">
        <v>0</v>
      </c>
      <c r="R79" s="136" t="s">
        <v>83</v>
      </c>
      <c r="S79" s="136" t="s">
        <v>83</v>
      </c>
      <c r="T79" s="136" t="s">
        <v>83</v>
      </c>
      <c r="U79" s="136" t="s">
        <v>83</v>
      </c>
      <c r="V79" s="7"/>
      <c r="W79" s="7" t="s">
        <v>87</v>
      </c>
      <c r="X79" s="7">
        <v>0</v>
      </c>
      <c r="Y79" s="136" t="s">
        <v>83</v>
      </c>
      <c r="Z79" s="7">
        <v>0</v>
      </c>
      <c r="AA79" s="7">
        <v>0</v>
      </c>
      <c r="AB79" s="7">
        <v>0</v>
      </c>
      <c r="AC79" s="7">
        <v>1</v>
      </c>
      <c r="AD79" s="7">
        <v>1</v>
      </c>
      <c r="AE79" s="136" t="s">
        <v>83</v>
      </c>
      <c r="AF79" s="136" t="s">
        <v>83</v>
      </c>
      <c r="AG79" s="136" t="s">
        <v>83</v>
      </c>
      <c r="AH79" s="136" t="s">
        <v>83</v>
      </c>
      <c r="AI79" s="7">
        <v>1</v>
      </c>
      <c r="AJ79" s="7"/>
      <c r="AK79" s="7">
        <v>1</v>
      </c>
      <c r="AL79" s="7">
        <v>1</v>
      </c>
      <c r="AM79" s="136" t="s">
        <v>83</v>
      </c>
      <c r="AN79" s="7">
        <v>1</v>
      </c>
      <c r="AO79" s="7">
        <v>1</v>
      </c>
      <c r="AP79" s="7">
        <v>1</v>
      </c>
    </row>
    <row r="80" spans="1:42">
      <c r="A80" s="116"/>
      <c r="B80" s="7" t="str">
        <f>装备!B80</f>
        <v>IJ03</v>
      </c>
      <c r="C80" s="7" t="s">
        <v>41</v>
      </c>
      <c r="D80" s="7" t="s">
        <v>81</v>
      </c>
      <c r="E80" s="7" t="s">
        <v>82</v>
      </c>
      <c r="F80" s="7"/>
      <c r="G80" s="7"/>
      <c r="H80" s="7" t="str">
        <f>VLOOKUP(LEFT(RIGHT(B80,5),4),装备!B:CU,2,FALSE)</f>
        <v>|Cff00FF7F高级道果|r</v>
      </c>
      <c r="I80" s="7" t="str">
        <f>VLOOKUP(B80,装备!B:CV,99,FALSE)</f>
        <v>|Cffbbbbbb属性：|r|n攻击+25000|n生命值+125000|n物理伤害+5%|n法术伤害+5%|n杀敌攻击+5|n杀敌业力+1|n杀敌生命+5|n</v>
      </c>
      <c r="J80" s="118" t="str">
        <f t="shared" si="18"/>
        <v>|Cff00FF7F高级道果|r</v>
      </c>
      <c r="K80" s="118" t="str">
        <f t="shared" si="19"/>
        <v>|Cffbbbbbb属性：|r|n攻击+25000|n生命值+125000|n物理伤害+5%|n法术伤害+5%|n杀敌攻击+5|n杀敌业力+1|n杀敌生命+5|n</v>
      </c>
      <c r="L80" s="7"/>
      <c r="M80" s="119" t="str">
        <f>VLOOKUP(LEFT(RIGHT(B80,5),4),装备!B:CU,20,FALSE)</f>
        <v>ReplaceableTextures\\CommandButtons\\BTNOrbOfCorruption.blp</v>
      </c>
      <c r="N80" s="136" t="s">
        <v>83</v>
      </c>
      <c r="O80" s="137" t="s">
        <v>84</v>
      </c>
      <c r="P80" s="7">
        <v>0</v>
      </c>
      <c r="Q80" s="7">
        <v>0</v>
      </c>
      <c r="R80" s="136" t="s">
        <v>83</v>
      </c>
      <c r="S80" s="136" t="s">
        <v>83</v>
      </c>
      <c r="T80" s="136" t="s">
        <v>83</v>
      </c>
      <c r="U80" s="136" t="s">
        <v>83</v>
      </c>
      <c r="V80" s="7"/>
      <c r="W80" s="7" t="s">
        <v>87</v>
      </c>
      <c r="X80" s="7">
        <v>0</v>
      </c>
      <c r="Y80" s="136" t="s">
        <v>83</v>
      </c>
      <c r="Z80" s="7">
        <v>0</v>
      </c>
      <c r="AA80" s="7">
        <v>0</v>
      </c>
      <c r="AB80" s="7">
        <v>0</v>
      </c>
      <c r="AC80" s="7">
        <v>1</v>
      </c>
      <c r="AD80" s="7">
        <v>1</v>
      </c>
      <c r="AE80" s="136" t="s">
        <v>83</v>
      </c>
      <c r="AF80" s="136" t="s">
        <v>83</v>
      </c>
      <c r="AG80" s="136" t="s">
        <v>83</v>
      </c>
      <c r="AH80" s="136" t="s">
        <v>83</v>
      </c>
      <c r="AI80" s="7">
        <v>1</v>
      </c>
      <c r="AJ80" s="7"/>
      <c r="AK80" s="7">
        <v>1</v>
      </c>
      <c r="AL80" s="7">
        <v>1</v>
      </c>
      <c r="AM80" s="136" t="s">
        <v>83</v>
      </c>
      <c r="AN80" s="7">
        <v>1</v>
      </c>
      <c r="AO80" s="7">
        <v>1</v>
      </c>
      <c r="AP80" s="7">
        <v>1</v>
      </c>
    </row>
    <row r="81" spans="1:42">
      <c r="A81" s="116"/>
      <c r="B81" s="7" t="str">
        <f>装备!B81</f>
        <v>IJ04</v>
      </c>
      <c r="C81" s="7" t="s">
        <v>41</v>
      </c>
      <c r="D81" s="7" t="s">
        <v>81</v>
      </c>
      <c r="E81" s="7" t="s">
        <v>82</v>
      </c>
      <c r="F81" s="7"/>
      <c r="G81" s="7"/>
      <c r="H81" s="7" t="str">
        <f>VLOOKUP(LEFT(RIGHT(B81,5),4),装备!B:CU,2,FALSE)</f>
        <v>|Cff00FF7F黄级道果|r</v>
      </c>
      <c r="I81" s="7" t="str">
        <f>VLOOKUP(B81,装备!B:CV,99,FALSE)</f>
        <v>|Cffbbbbbb属性：|r|n攻击+40000|n生命值+200000|n物理伤害+5%|n法术伤害+5%|n杀敌攻击+5|n杀敌业力+1|n杀敌生命+5|n</v>
      </c>
      <c r="J81" s="118" t="str">
        <f t="shared" si="18"/>
        <v>|Cff00FF7F黄级道果|r</v>
      </c>
      <c r="K81" s="118" t="str">
        <f t="shared" si="19"/>
        <v>|Cffbbbbbb属性：|r|n攻击+40000|n生命值+200000|n物理伤害+5%|n法术伤害+5%|n杀敌攻击+5|n杀敌业力+1|n杀敌生命+5|n</v>
      </c>
      <c r="L81" s="7"/>
      <c r="M81" s="119" t="str">
        <f>VLOOKUP(LEFT(RIGHT(B81,5),4),装备!B:CU,20,FALSE)</f>
        <v>ReplaceableTextures\\CommandButtons\\BTNOrbOfFire.blp</v>
      </c>
      <c r="N81" s="136" t="s">
        <v>83</v>
      </c>
      <c r="O81" s="137" t="s">
        <v>84</v>
      </c>
      <c r="P81" s="7">
        <v>0</v>
      </c>
      <c r="Q81" s="7">
        <v>0</v>
      </c>
      <c r="R81" s="136" t="s">
        <v>83</v>
      </c>
      <c r="S81" s="136" t="s">
        <v>83</v>
      </c>
      <c r="T81" s="136" t="s">
        <v>83</v>
      </c>
      <c r="U81" s="136" t="s">
        <v>83</v>
      </c>
      <c r="V81" s="7"/>
      <c r="W81" s="7" t="s">
        <v>87</v>
      </c>
      <c r="X81" s="7">
        <v>0</v>
      </c>
      <c r="Y81" s="136" t="s">
        <v>83</v>
      </c>
      <c r="Z81" s="7">
        <v>0</v>
      </c>
      <c r="AA81" s="7">
        <v>0</v>
      </c>
      <c r="AB81" s="7">
        <v>0</v>
      </c>
      <c r="AC81" s="7">
        <v>1</v>
      </c>
      <c r="AD81" s="7">
        <v>1</v>
      </c>
      <c r="AE81" s="136" t="s">
        <v>83</v>
      </c>
      <c r="AF81" s="136" t="s">
        <v>83</v>
      </c>
      <c r="AG81" s="136" t="s">
        <v>83</v>
      </c>
      <c r="AH81" s="136" t="s">
        <v>83</v>
      </c>
      <c r="AI81" s="7">
        <v>1</v>
      </c>
      <c r="AJ81" s="7"/>
      <c r="AK81" s="7">
        <v>1</v>
      </c>
      <c r="AL81" s="7">
        <v>1</v>
      </c>
      <c r="AM81" s="136" t="s">
        <v>83</v>
      </c>
      <c r="AN81" s="7">
        <v>1</v>
      </c>
      <c r="AO81" s="7">
        <v>1</v>
      </c>
      <c r="AP81" s="7">
        <v>1</v>
      </c>
    </row>
    <row r="82" spans="1:42">
      <c r="A82" s="116"/>
      <c r="B82" s="7" t="str">
        <f>装备!B82</f>
        <v>IJ05</v>
      </c>
      <c r="C82" s="7" t="s">
        <v>41</v>
      </c>
      <c r="D82" s="7" t="s">
        <v>81</v>
      </c>
      <c r="E82" s="7" t="s">
        <v>82</v>
      </c>
      <c r="F82" s="7"/>
      <c r="G82" s="7"/>
      <c r="H82" s="7" t="str">
        <f>VLOOKUP(LEFT(RIGHT(B82,5),4),装备!B:CU,2,FALSE)</f>
        <v>|Cff00BFFF玄级道果|r</v>
      </c>
      <c r="I82" s="7" t="str">
        <f>VLOOKUP(B82,装备!B:CV,99,FALSE)</f>
        <v>|Cffbbbbbb属性：|r|n攻击+55000|n生命值+275000|n物理伤害+5%|n法术伤害+5%|n杀敌攻击+5|n杀敌业力+1|n杀敌生命+5|n</v>
      </c>
      <c r="J82" s="118" t="str">
        <f t="shared" si="18"/>
        <v>|Cff00BFFF玄级道果|r</v>
      </c>
      <c r="K82" s="118" t="str">
        <f t="shared" si="19"/>
        <v>|Cffbbbbbb属性：|r|n攻击+55000|n生命值+275000|n物理伤害+5%|n法术伤害+5%|n杀敌攻击+5|n杀敌业力+1|n杀敌生命+5|n</v>
      </c>
      <c r="L82" s="7"/>
      <c r="M82" s="119" t="str">
        <f>VLOOKUP(LEFT(RIGHT(B82,5),4),装备!B:CU,20,FALSE)</f>
        <v>ReplaceableTextures\\CommandButtons\\BTNUsedSoulGem.blp</v>
      </c>
      <c r="N82" s="136" t="s">
        <v>83</v>
      </c>
      <c r="O82" s="137" t="s">
        <v>84</v>
      </c>
      <c r="P82" s="7">
        <v>0</v>
      </c>
      <c r="Q82" s="7">
        <v>0</v>
      </c>
      <c r="R82" s="136" t="s">
        <v>83</v>
      </c>
      <c r="S82" s="136" t="s">
        <v>83</v>
      </c>
      <c r="T82" s="136" t="s">
        <v>83</v>
      </c>
      <c r="U82" s="136" t="s">
        <v>83</v>
      </c>
      <c r="V82" s="7"/>
      <c r="W82" s="7" t="s">
        <v>87</v>
      </c>
      <c r="X82" s="7">
        <v>0</v>
      </c>
      <c r="Y82" s="136" t="s">
        <v>83</v>
      </c>
      <c r="Z82" s="7">
        <v>0</v>
      </c>
      <c r="AA82" s="7">
        <v>0</v>
      </c>
      <c r="AB82" s="7">
        <v>0</v>
      </c>
      <c r="AC82" s="7">
        <v>1</v>
      </c>
      <c r="AD82" s="7">
        <v>1</v>
      </c>
      <c r="AE82" s="136" t="s">
        <v>83</v>
      </c>
      <c r="AF82" s="136" t="s">
        <v>83</v>
      </c>
      <c r="AG82" s="136" t="s">
        <v>83</v>
      </c>
      <c r="AH82" s="136" t="s">
        <v>83</v>
      </c>
      <c r="AI82" s="7">
        <v>1</v>
      </c>
      <c r="AJ82" s="7"/>
      <c r="AK82" s="7">
        <v>1</v>
      </c>
      <c r="AL82" s="7">
        <v>1</v>
      </c>
      <c r="AM82" s="136" t="s">
        <v>83</v>
      </c>
      <c r="AN82" s="7">
        <v>1</v>
      </c>
      <c r="AO82" s="7">
        <v>1</v>
      </c>
      <c r="AP82" s="7">
        <v>1</v>
      </c>
    </row>
    <row r="83" spans="1:42">
      <c r="A83" s="116"/>
      <c r="B83" s="7" t="str">
        <f>装备!B83</f>
        <v>IJ06</v>
      </c>
      <c r="C83" s="7" t="s">
        <v>41</v>
      </c>
      <c r="D83" s="7" t="s">
        <v>81</v>
      </c>
      <c r="E83" s="7" t="s">
        <v>82</v>
      </c>
      <c r="F83" s="7"/>
      <c r="G83" s="7"/>
      <c r="H83" s="7" t="str">
        <f>VLOOKUP(LEFT(RIGHT(B83,5),4),装备!B:CU,2,FALSE)</f>
        <v>|Cff00BFFF地级道果|r</v>
      </c>
      <c r="I83" s="7" t="str">
        <f>VLOOKUP(B83,装备!B:CV,99,FALSE)</f>
        <v>|Cffbbbbbb属性：|r|n攻击+80000|n生命值+400000|n物理伤害+5%|n法术伤害+5%|n杀敌攻击+5|n杀敌业力+1|n杀敌生命+5|n</v>
      </c>
      <c r="J83" s="118" t="str">
        <f t="shared" ref="J83:J87" si="20">H83</f>
        <v>|Cff00BFFF地级道果|r</v>
      </c>
      <c r="K83" s="118" t="str">
        <f t="shared" ref="K83:K87" si="21">I83</f>
        <v>|Cffbbbbbb属性：|r|n攻击+80000|n生命值+400000|n物理伤害+5%|n法术伤害+5%|n杀敌攻击+5|n杀敌业力+1|n杀敌生命+5|n</v>
      </c>
      <c r="L83" s="7"/>
      <c r="M83" s="119" t="str">
        <f>VLOOKUP(LEFT(RIGHT(B83,5),4),装备!B:CU,20,FALSE)</f>
        <v>ReplaceableTextures\\CommandButtons\\BTNOrbofSlowness.blp</v>
      </c>
      <c r="N83" s="136" t="s">
        <v>83</v>
      </c>
      <c r="O83" s="137" t="s">
        <v>84</v>
      </c>
      <c r="P83" s="7">
        <v>0</v>
      </c>
      <c r="Q83" s="7">
        <v>0</v>
      </c>
      <c r="R83" s="136" t="s">
        <v>83</v>
      </c>
      <c r="S83" s="136" t="s">
        <v>83</v>
      </c>
      <c r="T83" s="136" t="s">
        <v>83</v>
      </c>
      <c r="U83" s="136" t="s">
        <v>83</v>
      </c>
      <c r="V83" s="7"/>
      <c r="W83" s="7" t="s">
        <v>87</v>
      </c>
      <c r="X83" s="7">
        <v>0</v>
      </c>
      <c r="Y83" s="136" t="s">
        <v>83</v>
      </c>
      <c r="Z83" s="7">
        <v>0</v>
      </c>
      <c r="AA83" s="7">
        <v>0</v>
      </c>
      <c r="AB83" s="7">
        <v>0</v>
      </c>
      <c r="AC83" s="7">
        <v>1</v>
      </c>
      <c r="AD83" s="7">
        <v>1</v>
      </c>
      <c r="AE83" s="136" t="s">
        <v>83</v>
      </c>
      <c r="AF83" s="136" t="s">
        <v>83</v>
      </c>
      <c r="AG83" s="136" t="s">
        <v>83</v>
      </c>
      <c r="AH83" s="136" t="s">
        <v>83</v>
      </c>
      <c r="AI83" s="7">
        <v>1</v>
      </c>
      <c r="AJ83" s="7"/>
      <c r="AK83" s="7">
        <v>1</v>
      </c>
      <c r="AL83" s="7">
        <v>1</v>
      </c>
      <c r="AM83" s="136" t="s">
        <v>83</v>
      </c>
      <c r="AN83" s="7">
        <v>1</v>
      </c>
      <c r="AO83" s="7">
        <v>1</v>
      </c>
      <c r="AP83" s="7">
        <v>1</v>
      </c>
    </row>
    <row r="84" spans="1:42">
      <c r="A84" s="116"/>
      <c r="B84" s="7" t="str">
        <f>装备!B84</f>
        <v>IJ07</v>
      </c>
      <c r="C84" s="7" t="s">
        <v>41</v>
      </c>
      <c r="D84" s="7" t="s">
        <v>81</v>
      </c>
      <c r="E84" s="7" t="s">
        <v>82</v>
      </c>
      <c r="F84" s="7"/>
      <c r="G84" s="7"/>
      <c r="H84" s="7" t="str">
        <f>VLOOKUP(LEFT(RIGHT(B84,5),4),装备!B:CU,2,FALSE)</f>
        <v>|CffFFC926天级道果|r</v>
      </c>
      <c r="I84" s="7" t="str">
        <f>VLOOKUP(B84,装备!B:CV,99,FALSE)</f>
        <v>|Cffbbbbbb属性：|r|n攻击+120000|n生命值+600000|n物理伤害+5%|n法术伤害+5%|n杀敌攻击+5|n杀敌业力+1|n杀敌生命+5|n</v>
      </c>
      <c r="J84" s="118" t="str">
        <f t="shared" si="20"/>
        <v>|CffFFC926天级道果|r</v>
      </c>
      <c r="K84" s="118" t="str">
        <f t="shared" si="21"/>
        <v>|Cffbbbbbb属性：|r|n攻击+120000|n生命值+600000|n物理伤害+5%|n法术伤害+5%|n杀敌攻击+5|n杀敌业力+1|n杀敌生命+5|n</v>
      </c>
      <c r="L84" s="7"/>
      <c r="M84" s="119" t="str">
        <f>VLOOKUP(LEFT(RIGHT(B84,5),4),装备!B:CU,20,FALSE)</f>
        <v>ReplaceableTextures\\CommandButtons\\BTNOrbOfLightning.blp</v>
      </c>
      <c r="N84" s="136" t="s">
        <v>83</v>
      </c>
      <c r="O84" s="137" t="s">
        <v>84</v>
      </c>
      <c r="P84" s="7">
        <v>0</v>
      </c>
      <c r="Q84" s="7">
        <v>0</v>
      </c>
      <c r="R84" s="136" t="s">
        <v>83</v>
      </c>
      <c r="S84" s="136" t="s">
        <v>83</v>
      </c>
      <c r="T84" s="136" t="s">
        <v>83</v>
      </c>
      <c r="U84" s="136" t="s">
        <v>83</v>
      </c>
      <c r="V84" s="7"/>
      <c r="W84" s="7" t="s">
        <v>87</v>
      </c>
      <c r="X84" s="7">
        <v>0</v>
      </c>
      <c r="Y84" s="136" t="s">
        <v>83</v>
      </c>
      <c r="Z84" s="7">
        <v>0</v>
      </c>
      <c r="AA84" s="7">
        <v>0</v>
      </c>
      <c r="AB84" s="7">
        <v>0</v>
      </c>
      <c r="AC84" s="7">
        <v>1</v>
      </c>
      <c r="AD84" s="7">
        <v>1</v>
      </c>
      <c r="AE84" s="136" t="s">
        <v>83</v>
      </c>
      <c r="AF84" s="136" t="s">
        <v>83</v>
      </c>
      <c r="AG84" s="136" t="s">
        <v>83</v>
      </c>
      <c r="AH84" s="136" t="s">
        <v>83</v>
      </c>
      <c r="AI84" s="7">
        <v>1</v>
      </c>
      <c r="AJ84" s="7"/>
      <c r="AK84" s="7">
        <v>1</v>
      </c>
      <c r="AL84" s="7">
        <v>1</v>
      </c>
      <c r="AM84" s="136" t="s">
        <v>83</v>
      </c>
      <c r="AN84" s="7">
        <v>1</v>
      </c>
      <c r="AO84" s="7">
        <v>1</v>
      </c>
      <c r="AP84" s="7">
        <v>1</v>
      </c>
    </row>
    <row r="85" spans="1:42">
      <c r="A85" s="116"/>
      <c r="B85" s="7" t="str">
        <f>装备!B85</f>
        <v>IJ08</v>
      </c>
      <c r="C85" s="7" t="s">
        <v>41</v>
      </c>
      <c r="D85" s="7" t="s">
        <v>81</v>
      </c>
      <c r="E85" s="7" t="s">
        <v>82</v>
      </c>
      <c r="F85" s="7"/>
      <c r="G85" s="7"/>
      <c r="H85" s="7" t="str">
        <f>VLOOKUP(LEFT(RIGHT(B85,5),4),装备!B:CU,2,FALSE)</f>
        <v>|CffFFC926仙品道果|r</v>
      </c>
      <c r="I85" s="7" t="str">
        <f>VLOOKUP(B85,装备!B:CV,99,FALSE)</f>
        <v>|Cffbbbbbb属性：|r|n攻击+200000|n生命值+1000000|n物理伤害+5%|n法术伤害+5%|n杀敌攻击+5|n杀敌业力+1|n杀敌生命+5|n</v>
      </c>
      <c r="J85" s="118" t="str">
        <f t="shared" si="20"/>
        <v>|CffFFC926仙品道果|r</v>
      </c>
      <c r="K85" s="118" t="str">
        <f t="shared" si="21"/>
        <v>|Cffbbbbbb属性：|r|n攻击+200000|n生命值+1000000|n物理伤害+5%|n法术伤害+5%|n杀敌攻击+5|n杀敌业力+1|n杀敌生命+5|n</v>
      </c>
      <c r="L85" s="7"/>
      <c r="M85" s="119" t="str">
        <f>VLOOKUP(LEFT(RIGHT(B85,5),4),装备!B:CU,20,FALSE)</f>
        <v>ReplaceableTextures\\CommandButtons\\BTNHeartOfAszune.blp</v>
      </c>
      <c r="N85" s="136" t="s">
        <v>83</v>
      </c>
      <c r="O85" s="137" t="s">
        <v>84</v>
      </c>
      <c r="P85" s="7">
        <v>0</v>
      </c>
      <c r="Q85" s="7">
        <v>0</v>
      </c>
      <c r="R85" s="136" t="s">
        <v>83</v>
      </c>
      <c r="S85" s="136" t="s">
        <v>83</v>
      </c>
      <c r="T85" s="136" t="s">
        <v>83</v>
      </c>
      <c r="U85" s="136" t="s">
        <v>83</v>
      </c>
      <c r="V85" s="7"/>
      <c r="W85" s="7" t="s">
        <v>87</v>
      </c>
      <c r="X85" s="7">
        <v>0</v>
      </c>
      <c r="Y85" s="136" t="s">
        <v>83</v>
      </c>
      <c r="Z85" s="7">
        <v>0</v>
      </c>
      <c r="AA85" s="7">
        <v>0</v>
      </c>
      <c r="AB85" s="7">
        <v>0</v>
      </c>
      <c r="AC85" s="7">
        <v>1</v>
      </c>
      <c r="AD85" s="7">
        <v>1</v>
      </c>
      <c r="AE85" s="136" t="s">
        <v>83</v>
      </c>
      <c r="AF85" s="136" t="s">
        <v>83</v>
      </c>
      <c r="AG85" s="136" t="s">
        <v>83</v>
      </c>
      <c r="AH85" s="136" t="s">
        <v>83</v>
      </c>
      <c r="AI85" s="7">
        <v>1</v>
      </c>
      <c r="AJ85" s="7"/>
      <c r="AK85" s="7">
        <v>1</v>
      </c>
      <c r="AL85" s="7">
        <v>1</v>
      </c>
      <c r="AM85" s="136" t="s">
        <v>83</v>
      </c>
      <c r="AN85" s="7">
        <v>1</v>
      </c>
      <c r="AO85" s="7">
        <v>1</v>
      </c>
      <c r="AP85" s="7">
        <v>1</v>
      </c>
    </row>
    <row r="86" spans="1:42">
      <c r="A86" s="116"/>
      <c r="B86" s="7" t="str">
        <f>装备!B86</f>
        <v>IJ09</v>
      </c>
      <c r="C86" s="7" t="s">
        <v>41</v>
      </c>
      <c r="D86" s="7" t="s">
        <v>81</v>
      </c>
      <c r="E86" s="7" t="s">
        <v>82</v>
      </c>
      <c r="F86" s="7"/>
      <c r="G86" s="7"/>
      <c r="H86" s="7" t="str">
        <f>VLOOKUP(LEFT(RIGHT(B86,5),4),装备!B:CU,2,FALSE)</f>
        <v>|CffFF0000至圣道果|r</v>
      </c>
      <c r="I86" s="7" t="str">
        <f>VLOOKUP(B86,装备!B:CV,99,FALSE)</f>
        <v>|Cffbbbbbb属性：|r|n攻击+300000|n生命值+1500000|n物理伤害+5%|n法术伤害+5%|n杀敌攻击+5|n杀敌业力+1|n杀敌生命+5|n</v>
      </c>
      <c r="J86" s="118" t="str">
        <f t="shared" si="20"/>
        <v>|CffFF0000至圣道果|r</v>
      </c>
      <c r="K86" s="118" t="str">
        <f t="shared" si="21"/>
        <v>|Cffbbbbbb属性：|r|n攻击+300000|n生命值+1500000|n物理伤害+5%|n法术伤害+5%|n杀敌攻击+5|n杀敌业力+1|n杀敌生命+5|n</v>
      </c>
      <c r="L86" s="7"/>
      <c r="M86" s="119" t="str">
        <f>VLOOKUP(LEFT(RIGHT(B86,5),4),装备!B:CU,20,FALSE)</f>
        <v>ReplaceableTextures\\CommandButtons\\BTNPhilosophersStone.blp</v>
      </c>
      <c r="N86" s="136" t="s">
        <v>83</v>
      </c>
      <c r="O86" s="137" t="s">
        <v>84</v>
      </c>
      <c r="P86" s="7">
        <v>0</v>
      </c>
      <c r="Q86" s="7">
        <v>0</v>
      </c>
      <c r="R86" s="136" t="s">
        <v>83</v>
      </c>
      <c r="S86" s="136" t="s">
        <v>83</v>
      </c>
      <c r="T86" s="136" t="s">
        <v>83</v>
      </c>
      <c r="U86" s="136" t="s">
        <v>83</v>
      </c>
      <c r="V86" s="7"/>
      <c r="W86" s="7" t="s">
        <v>87</v>
      </c>
      <c r="X86" s="7">
        <v>0</v>
      </c>
      <c r="Y86" s="136" t="s">
        <v>83</v>
      </c>
      <c r="Z86" s="7">
        <v>0</v>
      </c>
      <c r="AA86" s="7">
        <v>0</v>
      </c>
      <c r="AB86" s="7">
        <v>0</v>
      </c>
      <c r="AC86" s="7">
        <v>1</v>
      </c>
      <c r="AD86" s="7">
        <v>1</v>
      </c>
      <c r="AE86" s="136" t="s">
        <v>83</v>
      </c>
      <c r="AF86" s="136" t="s">
        <v>83</v>
      </c>
      <c r="AG86" s="136" t="s">
        <v>83</v>
      </c>
      <c r="AH86" s="136" t="s">
        <v>83</v>
      </c>
      <c r="AI86" s="7">
        <v>1</v>
      </c>
      <c r="AJ86" s="7"/>
      <c r="AK86" s="7">
        <v>1</v>
      </c>
      <c r="AL86" s="7">
        <v>1</v>
      </c>
      <c r="AM86" s="136" t="s">
        <v>83</v>
      </c>
      <c r="AN86" s="7">
        <v>1</v>
      </c>
      <c r="AO86" s="7">
        <v>1</v>
      </c>
      <c r="AP86" s="7">
        <v>1</v>
      </c>
    </row>
    <row r="87" spans="1:42">
      <c r="A87" s="116"/>
      <c r="B87" s="7" t="str">
        <f>装备!B87</f>
        <v>IJ10</v>
      </c>
      <c r="C87" s="7" t="s">
        <v>41</v>
      </c>
      <c r="D87" s="7" t="s">
        <v>81</v>
      </c>
      <c r="E87" s="7" t="s">
        <v>82</v>
      </c>
      <c r="F87" s="7"/>
      <c r="G87" s="7"/>
      <c r="H87" s="7" t="str">
        <f>VLOOKUP(LEFT(RIGHT(B87,5),4),装备!B:CU,2,FALSE)</f>
        <v>|CffFF0000混沌道果|r</v>
      </c>
      <c r="I87" s="7" t="str">
        <f>VLOOKUP(B87,装备!B:CV,99,FALSE)</f>
        <v>|Cffbbbbbb属性：|r|n攻击+500000|n生命值+2500000|n物理伤害+5%|n法术伤害+5%|n杀敌攻击+5|n杀敌业力+1|n杀敌生命+5|n</v>
      </c>
      <c r="J87" s="118" t="str">
        <f t="shared" si="20"/>
        <v>|CffFF0000混沌道果|r</v>
      </c>
      <c r="K87" s="118" t="str">
        <f t="shared" si="21"/>
        <v>|Cffbbbbbb属性：|r|n攻击+500000|n生命值+2500000|n物理伤害+5%|n法术伤害+5%|n杀敌攻击+5|n杀敌业力+1|n杀敌生命+5|n</v>
      </c>
      <c r="L87" s="7"/>
      <c r="M87" s="119" t="str">
        <f>VLOOKUP(LEFT(RIGHT(B87,5),4),装备!B:CU,20,FALSE)</f>
        <v>ReplaceableTextures\\CommandButtons\\BTNOrbOfDarkness.blp</v>
      </c>
      <c r="N87" s="136" t="s">
        <v>83</v>
      </c>
      <c r="O87" s="137" t="s">
        <v>84</v>
      </c>
      <c r="P87" s="7">
        <v>0</v>
      </c>
      <c r="Q87" s="7">
        <v>0</v>
      </c>
      <c r="R87" s="136" t="s">
        <v>83</v>
      </c>
      <c r="S87" s="136" t="s">
        <v>83</v>
      </c>
      <c r="T87" s="136" t="s">
        <v>83</v>
      </c>
      <c r="U87" s="136" t="s">
        <v>83</v>
      </c>
      <c r="V87" s="7"/>
      <c r="W87" s="7" t="s">
        <v>87</v>
      </c>
      <c r="X87" s="7">
        <v>0</v>
      </c>
      <c r="Y87" s="136" t="s">
        <v>83</v>
      </c>
      <c r="Z87" s="7">
        <v>0</v>
      </c>
      <c r="AA87" s="7">
        <v>0</v>
      </c>
      <c r="AB87" s="7">
        <v>0</v>
      </c>
      <c r="AC87" s="7">
        <v>1</v>
      </c>
      <c r="AD87" s="7">
        <v>1</v>
      </c>
      <c r="AE87" s="136" t="s">
        <v>83</v>
      </c>
      <c r="AF87" s="136" t="s">
        <v>83</v>
      </c>
      <c r="AG87" s="136" t="s">
        <v>83</v>
      </c>
      <c r="AH87" s="136" t="s">
        <v>83</v>
      </c>
      <c r="AI87" s="7">
        <v>1</v>
      </c>
      <c r="AJ87" s="7"/>
      <c r="AK87" s="7">
        <v>1</v>
      </c>
      <c r="AL87" s="7">
        <v>1</v>
      </c>
      <c r="AM87" s="136" t="s">
        <v>83</v>
      </c>
      <c r="AN87" s="7">
        <v>1</v>
      </c>
      <c r="AO87" s="7">
        <v>1</v>
      </c>
      <c r="AP87" s="7">
        <v>1</v>
      </c>
    </row>
    <row r="88" spans="1:42">
      <c r="A88" s="116"/>
      <c r="B88" s="7" t="str">
        <f>装备!B88</f>
        <v>CS21</v>
      </c>
      <c r="C88" s="7" t="s">
        <v>41</v>
      </c>
      <c r="D88" s="7" t="s">
        <v>81</v>
      </c>
      <c r="E88" s="7" t="s">
        <v>82</v>
      </c>
      <c r="F88" s="7"/>
      <c r="G88" s="7"/>
      <c r="H88" s="7" t="str">
        <f>VLOOKUP(LEFT(RIGHT(B88,5),4),装备!B:CU,2,FALSE)</f>
        <v>升品质</v>
      </c>
      <c r="I88" s="7" t="str">
        <f>VLOOKUP(B88,装备!B:CV,99,FALSE)</f>
        <v>升品质</v>
      </c>
      <c r="J88" s="118" t="str">
        <f t="shared" ref="J88:J89" si="22">H88</f>
        <v>升品质</v>
      </c>
      <c r="K88" s="118" t="str">
        <f t="shared" ref="K88:K89" si="23">I88</f>
        <v>升品质</v>
      </c>
      <c r="L88" s="7"/>
      <c r="M88" s="119" t="str">
        <f>VLOOKUP(LEFT(RIGHT(B88,5),4),装备!B:CU,20,FALSE)</f>
        <v>ReplaceableTextures\\CommandButtons\\BTN008.blp</v>
      </c>
      <c r="N88" s="136" t="s">
        <v>83</v>
      </c>
      <c r="O88" s="119" t="s">
        <v>88</v>
      </c>
      <c r="P88" s="7">
        <v>0</v>
      </c>
      <c r="Q88" s="7">
        <v>0</v>
      </c>
      <c r="R88" s="136" t="s">
        <v>83</v>
      </c>
      <c r="S88" s="136" t="s">
        <v>83</v>
      </c>
      <c r="T88" s="136" t="s">
        <v>83</v>
      </c>
      <c r="U88" s="136" t="s">
        <v>83</v>
      </c>
      <c r="V88" s="7"/>
      <c r="W88" s="7" t="s">
        <v>89</v>
      </c>
      <c r="X88" s="7">
        <v>0</v>
      </c>
      <c r="Y88" s="136" t="s">
        <v>83</v>
      </c>
      <c r="Z88" s="7">
        <v>0</v>
      </c>
      <c r="AA88" s="7">
        <v>0</v>
      </c>
      <c r="AB88" s="7">
        <v>0</v>
      </c>
      <c r="AC88" s="7">
        <v>1</v>
      </c>
      <c r="AD88" s="7">
        <v>1</v>
      </c>
      <c r="AE88" s="136" t="s">
        <v>83</v>
      </c>
      <c r="AF88" s="136" t="s">
        <v>83</v>
      </c>
      <c r="AG88" s="136" t="s">
        <v>83</v>
      </c>
      <c r="AH88" s="136" t="s">
        <v>83</v>
      </c>
      <c r="AI88" s="7"/>
      <c r="AJ88" s="7"/>
      <c r="AK88" s="7">
        <v>1</v>
      </c>
      <c r="AL88" s="7">
        <v>1</v>
      </c>
      <c r="AM88" s="136" t="s">
        <v>83</v>
      </c>
      <c r="AN88" s="7">
        <v>1</v>
      </c>
      <c r="AO88" s="7">
        <v>1</v>
      </c>
      <c r="AP88" s="7">
        <v>1</v>
      </c>
    </row>
    <row r="89" spans="1:42">
      <c r="A89" s="116"/>
      <c r="B89" s="7" t="str">
        <f>装备!B89</f>
        <v>CS22</v>
      </c>
      <c r="C89" s="7" t="s">
        <v>41</v>
      </c>
      <c r="D89" s="7" t="s">
        <v>81</v>
      </c>
      <c r="E89" s="7" t="s">
        <v>82</v>
      </c>
      <c r="F89" s="7"/>
      <c r="G89" s="7"/>
      <c r="H89" s="7" t="str">
        <f>VLOOKUP(LEFT(RIGHT(B89,5),4),装备!B:CU,2,FALSE)</f>
        <v>升S品质</v>
      </c>
      <c r="I89" s="7" t="str">
        <f>VLOOKUP(B89,装备!B:CV,99,FALSE)</f>
        <v>升S品质</v>
      </c>
      <c r="J89" s="118" t="str">
        <f t="shared" si="22"/>
        <v>升S品质</v>
      </c>
      <c r="K89" s="118" t="str">
        <f t="shared" si="23"/>
        <v>升S品质</v>
      </c>
      <c r="L89" s="7"/>
      <c r="M89" s="119" t="str">
        <f>VLOOKUP(LEFT(RIGHT(B89,5),4),装备!B:CU,20,FALSE)</f>
        <v>ReplaceableTextures\\CommandButtons\\BTN012.blp</v>
      </c>
      <c r="N89" s="136" t="s">
        <v>83</v>
      </c>
      <c r="O89" s="119" t="s">
        <v>88</v>
      </c>
      <c r="P89" s="7">
        <v>0</v>
      </c>
      <c r="Q89" s="7">
        <v>0</v>
      </c>
      <c r="R89" s="136" t="s">
        <v>83</v>
      </c>
      <c r="S89" s="136" t="s">
        <v>83</v>
      </c>
      <c r="T89" s="136" t="s">
        <v>83</v>
      </c>
      <c r="U89" s="136" t="s">
        <v>83</v>
      </c>
      <c r="V89" s="7"/>
      <c r="W89" s="7" t="s">
        <v>89</v>
      </c>
      <c r="X89" s="7">
        <v>0</v>
      </c>
      <c r="Y89" s="136" t="s">
        <v>83</v>
      </c>
      <c r="Z89" s="7">
        <v>0</v>
      </c>
      <c r="AA89" s="7">
        <v>0</v>
      </c>
      <c r="AB89" s="7">
        <v>0</v>
      </c>
      <c r="AC89" s="7">
        <v>1</v>
      </c>
      <c r="AD89" s="7">
        <v>1</v>
      </c>
      <c r="AE89" s="136" t="s">
        <v>83</v>
      </c>
      <c r="AF89" s="136" t="s">
        <v>83</v>
      </c>
      <c r="AG89" s="136" t="s">
        <v>83</v>
      </c>
      <c r="AH89" s="136" t="s">
        <v>83</v>
      </c>
      <c r="AI89" s="7"/>
      <c r="AJ89" s="7"/>
      <c r="AK89" s="7">
        <v>0</v>
      </c>
      <c r="AL89" s="7">
        <v>1</v>
      </c>
      <c r="AM89" s="136" t="s">
        <v>83</v>
      </c>
      <c r="AN89" s="7">
        <v>1</v>
      </c>
      <c r="AO89" s="7">
        <v>1</v>
      </c>
      <c r="AP89" s="7">
        <v>1</v>
      </c>
    </row>
    <row r="90" spans="1:42">
      <c r="A90" s="116"/>
      <c r="B90" s="7" t="str">
        <f>装备!B90</f>
        <v>CS23</v>
      </c>
      <c r="C90" s="7" t="s">
        <v>41</v>
      </c>
      <c r="D90" s="7" t="s">
        <v>81</v>
      </c>
      <c r="E90" s="7" t="s">
        <v>82</v>
      </c>
      <c r="F90" s="7"/>
      <c r="G90" s="7"/>
      <c r="H90" s="7" t="str">
        <f>VLOOKUP(LEFT(RIGHT(B90,5),4),装备!B:CU,2,FALSE)</f>
        <v>劣质升品质</v>
      </c>
      <c r="I90" s="7" t="str">
        <f>VLOOKUP(B90,装备!B:CV,99,FALSE)</f>
        <v>劣质升品质</v>
      </c>
      <c r="J90" s="118" t="str">
        <f t="shared" ref="J90" si="24">H90</f>
        <v>劣质升品质</v>
      </c>
      <c r="K90" s="118" t="str">
        <f t="shared" ref="K90" si="25">I90</f>
        <v>劣质升品质</v>
      </c>
      <c r="L90" s="7"/>
      <c r="M90" s="119" t="str">
        <f>VLOOKUP(LEFT(RIGHT(B90,5),4),装备!B:CU,20,FALSE)</f>
        <v>ReplaceableTextures\\CommandButtons\\BTN008.blp</v>
      </c>
      <c r="N90" s="136" t="s">
        <v>83</v>
      </c>
      <c r="O90" s="119" t="s">
        <v>88</v>
      </c>
      <c r="P90" s="7">
        <v>0</v>
      </c>
      <c r="Q90" s="7">
        <v>0</v>
      </c>
      <c r="R90" s="136" t="s">
        <v>83</v>
      </c>
      <c r="S90" s="136" t="s">
        <v>83</v>
      </c>
      <c r="T90" s="136" t="s">
        <v>83</v>
      </c>
      <c r="U90" s="136" t="s">
        <v>83</v>
      </c>
      <c r="V90" s="7"/>
      <c r="W90" s="7" t="s">
        <v>89</v>
      </c>
      <c r="X90" s="7">
        <v>0</v>
      </c>
      <c r="Y90" s="136" t="s">
        <v>83</v>
      </c>
      <c r="Z90" s="7">
        <v>0</v>
      </c>
      <c r="AA90" s="7">
        <v>0</v>
      </c>
      <c r="AB90" s="7">
        <v>0</v>
      </c>
      <c r="AC90" s="7">
        <v>1</v>
      </c>
      <c r="AD90" s="7">
        <v>1</v>
      </c>
      <c r="AE90" s="136" t="s">
        <v>83</v>
      </c>
      <c r="AF90" s="136" t="s">
        <v>83</v>
      </c>
      <c r="AG90" s="136" t="s">
        <v>83</v>
      </c>
      <c r="AH90" s="136" t="s">
        <v>83</v>
      </c>
      <c r="AI90" s="7"/>
      <c r="AJ90" s="7"/>
      <c r="AK90" s="7">
        <v>0</v>
      </c>
      <c r="AL90" s="7">
        <v>1</v>
      </c>
      <c r="AM90" s="136" t="s">
        <v>83</v>
      </c>
      <c r="AN90" s="7">
        <v>1</v>
      </c>
      <c r="AO90" s="7">
        <v>1</v>
      </c>
      <c r="AP90" s="7">
        <v>1</v>
      </c>
    </row>
    <row r="91" spans="1:42">
      <c r="A91" s="116"/>
      <c r="B91" s="7" t="str">
        <f>装备!B91</f>
        <v>CS24</v>
      </c>
      <c r="C91" s="7" t="s">
        <v>41</v>
      </c>
      <c r="D91" s="7" t="s">
        <v>81</v>
      </c>
      <c r="E91" s="7" t="s">
        <v>82</v>
      </c>
      <c r="F91" s="7"/>
      <c r="G91" s="7"/>
      <c r="H91" s="7" t="str">
        <f>VLOOKUP(LEFT(RIGHT(B91,5),4),装备!B:CU,2,FALSE)</f>
        <v>劣质升S品质</v>
      </c>
      <c r="I91" s="7" t="str">
        <f>VLOOKUP(B91,装备!B:CV,99,FALSE)</f>
        <v>劣质升S品质</v>
      </c>
      <c r="J91" s="118" t="str">
        <f t="shared" ref="J91" si="26">H91</f>
        <v>劣质升S品质</v>
      </c>
      <c r="K91" s="118" t="str">
        <f t="shared" ref="K91" si="27">I91</f>
        <v>劣质升S品质</v>
      </c>
      <c r="L91" s="7"/>
      <c r="M91" s="119" t="str">
        <f>VLOOKUP(LEFT(RIGHT(B91,5),4),装备!B:CU,20,FALSE)</f>
        <v>ReplaceableTextures\\CommandButtons\\BTN008.blp</v>
      </c>
      <c r="N91" s="136" t="s">
        <v>83</v>
      </c>
      <c r="O91" s="119" t="s">
        <v>88</v>
      </c>
      <c r="P91" s="7">
        <v>0</v>
      </c>
      <c r="Q91" s="7">
        <v>0</v>
      </c>
      <c r="R91" s="136" t="s">
        <v>83</v>
      </c>
      <c r="S91" s="136" t="s">
        <v>83</v>
      </c>
      <c r="T91" s="136" t="s">
        <v>83</v>
      </c>
      <c r="U91" s="136" t="s">
        <v>83</v>
      </c>
      <c r="V91" s="7"/>
      <c r="W91" s="7" t="s">
        <v>89</v>
      </c>
      <c r="X91" s="7">
        <v>0</v>
      </c>
      <c r="Y91" s="136" t="s">
        <v>83</v>
      </c>
      <c r="Z91" s="7">
        <v>0</v>
      </c>
      <c r="AA91" s="7">
        <v>0</v>
      </c>
      <c r="AB91" s="7">
        <v>0</v>
      </c>
      <c r="AC91" s="7">
        <v>1</v>
      </c>
      <c r="AD91" s="7">
        <v>1</v>
      </c>
      <c r="AE91" s="136" t="s">
        <v>83</v>
      </c>
      <c r="AF91" s="136" t="s">
        <v>83</v>
      </c>
      <c r="AG91" s="136" t="s">
        <v>83</v>
      </c>
      <c r="AH91" s="136" t="s">
        <v>83</v>
      </c>
      <c r="AI91" s="7"/>
      <c r="AJ91" s="7"/>
      <c r="AK91" s="7">
        <v>0</v>
      </c>
      <c r="AL91" s="7">
        <v>1</v>
      </c>
      <c r="AM91" s="136" t="s">
        <v>83</v>
      </c>
      <c r="AN91" s="7">
        <v>1</v>
      </c>
      <c r="AO91" s="7">
        <v>1</v>
      </c>
      <c r="AP91" s="7">
        <v>1</v>
      </c>
    </row>
    <row r="92" ht="15" customHeight="1" spans="1:42">
      <c r="A92" s="116"/>
      <c r="B92" s="7" t="str">
        <f>装备!B92</f>
        <v>CF01</v>
      </c>
      <c r="C92" s="7" t="s">
        <v>41</v>
      </c>
      <c r="D92" s="7" t="s">
        <v>81</v>
      </c>
      <c r="E92" s="7"/>
      <c r="F92" s="7"/>
      <c r="G92" s="7"/>
      <c r="H92" s="7" t="str">
        <f>VLOOKUP(LEFT(RIGHT(B92,5),4),装备!B:CU,2,FALSE)</f>
        <v>随机法宝</v>
      </c>
      <c r="I92" s="7" t="str">
        <f>VLOOKUP(B92,装备!B:CV,99,FALSE)</f>
        <v>获得一个随机品质的法宝。|n|n|Cff00ff7f副本难度影响法宝品质稀有度。|r</v>
      </c>
      <c r="J92" s="118" t="str">
        <f t="shared" ref="J92" si="28">H92</f>
        <v>随机法宝</v>
      </c>
      <c r="K92" s="118" t="str">
        <f t="shared" ref="K92" si="29">I92</f>
        <v>获得一个随机品质的法宝。|n|n|Cff00ff7f副本难度影响法宝品质稀有度。|r</v>
      </c>
      <c r="L92" s="7"/>
      <c r="M92" s="119" t="str">
        <f>VLOOKUP(LEFT(RIGHT(B92,5),4),装备!B:CU,20,FALSE)</f>
        <v>ReplaceableTextures\\CommandButtons\\BTNCF01.blp</v>
      </c>
      <c r="N92" s="136" t="s">
        <v>83</v>
      </c>
      <c r="O92" s="119" t="s">
        <v>90</v>
      </c>
      <c r="P92" s="7">
        <v>0</v>
      </c>
      <c r="Q92" s="7">
        <v>0</v>
      </c>
      <c r="R92" s="136" t="s">
        <v>83</v>
      </c>
      <c r="S92" s="136" t="s">
        <v>83</v>
      </c>
      <c r="T92" s="136" t="s">
        <v>83</v>
      </c>
      <c r="U92" s="136" t="s">
        <v>83</v>
      </c>
      <c r="V92" s="7"/>
      <c r="W92" s="7" t="s">
        <v>87</v>
      </c>
      <c r="X92" s="7">
        <v>0</v>
      </c>
      <c r="Y92" s="136" t="s">
        <v>83</v>
      </c>
      <c r="Z92" s="7">
        <v>0</v>
      </c>
      <c r="AA92" s="7">
        <v>0</v>
      </c>
      <c r="AB92" s="7">
        <v>0</v>
      </c>
      <c r="AC92" s="7">
        <v>1</v>
      </c>
      <c r="AD92" s="7">
        <v>1</v>
      </c>
      <c r="AE92" s="136" t="s">
        <v>83</v>
      </c>
      <c r="AF92" s="136" t="s">
        <v>83</v>
      </c>
      <c r="AG92" s="136" t="s">
        <v>83</v>
      </c>
      <c r="AH92" s="136" t="s">
        <v>83</v>
      </c>
      <c r="AI92" s="7">
        <v>1</v>
      </c>
      <c r="AJ92" s="7"/>
      <c r="AK92" s="7">
        <v>1</v>
      </c>
      <c r="AL92" s="7">
        <v>1</v>
      </c>
      <c r="AM92" s="136" t="s">
        <v>83</v>
      </c>
      <c r="AN92" s="7">
        <v>1</v>
      </c>
      <c r="AO92" s="7">
        <v>1</v>
      </c>
      <c r="AP92" s="7">
        <v>1</v>
      </c>
    </row>
    <row r="93" spans="1:42">
      <c r="A93" s="116"/>
      <c r="B93" s="7" t="str">
        <f>装备!B93</f>
        <v>I001</v>
      </c>
      <c r="C93" s="7" t="s">
        <v>41</v>
      </c>
      <c r="D93" s="7" t="s">
        <v>81</v>
      </c>
      <c r="E93" s="7" t="s">
        <v>82</v>
      </c>
      <c r="F93" s="7"/>
      <c r="G93" s="7"/>
      <c r="H93" s="7" t="str">
        <f>VLOOKUP(LEFT(RIGHT(B93,5),4),装备!B:CU,2,FALSE)</f>
        <v>蛋黄月饼</v>
      </c>
      <c r="I93" s="7" t="str">
        <f>VLOOKUP(B93,装备!B:CV,99,FALSE)</f>
        <v>回复|Cffffd24d80%|r生命，|Cff00ff7f解除|r异常状态</v>
      </c>
      <c r="J93" s="118" t="str">
        <f t="shared" ref="J93:J96" si="30">H93</f>
        <v>蛋黄月饼</v>
      </c>
      <c r="K93" s="118" t="str">
        <f t="shared" ref="K93:K96" si="31">I93</f>
        <v>回复|Cffffd24d80%|r生命，|Cff00ff7f解除|r异常状态</v>
      </c>
      <c r="L93" s="7"/>
      <c r="M93" s="119" t="str">
        <f>VLOOKUP(LEFT(RIGHT(B93,5),4),装备!B:CU,20,FALSE)</f>
        <v>ReplaceableTextures\\CommandButtons\\BTNI001.blp</v>
      </c>
      <c r="N93" s="136" t="s">
        <v>83</v>
      </c>
      <c r="O93" s="119" t="s">
        <v>88</v>
      </c>
      <c r="P93" s="7">
        <v>0</v>
      </c>
      <c r="Q93" s="7">
        <v>0</v>
      </c>
      <c r="R93" s="136" t="s">
        <v>83</v>
      </c>
      <c r="S93" s="136" t="s">
        <v>83</v>
      </c>
      <c r="T93" s="136" t="s">
        <v>83</v>
      </c>
      <c r="U93" s="136" t="s">
        <v>83</v>
      </c>
      <c r="V93" s="7"/>
      <c r="W93" s="7" t="s">
        <v>89</v>
      </c>
      <c r="X93" s="7">
        <v>0</v>
      </c>
      <c r="Y93" s="136" t="s">
        <v>83</v>
      </c>
      <c r="Z93" s="7">
        <v>0</v>
      </c>
      <c r="AA93" s="7">
        <v>0</v>
      </c>
      <c r="AB93" s="7">
        <v>0</v>
      </c>
      <c r="AC93" s="7">
        <v>1</v>
      </c>
      <c r="AD93" s="7">
        <v>1</v>
      </c>
      <c r="AE93" s="136" t="s">
        <v>83</v>
      </c>
      <c r="AF93" s="136" t="s">
        <v>83</v>
      </c>
      <c r="AG93" s="136" t="s">
        <v>83</v>
      </c>
      <c r="AH93" s="136" t="s">
        <v>83</v>
      </c>
      <c r="AI93" s="7"/>
      <c r="AJ93" s="7"/>
      <c r="AK93" s="7">
        <v>1</v>
      </c>
      <c r="AL93" s="7">
        <v>1</v>
      </c>
      <c r="AM93" s="136" t="s">
        <v>83</v>
      </c>
      <c r="AN93" s="7">
        <v>1</v>
      </c>
      <c r="AO93" s="7">
        <v>1</v>
      </c>
      <c r="AP93" s="7">
        <v>1</v>
      </c>
    </row>
    <row r="94" spans="1:42">
      <c r="A94" s="116"/>
      <c r="B94" s="7" t="str">
        <f>装备!B94</f>
        <v>I002</v>
      </c>
      <c r="C94" s="7" t="s">
        <v>41</v>
      </c>
      <c r="D94" s="7" t="s">
        <v>81</v>
      </c>
      <c r="E94" s="7" t="s">
        <v>82</v>
      </c>
      <c r="F94" s="7"/>
      <c r="G94" s="7"/>
      <c r="H94" s="7" t="str">
        <f>VLOOKUP(LEFT(RIGHT(B94,5),4),装备!B:CU,2,FALSE)</f>
        <v>豆沙月饼</v>
      </c>
      <c r="I94" s="7" t="str">
        <f>VLOOKUP(B94,装备!B:CV,99,FALSE)</f>
        <v>回复|Cff00bfff70%|r蓝量</v>
      </c>
      <c r="J94" s="118" t="str">
        <f t="shared" si="30"/>
        <v>豆沙月饼</v>
      </c>
      <c r="K94" s="118" t="str">
        <f t="shared" si="31"/>
        <v>回复|Cff00bfff70%|r蓝量</v>
      </c>
      <c r="L94" s="7"/>
      <c r="M94" s="119" t="str">
        <f>VLOOKUP(LEFT(RIGHT(B94,5),4),装备!B:CU,20,FALSE)</f>
        <v>ReplaceableTextures\\CommandButtons\\BTNI002.blp</v>
      </c>
      <c r="N94" s="136" t="s">
        <v>83</v>
      </c>
      <c r="O94" s="119" t="s">
        <v>88</v>
      </c>
      <c r="P94" s="7">
        <v>0</v>
      </c>
      <c r="Q94" s="7">
        <v>0</v>
      </c>
      <c r="R94" s="136" t="s">
        <v>83</v>
      </c>
      <c r="S94" s="136" t="s">
        <v>83</v>
      </c>
      <c r="T94" s="136" t="s">
        <v>83</v>
      </c>
      <c r="U94" s="136" t="s">
        <v>83</v>
      </c>
      <c r="V94" s="7"/>
      <c r="W94" s="7" t="s">
        <v>89</v>
      </c>
      <c r="X94" s="7">
        <v>0</v>
      </c>
      <c r="Y94" s="136" t="s">
        <v>83</v>
      </c>
      <c r="Z94" s="7">
        <v>0</v>
      </c>
      <c r="AA94" s="7">
        <v>0</v>
      </c>
      <c r="AB94" s="7">
        <v>0</v>
      </c>
      <c r="AC94" s="7">
        <v>1</v>
      </c>
      <c r="AD94" s="7">
        <v>1</v>
      </c>
      <c r="AE94" s="136" t="s">
        <v>83</v>
      </c>
      <c r="AF94" s="136" t="s">
        <v>83</v>
      </c>
      <c r="AG94" s="136" t="s">
        <v>83</v>
      </c>
      <c r="AH94" s="136" t="s">
        <v>83</v>
      </c>
      <c r="AI94" s="7"/>
      <c r="AJ94" s="7"/>
      <c r="AK94" s="7">
        <v>1</v>
      </c>
      <c r="AL94" s="7">
        <v>1</v>
      </c>
      <c r="AM94" s="136" t="s">
        <v>83</v>
      </c>
      <c r="AN94" s="7">
        <v>1</v>
      </c>
      <c r="AO94" s="7">
        <v>1</v>
      </c>
      <c r="AP94" s="7">
        <v>1</v>
      </c>
    </row>
    <row r="95" spans="1:42">
      <c r="A95" s="116"/>
      <c r="B95" s="7" t="str">
        <f>装备!B95</f>
        <v>I003</v>
      </c>
      <c r="C95" s="7" t="s">
        <v>41</v>
      </c>
      <c r="D95" s="7" t="s">
        <v>81</v>
      </c>
      <c r="E95" s="7" t="s">
        <v>82</v>
      </c>
      <c r="F95" s="7"/>
      <c r="G95" s="7"/>
      <c r="H95" s="7" t="str">
        <f>VLOOKUP(LEFT(RIGHT(B95,5),4),装备!B:CU,2,FALSE)</f>
        <v>冰皮月饼</v>
      </c>
      <c r="I95" s="7" t="str">
        <f>VLOOKUP(B95,装备!B:CV,99,FALSE)</f>
        <v>攻击速度|Cffff8000+60%|r，持续15秒。</v>
      </c>
      <c r="J95" s="118" t="str">
        <f t="shared" si="30"/>
        <v>冰皮月饼</v>
      </c>
      <c r="K95" s="118" t="str">
        <f t="shared" si="31"/>
        <v>攻击速度|Cffff8000+60%|r，持续15秒。</v>
      </c>
      <c r="L95" s="7"/>
      <c r="M95" s="119" t="str">
        <f>VLOOKUP(LEFT(RIGHT(B95,5),4),装备!B:CU,20,FALSE)</f>
        <v>ReplaceableTextures\\CommandButtons\\BTNI003.blp</v>
      </c>
      <c r="N95" s="136" t="s">
        <v>83</v>
      </c>
      <c r="O95" s="119" t="s">
        <v>88</v>
      </c>
      <c r="P95" s="7">
        <v>0</v>
      </c>
      <c r="Q95" s="7">
        <v>0</v>
      </c>
      <c r="R95" s="136" t="s">
        <v>83</v>
      </c>
      <c r="S95" s="136" t="s">
        <v>83</v>
      </c>
      <c r="T95" s="136" t="s">
        <v>83</v>
      </c>
      <c r="U95" s="136" t="s">
        <v>83</v>
      </c>
      <c r="V95" s="7"/>
      <c r="W95" s="7" t="s">
        <v>89</v>
      </c>
      <c r="X95" s="7">
        <v>0</v>
      </c>
      <c r="Y95" s="136" t="s">
        <v>83</v>
      </c>
      <c r="Z95" s="7">
        <v>0</v>
      </c>
      <c r="AA95" s="7">
        <v>0</v>
      </c>
      <c r="AB95" s="7">
        <v>0</v>
      </c>
      <c r="AC95" s="7">
        <v>1</v>
      </c>
      <c r="AD95" s="7">
        <v>1</v>
      </c>
      <c r="AE95" s="136" t="s">
        <v>83</v>
      </c>
      <c r="AF95" s="136" t="s">
        <v>83</v>
      </c>
      <c r="AG95" s="136" t="s">
        <v>83</v>
      </c>
      <c r="AH95" s="136" t="s">
        <v>83</v>
      </c>
      <c r="AI95" s="7"/>
      <c r="AJ95" s="7"/>
      <c r="AK95" s="7">
        <v>1</v>
      </c>
      <c r="AL95" s="7">
        <v>1</v>
      </c>
      <c r="AM95" s="136" t="s">
        <v>83</v>
      </c>
      <c r="AN95" s="7">
        <v>1</v>
      </c>
      <c r="AO95" s="7">
        <v>1</v>
      </c>
      <c r="AP95" s="7">
        <v>1</v>
      </c>
    </row>
    <row r="96" spans="1:42">
      <c r="A96" s="116"/>
      <c r="B96" s="7" t="str">
        <f>装备!B96</f>
        <v>I004</v>
      </c>
      <c r="C96" s="7" t="s">
        <v>41</v>
      </c>
      <c r="D96" s="7" t="s">
        <v>81</v>
      </c>
      <c r="E96" s="7" t="s">
        <v>82</v>
      </c>
      <c r="F96" s="7"/>
      <c r="G96" s="7"/>
      <c r="H96" s="7" t="str">
        <f>VLOOKUP(LEFT(RIGHT(B96,5),4),装备!B:CU,2,FALSE)</f>
        <v>果蔬月饼</v>
      </c>
      <c r="I96" s="7" t="str">
        <f>VLOOKUP(B96,装备!B:CV,99,FALSE)</f>
        <v>法术伤害提高|Cff00bfff40%|r，持续15秒。</v>
      </c>
      <c r="J96" s="118" t="str">
        <f t="shared" si="30"/>
        <v>果蔬月饼</v>
      </c>
      <c r="K96" s="118" t="str">
        <f t="shared" si="31"/>
        <v>法术伤害提高|Cff00bfff40%|r，持续15秒。</v>
      </c>
      <c r="L96" s="7"/>
      <c r="M96" s="119" t="str">
        <f>VLOOKUP(LEFT(RIGHT(B96,5),4),装备!B:CU,20,FALSE)</f>
        <v>ReplaceableTextures\\CommandButtons\\BTNI004.blp</v>
      </c>
      <c r="N96" s="136" t="s">
        <v>83</v>
      </c>
      <c r="O96" s="119" t="s">
        <v>88</v>
      </c>
      <c r="P96" s="7">
        <v>0</v>
      </c>
      <c r="Q96" s="7">
        <v>0</v>
      </c>
      <c r="R96" s="136" t="s">
        <v>83</v>
      </c>
      <c r="S96" s="136" t="s">
        <v>83</v>
      </c>
      <c r="T96" s="136" t="s">
        <v>83</v>
      </c>
      <c r="U96" s="136" t="s">
        <v>83</v>
      </c>
      <c r="V96" s="7"/>
      <c r="W96" s="7" t="s">
        <v>89</v>
      </c>
      <c r="X96" s="7">
        <v>0</v>
      </c>
      <c r="Y96" s="136" t="s">
        <v>83</v>
      </c>
      <c r="Z96" s="7">
        <v>0</v>
      </c>
      <c r="AA96" s="7">
        <v>0</v>
      </c>
      <c r="AB96" s="7">
        <v>0</v>
      </c>
      <c r="AC96" s="7">
        <v>1</v>
      </c>
      <c r="AD96" s="7">
        <v>1</v>
      </c>
      <c r="AE96" s="136" t="s">
        <v>83</v>
      </c>
      <c r="AF96" s="136" t="s">
        <v>83</v>
      </c>
      <c r="AG96" s="136" t="s">
        <v>83</v>
      </c>
      <c r="AH96" s="136" t="s">
        <v>83</v>
      </c>
      <c r="AI96" s="7"/>
      <c r="AJ96" s="7"/>
      <c r="AK96" s="7">
        <v>1</v>
      </c>
      <c r="AL96" s="7">
        <v>1</v>
      </c>
      <c r="AM96" s="136" t="s">
        <v>83</v>
      </c>
      <c r="AN96" s="7">
        <v>1</v>
      </c>
      <c r="AO96" s="7">
        <v>1</v>
      </c>
      <c r="AP96" s="7">
        <v>1</v>
      </c>
    </row>
    <row r="97" spans="1:42">
      <c r="A97" s="116"/>
      <c r="B97" s="7" t="str">
        <f>装备!B97</f>
        <v>I005</v>
      </c>
      <c r="C97" s="7" t="s">
        <v>41</v>
      </c>
      <c r="D97" s="7" t="s">
        <v>81</v>
      </c>
      <c r="E97" s="7" t="s">
        <v>82</v>
      </c>
      <c r="F97" s="7"/>
      <c r="G97" s="7"/>
      <c r="H97" s="7" t="str">
        <f>VLOOKUP(LEFT(RIGHT(B97,5),4),装备!B:CU,2,FALSE)</f>
        <v>鲜肉月饼</v>
      </c>
      <c r="I97" s="7" t="str">
        <f>VLOOKUP(B97,装备!B:CV,99,FALSE)</f>
        <v>物理伤害提高|Cffff800040%|r，持续15秒。</v>
      </c>
      <c r="J97" s="118" t="str">
        <f t="shared" ref="J97:J98" si="32">H97</f>
        <v>鲜肉月饼</v>
      </c>
      <c r="K97" s="118" t="str">
        <f t="shared" ref="K97:K98" si="33">I97</f>
        <v>物理伤害提高|Cffff800040%|r，持续15秒。</v>
      </c>
      <c r="L97" s="7"/>
      <c r="M97" s="119" t="str">
        <f>VLOOKUP(LEFT(RIGHT(B97,5),4),装备!B:CU,20,FALSE)</f>
        <v>ReplaceableTextures\\CommandButtons\\BTNI005.blp</v>
      </c>
      <c r="N97" s="136" t="s">
        <v>83</v>
      </c>
      <c r="O97" s="119" t="s">
        <v>88</v>
      </c>
      <c r="P97" s="7">
        <v>0</v>
      </c>
      <c r="Q97" s="7">
        <v>0</v>
      </c>
      <c r="R97" s="136" t="s">
        <v>83</v>
      </c>
      <c r="S97" s="136" t="s">
        <v>83</v>
      </c>
      <c r="T97" s="136" t="s">
        <v>83</v>
      </c>
      <c r="U97" s="136" t="s">
        <v>83</v>
      </c>
      <c r="V97" s="7"/>
      <c r="W97" s="7" t="s">
        <v>89</v>
      </c>
      <c r="X97" s="7">
        <v>0</v>
      </c>
      <c r="Y97" s="136" t="s">
        <v>83</v>
      </c>
      <c r="Z97" s="7">
        <v>0</v>
      </c>
      <c r="AA97" s="7">
        <v>0</v>
      </c>
      <c r="AB97" s="7">
        <v>0</v>
      </c>
      <c r="AC97" s="7">
        <v>1</v>
      </c>
      <c r="AD97" s="7">
        <v>1</v>
      </c>
      <c r="AE97" s="136" t="s">
        <v>83</v>
      </c>
      <c r="AF97" s="136" t="s">
        <v>83</v>
      </c>
      <c r="AG97" s="136" t="s">
        <v>83</v>
      </c>
      <c r="AH97" s="136" t="s">
        <v>83</v>
      </c>
      <c r="AI97" s="7"/>
      <c r="AJ97" s="7"/>
      <c r="AK97" s="7">
        <v>1</v>
      </c>
      <c r="AL97" s="7">
        <v>1</v>
      </c>
      <c r="AM97" s="136" t="s">
        <v>83</v>
      </c>
      <c r="AN97" s="7">
        <v>1</v>
      </c>
      <c r="AO97" s="7">
        <v>1</v>
      </c>
      <c r="AP97" s="7">
        <v>1</v>
      </c>
    </row>
    <row r="98" spans="1:42">
      <c r="A98" s="116"/>
      <c r="B98" s="7" t="str">
        <f>装备!B98</f>
        <v>I011</v>
      </c>
      <c r="C98" s="7" t="s">
        <v>41</v>
      </c>
      <c r="D98" s="7" t="s">
        <v>81</v>
      </c>
      <c r="E98" s="7"/>
      <c r="F98" s="7"/>
      <c r="G98" s="7"/>
      <c r="H98" s="7" t="str">
        <f>VLOOKUP(LEFT(RIGHT(B98,5),4),装备!B:CU,2,FALSE)</f>
        <v>聚宝盆lv1</v>
      </c>
      <c r="I98" s="7" t="str">
        <f>VLOOKUP(B98,装备!B:CV,99,FALSE)</f>
        <v>击杀|Cffffd24d600|r只怪物后可获得：|n|n|Cffffd24d金币：|r|n5556|n|n|Cffffd24d攻击和法强：|r|n598~998</v>
      </c>
      <c r="J98" s="118" t="str">
        <f t="shared" si="32"/>
        <v>聚宝盆lv1</v>
      </c>
      <c r="K98" s="118" t="str">
        <f t="shared" si="33"/>
        <v>击杀|Cffffd24d600|r只怪物后可获得：|n|n|Cffffd24d金币：|r|n5556|n|n|Cffffd24d攻击和法强：|r|n598~998</v>
      </c>
      <c r="L98" s="7"/>
      <c r="M98" s="119" t="str">
        <f>VLOOKUP(LEFT(RIGHT(B98,5),4),装备!B:CU,20,FALSE)</f>
        <v>ReplaceableTextures\\CommandButtons\\BTNI011.blp</v>
      </c>
      <c r="N98" s="136" t="s">
        <v>83</v>
      </c>
      <c r="O98" s="119" t="s">
        <v>88</v>
      </c>
      <c r="P98" s="7">
        <v>0</v>
      </c>
      <c r="Q98" s="7">
        <v>0</v>
      </c>
      <c r="R98" s="136" t="s">
        <v>83</v>
      </c>
      <c r="S98" s="136" t="s">
        <v>83</v>
      </c>
      <c r="T98" s="136" t="s">
        <v>83</v>
      </c>
      <c r="U98" s="136" t="s">
        <v>83</v>
      </c>
      <c r="V98" s="7"/>
      <c r="W98" s="7" t="s">
        <v>91</v>
      </c>
      <c r="X98" s="7">
        <v>0</v>
      </c>
      <c r="Y98" s="136" t="s">
        <v>83</v>
      </c>
      <c r="Z98" s="7">
        <v>0</v>
      </c>
      <c r="AA98" s="7">
        <v>0</v>
      </c>
      <c r="AB98" s="7">
        <v>0</v>
      </c>
      <c r="AC98" s="7">
        <v>1</v>
      </c>
      <c r="AD98" s="7">
        <v>1</v>
      </c>
      <c r="AE98" s="136" t="s">
        <v>83</v>
      </c>
      <c r="AF98" s="136" t="s">
        <v>83</v>
      </c>
      <c r="AG98" s="136" t="s">
        <v>83</v>
      </c>
      <c r="AH98" s="136" t="s">
        <v>83</v>
      </c>
      <c r="AI98" s="7"/>
      <c r="AJ98" s="7"/>
      <c r="AK98" s="7">
        <v>1</v>
      </c>
      <c r="AL98" s="7">
        <v>1</v>
      </c>
      <c r="AM98" s="136" t="s">
        <v>83</v>
      </c>
      <c r="AN98" s="7">
        <v>300</v>
      </c>
      <c r="AO98" s="7"/>
      <c r="AP98" s="7"/>
    </row>
    <row r="99" spans="1:42">
      <c r="A99" s="116"/>
      <c r="B99" s="7" t="str">
        <f>装备!B99</f>
        <v>I012</v>
      </c>
      <c r="C99" s="7" t="s">
        <v>41</v>
      </c>
      <c r="D99" s="7" t="s">
        <v>81</v>
      </c>
      <c r="E99" s="7"/>
      <c r="F99" s="7"/>
      <c r="G99" s="7"/>
      <c r="H99" s="7" t="str">
        <f>VLOOKUP(LEFT(RIGHT(B99,5),4),装备!B:CU,2,FALSE)</f>
        <v>聚宝盆lv2</v>
      </c>
      <c r="I99" s="7" t="str">
        <f>VLOOKUP(B99,装备!B:CV,99,FALSE)</f>
        <v>击杀|Cffffd24d600|r只怪物后可获得：|n|n|Cffffd24d金币：|r|n30769|n|n|Cffffd24d攻击和法强：|r|n2100~3500</v>
      </c>
      <c r="J99" s="118" t="str">
        <f t="shared" ref="J99:J100" si="34">H99</f>
        <v>聚宝盆lv2</v>
      </c>
      <c r="K99" s="118" t="str">
        <f t="shared" ref="K99:K100" si="35">I99</f>
        <v>击杀|Cffffd24d600|r只怪物后可获得：|n|n|Cffffd24d金币：|r|n30769|n|n|Cffffd24d攻击和法强：|r|n2100~3500</v>
      </c>
      <c r="L99" s="7"/>
      <c r="M99" s="119" t="str">
        <f>VLOOKUP(LEFT(RIGHT(B99,5),4),装备!B:CU,20,FALSE)</f>
        <v>ReplaceableTextures\\CommandButtons\\BTNI012.blp</v>
      </c>
      <c r="N99" s="136" t="s">
        <v>83</v>
      </c>
      <c r="O99" s="119" t="s">
        <v>88</v>
      </c>
      <c r="P99" s="7">
        <v>0</v>
      </c>
      <c r="Q99" s="7">
        <v>0</v>
      </c>
      <c r="R99" s="136" t="s">
        <v>83</v>
      </c>
      <c r="S99" s="136" t="s">
        <v>83</v>
      </c>
      <c r="T99" s="136" t="s">
        <v>83</v>
      </c>
      <c r="U99" s="136" t="s">
        <v>83</v>
      </c>
      <c r="V99" s="7"/>
      <c r="W99" s="7" t="s">
        <v>91</v>
      </c>
      <c r="X99" s="7">
        <v>0</v>
      </c>
      <c r="Y99" s="136" t="s">
        <v>83</v>
      </c>
      <c r="Z99" s="7">
        <v>0</v>
      </c>
      <c r="AA99" s="7">
        <v>0</v>
      </c>
      <c r="AB99" s="7">
        <v>0</v>
      </c>
      <c r="AC99" s="7">
        <v>1</v>
      </c>
      <c r="AD99" s="7">
        <v>1</v>
      </c>
      <c r="AE99" s="136" t="s">
        <v>83</v>
      </c>
      <c r="AF99" s="136" t="s">
        <v>83</v>
      </c>
      <c r="AG99" s="136" t="s">
        <v>83</v>
      </c>
      <c r="AH99" s="136" t="s">
        <v>83</v>
      </c>
      <c r="AI99" s="7"/>
      <c r="AJ99" s="7"/>
      <c r="AK99" s="7">
        <v>1</v>
      </c>
      <c r="AL99" s="7">
        <v>1</v>
      </c>
      <c r="AM99" s="136" t="s">
        <v>83</v>
      </c>
      <c r="AN99" s="7">
        <v>300</v>
      </c>
      <c r="AO99" s="7"/>
      <c r="AP99" s="7"/>
    </row>
    <row r="100" spans="1:42">
      <c r="A100" s="116"/>
      <c r="B100" s="7" t="str">
        <f>装备!B100</f>
        <v>I013</v>
      </c>
      <c r="C100" s="7" t="s">
        <v>41</v>
      </c>
      <c r="D100" s="7" t="s">
        <v>81</v>
      </c>
      <c r="E100" s="7"/>
      <c r="F100" s="7"/>
      <c r="G100" s="7"/>
      <c r="H100" s="7" t="str">
        <f>VLOOKUP(LEFT(RIGHT(B100,5),4),装备!B:CU,2,FALSE)</f>
        <v>聚宝盆lv3</v>
      </c>
      <c r="I100" s="7" t="str">
        <f>VLOOKUP(B100,装备!B:CV,99,FALSE)</f>
        <v>击杀|Cffffd24d600|r只怪物后可获得：|n|n|Cffffd24d金币：|r|n47619 |n|n|Cffffd24d攻击和法强：|r|n6000~10000</v>
      </c>
      <c r="J100" s="118" t="str">
        <f t="shared" si="34"/>
        <v>聚宝盆lv3</v>
      </c>
      <c r="K100" s="118" t="str">
        <f t="shared" si="35"/>
        <v>击杀|Cffffd24d600|r只怪物后可获得：|n|n|Cffffd24d金币：|r|n47619 |n|n|Cffffd24d攻击和法强：|r|n6000~10000</v>
      </c>
      <c r="L100" s="7"/>
      <c r="M100" s="119" t="str">
        <f>VLOOKUP(LEFT(RIGHT(B100,5),4),装备!B:CU,20,FALSE)</f>
        <v>ReplaceableTextures\\CommandButtons\\BTNI013.blp</v>
      </c>
      <c r="N100" s="136" t="s">
        <v>83</v>
      </c>
      <c r="O100" s="119" t="s">
        <v>88</v>
      </c>
      <c r="P100" s="7">
        <v>0</v>
      </c>
      <c r="Q100" s="7">
        <v>0</v>
      </c>
      <c r="R100" s="136" t="s">
        <v>83</v>
      </c>
      <c r="S100" s="136" t="s">
        <v>83</v>
      </c>
      <c r="T100" s="136" t="s">
        <v>83</v>
      </c>
      <c r="U100" s="136" t="s">
        <v>83</v>
      </c>
      <c r="V100" s="7"/>
      <c r="W100" s="7" t="s">
        <v>91</v>
      </c>
      <c r="X100" s="7">
        <v>0</v>
      </c>
      <c r="Y100" s="136" t="s">
        <v>83</v>
      </c>
      <c r="Z100" s="7">
        <v>0</v>
      </c>
      <c r="AA100" s="7">
        <v>0</v>
      </c>
      <c r="AB100" s="7">
        <v>0</v>
      </c>
      <c r="AC100" s="7">
        <v>1</v>
      </c>
      <c r="AD100" s="7">
        <v>1</v>
      </c>
      <c r="AE100" s="136" t="s">
        <v>83</v>
      </c>
      <c r="AF100" s="136" t="s">
        <v>83</v>
      </c>
      <c r="AG100" s="136" t="s">
        <v>83</v>
      </c>
      <c r="AH100" s="136" t="s">
        <v>83</v>
      </c>
      <c r="AI100" s="7"/>
      <c r="AJ100" s="7"/>
      <c r="AK100" s="7">
        <v>1</v>
      </c>
      <c r="AL100" s="7">
        <v>1</v>
      </c>
      <c r="AM100" s="136" t="s">
        <v>83</v>
      </c>
      <c r="AN100" s="7">
        <v>300</v>
      </c>
      <c r="AO100" s="7"/>
      <c r="AP100" s="7"/>
    </row>
    <row r="101" spans="1:42">
      <c r="A101" s="116"/>
      <c r="B101" s="7" t="str">
        <f>装备!B101</f>
        <v>I014</v>
      </c>
      <c r="C101" s="7" t="s">
        <v>41</v>
      </c>
      <c r="D101" s="7" t="s">
        <v>81</v>
      </c>
      <c r="E101" s="7"/>
      <c r="F101" s="7"/>
      <c r="G101" s="7"/>
      <c r="H101" s="7" t="str">
        <f>VLOOKUP(LEFT(RIGHT(B101,5),4),装备!B:CU,2,FALSE)</f>
        <v>聚宝盆lv4</v>
      </c>
      <c r="I101" s="7" t="str">
        <f>VLOOKUP(B101,装备!B:CV,99,FALSE)</f>
        <v>击杀|Cffffd24d600|r只怪物后可获得：|n|n|Cffffd24d金币：|r|n80952  |n|n|Cffffd24d攻击和法强：|r|n11880~19800</v>
      </c>
      <c r="J101" s="118" t="str">
        <f t="shared" ref="J101:J128" si="36">H101</f>
        <v>聚宝盆lv4</v>
      </c>
      <c r="K101" s="118" t="str">
        <f t="shared" ref="K101:K128" si="37">I101</f>
        <v>击杀|Cffffd24d600|r只怪物后可获得：|n|n|Cffffd24d金币：|r|n80952  |n|n|Cffffd24d攻击和法强：|r|n11880~19800</v>
      </c>
      <c r="L101" s="7"/>
      <c r="M101" s="119" t="str">
        <f>VLOOKUP(LEFT(RIGHT(B101,5),4),装备!B:CU,20,FALSE)</f>
        <v>ReplaceableTextures\\CommandButtons\\BTNI014.blp</v>
      </c>
      <c r="N101" s="136" t="s">
        <v>83</v>
      </c>
      <c r="O101" s="119" t="s">
        <v>88</v>
      </c>
      <c r="P101" s="7">
        <v>0</v>
      </c>
      <c r="Q101" s="7">
        <v>0</v>
      </c>
      <c r="R101" s="136" t="s">
        <v>83</v>
      </c>
      <c r="S101" s="136" t="s">
        <v>83</v>
      </c>
      <c r="T101" s="136" t="s">
        <v>83</v>
      </c>
      <c r="U101" s="136" t="s">
        <v>83</v>
      </c>
      <c r="V101" s="7"/>
      <c r="W101" s="7" t="s">
        <v>91</v>
      </c>
      <c r="X101" s="7">
        <v>0</v>
      </c>
      <c r="Y101" s="136" t="s">
        <v>83</v>
      </c>
      <c r="Z101" s="7">
        <v>0</v>
      </c>
      <c r="AA101" s="7">
        <v>0</v>
      </c>
      <c r="AB101" s="7">
        <v>0</v>
      </c>
      <c r="AC101" s="7">
        <v>1</v>
      </c>
      <c r="AD101" s="7">
        <v>1</v>
      </c>
      <c r="AE101" s="136" t="s">
        <v>83</v>
      </c>
      <c r="AF101" s="136" t="s">
        <v>83</v>
      </c>
      <c r="AG101" s="136" t="s">
        <v>83</v>
      </c>
      <c r="AH101" s="136" t="s">
        <v>83</v>
      </c>
      <c r="AI101" s="7"/>
      <c r="AJ101" s="7"/>
      <c r="AK101" s="7">
        <v>1</v>
      </c>
      <c r="AL101" s="7">
        <v>1</v>
      </c>
      <c r="AM101" s="136" t="s">
        <v>83</v>
      </c>
      <c r="AN101" s="7">
        <v>300</v>
      </c>
      <c r="AO101" s="7"/>
      <c r="AP101" s="7"/>
    </row>
    <row r="102" spans="1:42">
      <c r="A102" s="116"/>
      <c r="B102" s="7" t="str">
        <f>装备!B102</f>
        <v>INDA</v>
      </c>
      <c r="C102" s="7" t="s">
        <v>41</v>
      </c>
      <c r="D102" s="7" t="s">
        <v>81</v>
      </c>
      <c r="E102" s="7" t="s">
        <v>82</v>
      </c>
      <c r="F102" s="7"/>
      <c r="G102" s="7"/>
      <c r="H102" s="7" t="str">
        <f>VLOOKUP(LEFT(RIGHT(B102,5),4),装备!B:CU,2,FALSE)</f>
        <v>幸运星盒</v>
      </c>
      <c r="I102" s="7" t="str">
        <f>VLOOKUP(B102,装备!B:CV,99,FALSE)</f>
        <v>开启后获得|Cffffd24d42~700木头|r或|Cffffd24d随机锦囊卡|r。|n|n|Cff00ff7f掉落时激活的星宿越多，人品越好 |r     </v>
      </c>
      <c r="J102" s="118" t="str">
        <f t="shared" si="36"/>
        <v>幸运星盒</v>
      </c>
      <c r="K102" s="118" t="str">
        <f t="shared" si="37"/>
        <v>开启后获得|Cffffd24d42~700木头|r或|Cffffd24d随机锦囊卡|r。|n|n|Cff00ff7f掉落时激活的星宿越多，人品越好 |r     </v>
      </c>
      <c r="L102" s="7"/>
      <c r="M102" s="119" t="str">
        <f>VLOOKUP(LEFT(RIGHT(B102,5),4),装备!B:CU,20,FALSE)</f>
        <v>ReplaceableTextures\\CommandButtons\\BTNIND1.blp</v>
      </c>
      <c r="N102" s="136" t="s">
        <v>83</v>
      </c>
      <c r="O102" s="119" t="s">
        <v>88</v>
      </c>
      <c r="P102" s="7">
        <v>0</v>
      </c>
      <c r="Q102" s="7">
        <v>0</v>
      </c>
      <c r="R102" s="136" t="s">
        <v>83</v>
      </c>
      <c r="S102" s="136" t="s">
        <v>83</v>
      </c>
      <c r="T102" s="136" t="s">
        <v>83</v>
      </c>
      <c r="U102" s="136" t="s">
        <v>83</v>
      </c>
      <c r="V102" s="7"/>
      <c r="W102" s="7" t="s">
        <v>89</v>
      </c>
      <c r="X102" s="7">
        <v>0</v>
      </c>
      <c r="Y102" s="136" t="s">
        <v>83</v>
      </c>
      <c r="Z102" s="7">
        <v>0</v>
      </c>
      <c r="AA102" s="7">
        <v>0</v>
      </c>
      <c r="AB102" s="7">
        <v>0</v>
      </c>
      <c r="AC102" s="7">
        <v>1</v>
      </c>
      <c r="AD102" s="7">
        <v>1</v>
      </c>
      <c r="AE102" s="136" t="s">
        <v>83</v>
      </c>
      <c r="AF102" s="136" t="s">
        <v>83</v>
      </c>
      <c r="AG102" s="136" t="s">
        <v>83</v>
      </c>
      <c r="AH102" s="136" t="s">
        <v>83</v>
      </c>
      <c r="AI102" s="7"/>
      <c r="AJ102" s="7"/>
      <c r="AK102" s="7">
        <v>1</v>
      </c>
      <c r="AL102" s="7">
        <v>1</v>
      </c>
      <c r="AM102" s="136" t="s">
        <v>83</v>
      </c>
      <c r="AN102" s="7">
        <v>1</v>
      </c>
      <c r="AO102" s="7">
        <v>1</v>
      </c>
      <c r="AP102" s="7">
        <v>1</v>
      </c>
    </row>
    <row r="103" spans="1:42">
      <c r="A103" s="116"/>
      <c r="B103" s="7" t="str">
        <f>装备!B103</f>
        <v>INDB</v>
      </c>
      <c r="C103" s="7" t="s">
        <v>41</v>
      </c>
      <c r="D103" s="7" t="s">
        <v>81</v>
      </c>
      <c r="E103" s="7" t="s">
        <v>82</v>
      </c>
      <c r="F103" s="7"/>
      <c r="G103" s="7"/>
      <c r="H103" s="7" t="str">
        <f>VLOOKUP(LEFT(RIGHT(B103,5),4),装备!B:CU,2,FALSE)</f>
        <v>幸运星盒</v>
      </c>
      <c r="I103" s="7" t="str">
        <f>VLOOKUP(B103,装备!B:CV,99,FALSE)</f>
        <v>开启后获得|Cffffd24d42~700木头|r或|Cffffd24d随机锦囊卡|r。|n|n|Cff00ff7f掉落时激活的星宿越多，人品越好 |r     </v>
      </c>
      <c r="J103" s="118" t="str">
        <f t="shared" si="36"/>
        <v>幸运星盒</v>
      </c>
      <c r="K103" s="118" t="str">
        <f t="shared" si="37"/>
        <v>开启后获得|Cffffd24d42~700木头|r或|Cffffd24d随机锦囊卡|r。|n|n|Cff00ff7f掉落时激活的星宿越多，人品越好 |r     </v>
      </c>
      <c r="L103" s="7"/>
      <c r="M103" s="119" t="str">
        <f>VLOOKUP(LEFT(RIGHT(B103,5),4),装备!B:CU,20,FALSE)</f>
        <v>ReplaceableTextures\\CommandButtons\\BTNIND1.blp</v>
      </c>
      <c r="N103" s="136" t="s">
        <v>83</v>
      </c>
      <c r="O103" s="119" t="s">
        <v>88</v>
      </c>
      <c r="P103" s="7">
        <v>0</v>
      </c>
      <c r="Q103" s="7">
        <v>0</v>
      </c>
      <c r="R103" s="136" t="s">
        <v>83</v>
      </c>
      <c r="S103" s="136" t="s">
        <v>83</v>
      </c>
      <c r="T103" s="136" t="s">
        <v>83</v>
      </c>
      <c r="U103" s="136" t="s">
        <v>83</v>
      </c>
      <c r="V103" s="7"/>
      <c r="W103" s="7" t="s">
        <v>89</v>
      </c>
      <c r="X103" s="7">
        <v>0</v>
      </c>
      <c r="Y103" s="136" t="s">
        <v>83</v>
      </c>
      <c r="Z103" s="7">
        <v>0</v>
      </c>
      <c r="AA103" s="7">
        <v>0</v>
      </c>
      <c r="AB103" s="7">
        <v>0</v>
      </c>
      <c r="AC103" s="7">
        <v>1</v>
      </c>
      <c r="AD103" s="7">
        <v>1</v>
      </c>
      <c r="AE103" s="136" t="s">
        <v>83</v>
      </c>
      <c r="AF103" s="136" t="s">
        <v>83</v>
      </c>
      <c r="AG103" s="136" t="s">
        <v>83</v>
      </c>
      <c r="AH103" s="136" t="s">
        <v>83</v>
      </c>
      <c r="AI103" s="7"/>
      <c r="AJ103" s="7"/>
      <c r="AK103" s="7">
        <v>1</v>
      </c>
      <c r="AL103" s="7">
        <v>1</v>
      </c>
      <c r="AM103" s="136" t="s">
        <v>83</v>
      </c>
      <c r="AN103" s="7">
        <v>1</v>
      </c>
      <c r="AO103" s="7">
        <v>1</v>
      </c>
      <c r="AP103" s="7">
        <v>1</v>
      </c>
    </row>
    <row r="104" spans="1:42">
      <c r="A104" s="116"/>
      <c r="B104" s="7" t="str">
        <f>装备!B104</f>
        <v>INDC</v>
      </c>
      <c r="C104" s="7" t="s">
        <v>41</v>
      </c>
      <c r="D104" s="7" t="s">
        <v>81</v>
      </c>
      <c r="E104" s="7" t="s">
        <v>82</v>
      </c>
      <c r="F104" s="7"/>
      <c r="G104" s="7"/>
      <c r="H104" s="7" t="str">
        <f>VLOOKUP(LEFT(RIGHT(B104,5),4),装备!B:CU,2,FALSE)</f>
        <v>幸运星盒</v>
      </c>
      <c r="I104" s="7" t="str">
        <f>VLOOKUP(B104,装备!B:CV,99,FALSE)</f>
        <v>开启后获得|Cffffd24d42~700木头|r或|Cffffd24d随机锦囊卡|r。|n|n|Cff00ff7f掉落时激活的星宿越多，人品越好 |r     </v>
      </c>
      <c r="J104" s="118" t="str">
        <f t="shared" si="36"/>
        <v>幸运星盒</v>
      </c>
      <c r="K104" s="118" t="str">
        <f t="shared" si="37"/>
        <v>开启后获得|Cffffd24d42~700木头|r或|Cffffd24d随机锦囊卡|r。|n|n|Cff00ff7f掉落时激活的星宿越多，人品越好 |r     </v>
      </c>
      <c r="L104" s="7"/>
      <c r="M104" s="119" t="str">
        <f>VLOOKUP(LEFT(RIGHT(B104,5),4),装备!B:CU,20,FALSE)</f>
        <v>ReplaceableTextures\\CommandButtons\\BTNIND1.blp</v>
      </c>
      <c r="N104" s="136" t="s">
        <v>83</v>
      </c>
      <c r="O104" s="119" t="s">
        <v>88</v>
      </c>
      <c r="P104" s="7">
        <v>0</v>
      </c>
      <c r="Q104" s="7">
        <v>0</v>
      </c>
      <c r="R104" s="136" t="s">
        <v>83</v>
      </c>
      <c r="S104" s="136" t="s">
        <v>83</v>
      </c>
      <c r="T104" s="136" t="s">
        <v>83</v>
      </c>
      <c r="U104" s="136" t="s">
        <v>83</v>
      </c>
      <c r="V104" s="7"/>
      <c r="W104" s="7" t="s">
        <v>89</v>
      </c>
      <c r="X104" s="7">
        <v>0</v>
      </c>
      <c r="Y104" s="136" t="s">
        <v>83</v>
      </c>
      <c r="Z104" s="7">
        <v>0</v>
      </c>
      <c r="AA104" s="7">
        <v>0</v>
      </c>
      <c r="AB104" s="7">
        <v>0</v>
      </c>
      <c r="AC104" s="7">
        <v>1</v>
      </c>
      <c r="AD104" s="7">
        <v>1</v>
      </c>
      <c r="AE104" s="136" t="s">
        <v>83</v>
      </c>
      <c r="AF104" s="136" t="s">
        <v>83</v>
      </c>
      <c r="AG104" s="136" t="s">
        <v>83</v>
      </c>
      <c r="AH104" s="136" t="s">
        <v>83</v>
      </c>
      <c r="AI104" s="7"/>
      <c r="AJ104" s="7"/>
      <c r="AK104" s="7">
        <v>1</v>
      </c>
      <c r="AL104" s="7">
        <v>1</v>
      </c>
      <c r="AM104" s="136" t="s">
        <v>83</v>
      </c>
      <c r="AN104" s="7">
        <v>1</v>
      </c>
      <c r="AO104" s="7">
        <v>1</v>
      </c>
      <c r="AP104" s="7">
        <v>1</v>
      </c>
    </row>
    <row r="105" spans="1:42">
      <c r="A105" s="116"/>
      <c r="B105" s="7" t="str">
        <f>装备!B105</f>
        <v>INDD</v>
      </c>
      <c r="C105" s="7" t="s">
        <v>41</v>
      </c>
      <c r="D105" s="7" t="s">
        <v>81</v>
      </c>
      <c r="E105" s="7" t="s">
        <v>82</v>
      </c>
      <c r="F105" s="7"/>
      <c r="G105" s="7"/>
      <c r="H105" s="7" t="str">
        <f>VLOOKUP(LEFT(RIGHT(B105,5),4),装备!B:CU,2,FALSE)</f>
        <v>幸运星盒</v>
      </c>
      <c r="I105" s="7" t="str">
        <f>VLOOKUP(B105,装备!B:CV,99,FALSE)</f>
        <v>开启后获得|Cffffd24d42~700木头|r或|Cffffd24d随机锦囊卡|r。|n|n|Cff00ff7f掉落时激活的星宿越多，人品越好 |r     </v>
      </c>
      <c r="J105" s="118" t="str">
        <f t="shared" si="36"/>
        <v>幸运星盒</v>
      </c>
      <c r="K105" s="118" t="str">
        <f t="shared" si="37"/>
        <v>开启后获得|Cffffd24d42~700木头|r或|Cffffd24d随机锦囊卡|r。|n|n|Cff00ff7f掉落时激活的星宿越多，人品越好 |r     </v>
      </c>
      <c r="L105" s="7"/>
      <c r="M105" s="119" t="str">
        <f>VLOOKUP(LEFT(RIGHT(B105,5),4),装备!B:CU,20,FALSE)</f>
        <v>ReplaceableTextures\\CommandButtons\\BTNIND1.blp</v>
      </c>
      <c r="N105" s="136" t="s">
        <v>83</v>
      </c>
      <c r="O105" s="119" t="s">
        <v>88</v>
      </c>
      <c r="P105" s="7">
        <v>0</v>
      </c>
      <c r="Q105" s="7">
        <v>0</v>
      </c>
      <c r="R105" s="136" t="s">
        <v>83</v>
      </c>
      <c r="S105" s="136" t="s">
        <v>83</v>
      </c>
      <c r="T105" s="136" t="s">
        <v>83</v>
      </c>
      <c r="U105" s="136" t="s">
        <v>83</v>
      </c>
      <c r="V105" s="7"/>
      <c r="W105" s="7" t="s">
        <v>89</v>
      </c>
      <c r="X105" s="7">
        <v>0</v>
      </c>
      <c r="Y105" s="136" t="s">
        <v>83</v>
      </c>
      <c r="Z105" s="7">
        <v>0</v>
      </c>
      <c r="AA105" s="7">
        <v>0</v>
      </c>
      <c r="AB105" s="7">
        <v>0</v>
      </c>
      <c r="AC105" s="7">
        <v>1</v>
      </c>
      <c r="AD105" s="7">
        <v>1</v>
      </c>
      <c r="AE105" s="136" t="s">
        <v>83</v>
      </c>
      <c r="AF105" s="136" t="s">
        <v>83</v>
      </c>
      <c r="AG105" s="136" t="s">
        <v>83</v>
      </c>
      <c r="AH105" s="136" t="s">
        <v>83</v>
      </c>
      <c r="AI105" s="7"/>
      <c r="AJ105" s="7"/>
      <c r="AK105" s="7">
        <v>1</v>
      </c>
      <c r="AL105" s="7">
        <v>1</v>
      </c>
      <c r="AM105" s="136" t="s">
        <v>83</v>
      </c>
      <c r="AN105" s="7">
        <v>1</v>
      </c>
      <c r="AO105" s="7">
        <v>1</v>
      </c>
      <c r="AP105" s="7">
        <v>1</v>
      </c>
    </row>
    <row r="106" spans="1:42">
      <c r="A106" s="116"/>
      <c r="B106" s="7" t="str">
        <f>装备!B106</f>
        <v>INDE</v>
      </c>
      <c r="C106" s="7" t="s">
        <v>41</v>
      </c>
      <c r="D106" s="7" t="s">
        <v>81</v>
      </c>
      <c r="E106" s="7" t="s">
        <v>82</v>
      </c>
      <c r="F106" s="7"/>
      <c r="G106" s="7"/>
      <c r="H106" s="7" t="str">
        <f>VLOOKUP(LEFT(RIGHT(B106,5),4),装备!B:CU,2,FALSE)</f>
        <v>幸运星盒</v>
      </c>
      <c r="I106" s="7" t="str">
        <f>VLOOKUP(B106,装备!B:CV,99,FALSE)</f>
        <v>开启后获得|Cffffd24d42~700木头|r或|Cffffd24d随机锦囊卡|r。|n|n|Cff00ff7f掉落时激活的星宿越多，人品越好 |r     </v>
      </c>
      <c r="J106" s="118" t="str">
        <f t="shared" si="36"/>
        <v>幸运星盒</v>
      </c>
      <c r="K106" s="118" t="str">
        <f t="shared" si="37"/>
        <v>开启后获得|Cffffd24d42~700木头|r或|Cffffd24d随机锦囊卡|r。|n|n|Cff00ff7f掉落时激活的星宿越多，人品越好 |r     </v>
      </c>
      <c r="L106" s="7"/>
      <c r="M106" s="119" t="str">
        <f>VLOOKUP(LEFT(RIGHT(B106,5),4),装备!B:CU,20,FALSE)</f>
        <v>ReplaceableTextures\\CommandButtons\\BTNIND1.blp</v>
      </c>
      <c r="N106" s="136" t="s">
        <v>83</v>
      </c>
      <c r="O106" s="119" t="s">
        <v>88</v>
      </c>
      <c r="P106" s="7">
        <v>0</v>
      </c>
      <c r="Q106" s="7">
        <v>0</v>
      </c>
      <c r="R106" s="136" t="s">
        <v>83</v>
      </c>
      <c r="S106" s="136" t="s">
        <v>83</v>
      </c>
      <c r="T106" s="136" t="s">
        <v>83</v>
      </c>
      <c r="U106" s="136" t="s">
        <v>83</v>
      </c>
      <c r="V106" s="7"/>
      <c r="W106" s="7" t="s">
        <v>89</v>
      </c>
      <c r="X106" s="7">
        <v>0</v>
      </c>
      <c r="Y106" s="136" t="s">
        <v>83</v>
      </c>
      <c r="Z106" s="7">
        <v>0</v>
      </c>
      <c r="AA106" s="7">
        <v>0</v>
      </c>
      <c r="AB106" s="7">
        <v>0</v>
      </c>
      <c r="AC106" s="7">
        <v>1</v>
      </c>
      <c r="AD106" s="7">
        <v>1</v>
      </c>
      <c r="AE106" s="136" t="s">
        <v>83</v>
      </c>
      <c r="AF106" s="136" t="s">
        <v>83</v>
      </c>
      <c r="AG106" s="136" t="s">
        <v>83</v>
      </c>
      <c r="AH106" s="136" t="s">
        <v>83</v>
      </c>
      <c r="AI106" s="7"/>
      <c r="AJ106" s="7"/>
      <c r="AK106" s="7">
        <v>1</v>
      </c>
      <c r="AL106" s="7">
        <v>1</v>
      </c>
      <c r="AM106" s="136" t="s">
        <v>83</v>
      </c>
      <c r="AN106" s="7">
        <v>1</v>
      </c>
      <c r="AO106" s="7">
        <v>1</v>
      </c>
      <c r="AP106" s="7">
        <v>1</v>
      </c>
    </row>
    <row r="107" spans="1:42">
      <c r="A107" s="116"/>
      <c r="B107" s="7" t="str">
        <f>装备!B107</f>
        <v>INDF</v>
      </c>
      <c r="C107" s="7" t="s">
        <v>41</v>
      </c>
      <c r="D107" s="7" t="s">
        <v>81</v>
      </c>
      <c r="E107" s="7" t="s">
        <v>82</v>
      </c>
      <c r="F107" s="7"/>
      <c r="G107" s="7"/>
      <c r="H107" s="7" t="str">
        <f>VLOOKUP(LEFT(RIGHT(B107,5),4),装备!B:CU,2,FALSE)</f>
        <v>炽星魔盒</v>
      </c>
      <c r="I107" s="7" t="str">
        <f>VLOOKUP(B107,装备!B:CV,99,FALSE)</f>
        <v>开启后随机获得一张|Cffffd24d锦囊卡|r</v>
      </c>
      <c r="J107" s="118" t="str">
        <f t="shared" si="36"/>
        <v>炽星魔盒</v>
      </c>
      <c r="K107" s="118" t="str">
        <f t="shared" si="37"/>
        <v>开启后随机获得一张|Cffffd24d锦囊卡|r</v>
      </c>
      <c r="L107" s="7"/>
      <c r="M107" s="119" t="str">
        <f>VLOOKUP(LEFT(RIGHT(B107,5),4),装备!B:CU,20,FALSE)</f>
        <v>ReplaceableTextures\\CommandButtons\\BTNIND2.blp</v>
      </c>
      <c r="N107" s="136" t="s">
        <v>83</v>
      </c>
      <c r="O107" s="119" t="s">
        <v>88</v>
      </c>
      <c r="P107" s="7">
        <v>0</v>
      </c>
      <c r="Q107" s="7">
        <v>0</v>
      </c>
      <c r="R107" s="136" t="s">
        <v>83</v>
      </c>
      <c r="S107" s="136" t="s">
        <v>83</v>
      </c>
      <c r="T107" s="136" t="s">
        <v>83</v>
      </c>
      <c r="U107" s="136" t="s">
        <v>83</v>
      </c>
      <c r="V107" s="7"/>
      <c r="W107" s="7" t="s">
        <v>89</v>
      </c>
      <c r="X107" s="7">
        <v>0</v>
      </c>
      <c r="Y107" s="136" t="s">
        <v>83</v>
      </c>
      <c r="Z107" s="7">
        <v>0</v>
      </c>
      <c r="AA107" s="7">
        <v>0</v>
      </c>
      <c r="AB107" s="7">
        <v>0</v>
      </c>
      <c r="AC107" s="7">
        <v>1</v>
      </c>
      <c r="AD107" s="7">
        <v>1</v>
      </c>
      <c r="AE107" s="136" t="s">
        <v>83</v>
      </c>
      <c r="AF107" s="136" t="s">
        <v>83</v>
      </c>
      <c r="AG107" s="136" t="s">
        <v>83</v>
      </c>
      <c r="AH107" s="136" t="s">
        <v>83</v>
      </c>
      <c r="AI107" s="7"/>
      <c r="AJ107" s="7"/>
      <c r="AK107" s="7">
        <v>1</v>
      </c>
      <c r="AL107" s="7">
        <v>1</v>
      </c>
      <c r="AM107" s="136" t="s">
        <v>83</v>
      </c>
      <c r="AN107" s="7">
        <v>1</v>
      </c>
      <c r="AO107" s="7">
        <v>1</v>
      </c>
      <c r="AP107" s="7">
        <v>1</v>
      </c>
    </row>
    <row r="108" spans="1:42">
      <c r="A108" s="116"/>
      <c r="B108" s="7" t="str">
        <f>装备!B108</f>
        <v>INDG</v>
      </c>
      <c r="C108" s="7" t="s">
        <v>41</v>
      </c>
      <c r="D108" s="7" t="s">
        <v>81</v>
      </c>
      <c r="E108" s="7" t="s">
        <v>82</v>
      </c>
      <c r="F108" s="7"/>
      <c r="G108" s="7"/>
      <c r="H108" s="7" t="str">
        <f>VLOOKUP(LEFT(RIGHT(B108,5),4),装备!B:CU,2,FALSE)</f>
        <v>幸运星盒</v>
      </c>
      <c r="I108" s="7" t="str">
        <f>VLOOKUP(B108,装备!B:CV,99,FALSE)</f>
        <v>开启后获得|Cffffd24d42~700木头|r或|Cffffd24d随机锦囊卡|r。|n|n|Cff00ff7f掉落时激活的星宿越多，人品越好 |r     </v>
      </c>
      <c r="J108" s="118" t="str">
        <f t="shared" si="36"/>
        <v>幸运星盒</v>
      </c>
      <c r="K108" s="118" t="str">
        <f t="shared" si="37"/>
        <v>开启后获得|Cffffd24d42~700木头|r或|Cffffd24d随机锦囊卡|r。|n|n|Cff00ff7f掉落时激活的星宿越多，人品越好 |r     </v>
      </c>
      <c r="L108" s="7"/>
      <c r="M108" s="119" t="str">
        <f>VLOOKUP(LEFT(RIGHT(B108,5),4),装备!B:CU,20,FALSE)</f>
        <v>ReplaceableTextures\\CommandButtons\\BTNIND1.blp</v>
      </c>
      <c r="N108" s="136" t="s">
        <v>83</v>
      </c>
      <c r="O108" s="119" t="s">
        <v>88</v>
      </c>
      <c r="P108" s="7">
        <v>0</v>
      </c>
      <c r="Q108" s="7">
        <v>0</v>
      </c>
      <c r="R108" s="136" t="s">
        <v>83</v>
      </c>
      <c r="S108" s="136" t="s">
        <v>83</v>
      </c>
      <c r="T108" s="136" t="s">
        <v>83</v>
      </c>
      <c r="U108" s="136" t="s">
        <v>83</v>
      </c>
      <c r="V108" s="7"/>
      <c r="W108" s="7" t="s">
        <v>89</v>
      </c>
      <c r="X108" s="7">
        <v>0</v>
      </c>
      <c r="Y108" s="136" t="s">
        <v>83</v>
      </c>
      <c r="Z108" s="7">
        <v>0</v>
      </c>
      <c r="AA108" s="7">
        <v>0</v>
      </c>
      <c r="AB108" s="7">
        <v>0</v>
      </c>
      <c r="AC108" s="7">
        <v>1</v>
      </c>
      <c r="AD108" s="7">
        <v>1</v>
      </c>
      <c r="AE108" s="136" t="s">
        <v>83</v>
      </c>
      <c r="AF108" s="136" t="s">
        <v>83</v>
      </c>
      <c r="AG108" s="136" t="s">
        <v>83</v>
      </c>
      <c r="AH108" s="136" t="s">
        <v>83</v>
      </c>
      <c r="AI108" s="7"/>
      <c r="AJ108" s="7"/>
      <c r="AK108" s="7">
        <v>1</v>
      </c>
      <c r="AL108" s="7">
        <v>1</v>
      </c>
      <c r="AM108" s="136" t="s">
        <v>83</v>
      </c>
      <c r="AN108" s="7">
        <v>1</v>
      </c>
      <c r="AO108" s="7">
        <v>1</v>
      </c>
      <c r="AP108" s="7">
        <v>1</v>
      </c>
    </row>
    <row r="109" spans="1:42">
      <c r="A109" s="116"/>
      <c r="B109" s="7" t="str">
        <f>装备!B109</f>
        <v>INDH</v>
      </c>
      <c r="C109" s="7" t="s">
        <v>41</v>
      </c>
      <c r="D109" s="7" t="s">
        <v>81</v>
      </c>
      <c r="E109" s="7" t="s">
        <v>82</v>
      </c>
      <c r="F109" s="7"/>
      <c r="G109" s="7"/>
      <c r="H109" s="7" t="str">
        <f>VLOOKUP(LEFT(RIGHT(B109,5),4),装备!B:CU,2,FALSE)</f>
        <v>幸运星盒</v>
      </c>
      <c r="I109" s="7" t="str">
        <f>VLOOKUP(B109,装备!B:CV,99,FALSE)</f>
        <v>开启后获得|Cffffd24d42~700木头|r或|Cffffd24d随机锦囊卡|r。|n|n|Cff00ff7f掉落时激活的星宿越多，人品越好 |r     </v>
      </c>
      <c r="J109" s="118" t="str">
        <f t="shared" si="36"/>
        <v>幸运星盒</v>
      </c>
      <c r="K109" s="118" t="str">
        <f t="shared" si="37"/>
        <v>开启后获得|Cffffd24d42~700木头|r或|Cffffd24d随机锦囊卡|r。|n|n|Cff00ff7f掉落时激活的星宿越多，人品越好 |r     </v>
      </c>
      <c r="L109" s="7"/>
      <c r="M109" s="119" t="str">
        <f>VLOOKUP(LEFT(RIGHT(B109,5),4),装备!B:CU,20,FALSE)</f>
        <v>ReplaceableTextures\\CommandButtons\\BTNIND1.blp</v>
      </c>
      <c r="N109" s="136" t="s">
        <v>83</v>
      </c>
      <c r="O109" s="119" t="s">
        <v>88</v>
      </c>
      <c r="P109" s="7">
        <v>0</v>
      </c>
      <c r="Q109" s="7">
        <v>0</v>
      </c>
      <c r="R109" s="136" t="s">
        <v>83</v>
      </c>
      <c r="S109" s="136" t="s">
        <v>83</v>
      </c>
      <c r="T109" s="136" t="s">
        <v>83</v>
      </c>
      <c r="U109" s="136" t="s">
        <v>83</v>
      </c>
      <c r="V109" s="7"/>
      <c r="W109" s="7" t="s">
        <v>89</v>
      </c>
      <c r="X109" s="7">
        <v>0</v>
      </c>
      <c r="Y109" s="136" t="s">
        <v>83</v>
      </c>
      <c r="Z109" s="7">
        <v>0</v>
      </c>
      <c r="AA109" s="7">
        <v>0</v>
      </c>
      <c r="AB109" s="7">
        <v>0</v>
      </c>
      <c r="AC109" s="7">
        <v>1</v>
      </c>
      <c r="AD109" s="7">
        <v>1</v>
      </c>
      <c r="AE109" s="136" t="s">
        <v>83</v>
      </c>
      <c r="AF109" s="136" t="s">
        <v>83</v>
      </c>
      <c r="AG109" s="136" t="s">
        <v>83</v>
      </c>
      <c r="AH109" s="136" t="s">
        <v>83</v>
      </c>
      <c r="AI109" s="7"/>
      <c r="AJ109" s="7"/>
      <c r="AK109" s="7">
        <v>1</v>
      </c>
      <c r="AL109" s="7">
        <v>1</v>
      </c>
      <c r="AM109" s="136" t="s">
        <v>83</v>
      </c>
      <c r="AN109" s="7">
        <v>1</v>
      </c>
      <c r="AO109" s="7">
        <v>1</v>
      </c>
      <c r="AP109" s="7">
        <v>1</v>
      </c>
    </row>
    <row r="110" spans="1:42">
      <c r="A110" s="116"/>
      <c r="B110" s="7" t="str">
        <f>装备!B110</f>
        <v>INDI</v>
      </c>
      <c r="C110" s="7" t="s">
        <v>41</v>
      </c>
      <c r="D110" s="7" t="s">
        <v>81</v>
      </c>
      <c r="E110" s="7" t="s">
        <v>82</v>
      </c>
      <c r="F110" s="7"/>
      <c r="G110" s="7"/>
      <c r="H110" s="7" t="str">
        <f>VLOOKUP(LEFT(RIGHT(B110,5),4),装备!B:CU,2,FALSE)</f>
        <v>幸运星盒</v>
      </c>
      <c r="I110" s="7" t="str">
        <f>VLOOKUP(B110,装备!B:CV,99,FALSE)</f>
        <v>开启后获得|Cffffd24d42~700木头|r或|Cffffd24d随机锦囊卡|r。|n|n|Cff00ff7f掉落时激活的星宿越多，人品越好 |r     </v>
      </c>
      <c r="J110" s="118" t="str">
        <f t="shared" ref="J110:J117" si="38">H110</f>
        <v>幸运星盒</v>
      </c>
      <c r="K110" s="118" t="str">
        <f t="shared" ref="K110:K117" si="39">I110</f>
        <v>开启后获得|Cffffd24d42~700木头|r或|Cffffd24d随机锦囊卡|r。|n|n|Cff00ff7f掉落时激活的星宿越多，人品越好 |r     </v>
      </c>
      <c r="L110" s="7"/>
      <c r="M110" s="119" t="str">
        <f>VLOOKUP(LEFT(RIGHT(B110,5),4),装备!B:CU,20,FALSE)</f>
        <v>ReplaceableTextures\\CommandButtons\\BTNIND1.blp</v>
      </c>
      <c r="N110" s="136" t="s">
        <v>83</v>
      </c>
      <c r="O110" s="119" t="s">
        <v>88</v>
      </c>
      <c r="P110" s="7">
        <v>0</v>
      </c>
      <c r="Q110" s="7">
        <v>0</v>
      </c>
      <c r="R110" s="136" t="s">
        <v>83</v>
      </c>
      <c r="S110" s="136" t="s">
        <v>83</v>
      </c>
      <c r="T110" s="136" t="s">
        <v>83</v>
      </c>
      <c r="U110" s="136" t="s">
        <v>83</v>
      </c>
      <c r="V110" s="7"/>
      <c r="W110" s="7" t="s">
        <v>89</v>
      </c>
      <c r="X110" s="7">
        <v>0</v>
      </c>
      <c r="Y110" s="136" t="s">
        <v>83</v>
      </c>
      <c r="Z110" s="7">
        <v>0</v>
      </c>
      <c r="AA110" s="7">
        <v>0</v>
      </c>
      <c r="AB110" s="7">
        <v>0</v>
      </c>
      <c r="AC110" s="7">
        <v>1</v>
      </c>
      <c r="AD110" s="7">
        <v>1</v>
      </c>
      <c r="AE110" s="136" t="s">
        <v>83</v>
      </c>
      <c r="AF110" s="136" t="s">
        <v>83</v>
      </c>
      <c r="AG110" s="136" t="s">
        <v>83</v>
      </c>
      <c r="AH110" s="136" t="s">
        <v>83</v>
      </c>
      <c r="AI110" s="7"/>
      <c r="AJ110" s="7"/>
      <c r="AK110" s="7">
        <v>1</v>
      </c>
      <c r="AL110" s="7">
        <v>1</v>
      </c>
      <c r="AM110" s="136" t="s">
        <v>83</v>
      </c>
      <c r="AN110" s="7">
        <v>1</v>
      </c>
      <c r="AO110" s="7">
        <v>1</v>
      </c>
      <c r="AP110" s="7">
        <v>1</v>
      </c>
    </row>
    <row r="111" spans="1:42">
      <c r="A111" s="116"/>
      <c r="B111" s="7" t="str">
        <f>装备!B111</f>
        <v>INDJ</v>
      </c>
      <c r="C111" s="7" t="s">
        <v>41</v>
      </c>
      <c r="D111" s="7" t="s">
        <v>81</v>
      </c>
      <c r="E111" s="7" t="s">
        <v>82</v>
      </c>
      <c r="F111" s="7"/>
      <c r="G111" s="7"/>
      <c r="H111" s="7" t="str">
        <f>VLOOKUP(LEFT(RIGHT(B111,5),4),装备!B:CU,2,FALSE)</f>
        <v>幸运星盒</v>
      </c>
      <c r="I111" s="7" t="str">
        <f>VLOOKUP(B111,装备!B:CV,99,FALSE)</f>
        <v>开启后获得|Cffffd24d42~700木头|r或|Cffffd24d随机锦囊卡|r。|n|n|Cff00ff7f掉落时激活的星宿越多，人品越好 |r     </v>
      </c>
      <c r="J111" s="118" t="str">
        <f t="shared" si="38"/>
        <v>幸运星盒</v>
      </c>
      <c r="K111" s="118" t="str">
        <f t="shared" si="39"/>
        <v>开启后获得|Cffffd24d42~700木头|r或|Cffffd24d随机锦囊卡|r。|n|n|Cff00ff7f掉落时激活的星宿越多，人品越好 |r     </v>
      </c>
      <c r="L111" s="7"/>
      <c r="M111" s="119" t="str">
        <f>VLOOKUP(LEFT(RIGHT(B111,5),4),装备!B:CU,20,FALSE)</f>
        <v>ReplaceableTextures\\CommandButtons\\BTNIND1.blp</v>
      </c>
      <c r="N111" s="136" t="s">
        <v>83</v>
      </c>
      <c r="O111" s="119" t="s">
        <v>88</v>
      </c>
      <c r="P111" s="7">
        <v>0</v>
      </c>
      <c r="Q111" s="7">
        <v>0</v>
      </c>
      <c r="R111" s="136" t="s">
        <v>83</v>
      </c>
      <c r="S111" s="136" t="s">
        <v>83</v>
      </c>
      <c r="T111" s="136" t="s">
        <v>83</v>
      </c>
      <c r="U111" s="136" t="s">
        <v>83</v>
      </c>
      <c r="V111" s="7"/>
      <c r="W111" s="7" t="s">
        <v>89</v>
      </c>
      <c r="X111" s="7">
        <v>0</v>
      </c>
      <c r="Y111" s="136" t="s">
        <v>83</v>
      </c>
      <c r="Z111" s="7">
        <v>0</v>
      </c>
      <c r="AA111" s="7">
        <v>0</v>
      </c>
      <c r="AB111" s="7">
        <v>0</v>
      </c>
      <c r="AC111" s="7">
        <v>1</v>
      </c>
      <c r="AD111" s="7">
        <v>1</v>
      </c>
      <c r="AE111" s="136" t="s">
        <v>83</v>
      </c>
      <c r="AF111" s="136" t="s">
        <v>83</v>
      </c>
      <c r="AG111" s="136" t="s">
        <v>83</v>
      </c>
      <c r="AH111" s="136" t="s">
        <v>83</v>
      </c>
      <c r="AI111" s="7"/>
      <c r="AJ111" s="7"/>
      <c r="AK111" s="7">
        <v>1</v>
      </c>
      <c r="AL111" s="7">
        <v>1</v>
      </c>
      <c r="AM111" s="136" t="s">
        <v>83</v>
      </c>
      <c r="AN111" s="7">
        <v>1</v>
      </c>
      <c r="AO111" s="7">
        <v>1</v>
      </c>
      <c r="AP111" s="7">
        <v>1</v>
      </c>
    </row>
    <row r="112" spans="1:42">
      <c r="A112" s="116"/>
      <c r="B112" s="7" t="str">
        <f>装备!B112</f>
        <v>INDK</v>
      </c>
      <c r="C112" s="7" t="s">
        <v>41</v>
      </c>
      <c r="D112" s="7" t="s">
        <v>81</v>
      </c>
      <c r="E112" s="7" t="s">
        <v>82</v>
      </c>
      <c r="F112" s="7"/>
      <c r="G112" s="7"/>
      <c r="H112" s="7" t="str">
        <f>VLOOKUP(LEFT(RIGHT(B112,5),4),装备!B:CU,2,FALSE)</f>
        <v>幸运星盒</v>
      </c>
      <c r="I112" s="7" t="str">
        <f>VLOOKUP(B112,装备!B:CV,99,FALSE)</f>
        <v>开启后获得|Cffffd24d42~700木头|r或|Cffffd24d随机锦囊卡|r。|n|n|Cff00ff7f掉落时激活的星宿越多，人品越好 |r     </v>
      </c>
      <c r="J112" s="118" t="str">
        <f t="shared" si="38"/>
        <v>幸运星盒</v>
      </c>
      <c r="K112" s="118" t="str">
        <f t="shared" si="39"/>
        <v>开启后获得|Cffffd24d42~700木头|r或|Cffffd24d随机锦囊卡|r。|n|n|Cff00ff7f掉落时激活的星宿越多，人品越好 |r     </v>
      </c>
      <c r="L112" s="7"/>
      <c r="M112" s="119" t="str">
        <f>VLOOKUP(LEFT(RIGHT(B112,5),4),装备!B:CU,20,FALSE)</f>
        <v>ReplaceableTextures\\CommandButtons\\BTNIND1.blp</v>
      </c>
      <c r="N112" s="136" t="s">
        <v>83</v>
      </c>
      <c r="O112" s="119" t="s">
        <v>88</v>
      </c>
      <c r="P112" s="7">
        <v>0</v>
      </c>
      <c r="Q112" s="7">
        <v>0</v>
      </c>
      <c r="R112" s="136" t="s">
        <v>83</v>
      </c>
      <c r="S112" s="136" t="s">
        <v>83</v>
      </c>
      <c r="T112" s="136" t="s">
        <v>83</v>
      </c>
      <c r="U112" s="136" t="s">
        <v>83</v>
      </c>
      <c r="V112" s="7"/>
      <c r="W112" s="7" t="s">
        <v>89</v>
      </c>
      <c r="X112" s="7">
        <v>0</v>
      </c>
      <c r="Y112" s="136" t="s">
        <v>83</v>
      </c>
      <c r="Z112" s="7">
        <v>0</v>
      </c>
      <c r="AA112" s="7">
        <v>0</v>
      </c>
      <c r="AB112" s="7">
        <v>0</v>
      </c>
      <c r="AC112" s="7">
        <v>1</v>
      </c>
      <c r="AD112" s="7">
        <v>1</v>
      </c>
      <c r="AE112" s="136" t="s">
        <v>83</v>
      </c>
      <c r="AF112" s="136" t="s">
        <v>83</v>
      </c>
      <c r="AG112" s="136" t="s">
        <v>83</v>
      </c>
      <c r="AH112" s="136" t="s">
        <v>83</v>
      </c>
      <c r="AI112" s="7"/>
      <c r="AJ112" s="7"/>
      <c r="AK112" s="7">
        <v>1</v>
      </c>
      <c r="AL112" s="7">
        <v>1</v>
      </c>
      <c r="AM112" s="136" t="s">
        <v>83</v>
      </c>
      <c r="AN112" s="7">
        <v>1</v>
      </c>
      <c r="AO112" s="7">
        <v>1</v>
      </c>
      <c r="AP112" s="7">
        <v>1</v>
      </c>
    </row>
    <row r="113" spans="1:42">
      <c r="A113" s="116"/>
      <c r="B113" s="7" t="str">
        <f>装备!B113</f>
        <v>INDL</v>
      </c>
      <c r="C113" s="7" t="s">
        <v>41</v>
      </c>
      <c r="D113" s="7" t="s">
        <v>81</v>
      </c>
      <c r="E113" s="7" t="s">
        <v>82</v>
      </c>
      <c r="F113" s="7"/>
      <c r="G113" s="7"/>
      <c r="H113" s="7" t="str">
        <f>VLOOKUP(LEFT(RIGHT(B113,5),4),装备!B:CU,2,FALSE)</f>
        <v>炽星魔盒</v>
      </c>
      <c r="I113" s="7" t="str">
        <f>VLOOKUP(B113,装备!B:CV,99,FALSE)</f>
        <v>开启后随机获得一张|Cffffd24d锦囊卡|r</v>
      </c>
      <c r="J113" s="118" t="str">
        <f t="shared" si="38"/>
        <v>炽星魔盒</v>
      </c>
      <c r="K113" s="118" t="str">
        <f t="shared" si="39"/>
        <v>开启后随机获得一张|Cffffd24d锦囊卡|r</v>
      </c>
      <c r="L113" s="7"/>
      <c r="M113" s="119" t="str">
        <f>VLOOKUP(LEFT(RIGHT(B113,5),4),装备!B:CU,20,FALSE)</f>
        <v>ReplaceableTextures\\CommandButtons\\BTNIND2.blp</v>
      </c>
      <c r="N113" s="136" t="s">
        <v>83</v>
      </c>
      <c r="O113" s="119" t="s">
        <v>88</v>
      </c>
      <c r="P113" s="7">
        <v>0</v>
      </c>
      <c r="Q113" s="7">
        <v>0</v>
      </c>
      <c r="R113" s="136" t="s">
        <v>83</v>
      </c>
      <c r="S113" s="136" t="s">
        <v>83</v>
      </c>
      <c r="T113" s="136" t="s">
        <v>83</v>
      </c>
      <c r="U113" s="136" t="s">
        <v>83</v>
      </c>
      <c r="V113" s="7"/>
      <c r="W113" s="7" t="s">
        <v>89</v>
      </c>
      <c r="X113" s="7">
        <v>0</v>
      </c>
      <c r="Y113" s="136" t="s">
        <v>83</v>
      </c>
      <c r="Z113" s="7">
        <v>0</v>
      </c>
      <c r="AA113" s="7">
        <v>0</v>
      </c>
      <c r="AB113" s="7">
        <v>0</v>
      </c>
      <c r="AC113" s="7">
        <v>1</v>
      </c>
      <c r="AD113" s="7">
        <v>1</v>
      </c>
      <c r="AE113" s="136" t="s">
        <v>83</v>
      </c>
      <c r="AF113" s="136" t="s">
        <v>83</v>
      </c>
      <c r="AG113" s="136" t="s">
        <v>83</v>
      </c>
      <c r="AH113" s="136" t="s">
        <v>83</v>
      </c>
      <c r="AI113" s="7"/>
      <c r="AJ113" s="7"/>
      <c r="AK113" s="7">
        <v>1</v>
      </c>
      <c r="AL113" s="7">
        <v>1</v>
      </c>
      <c r="AM113" s="136" t="s">
        <v>83</v>
      </c>
      <c r="AN113" s="7">
        <v>1</v>
      </c>
      <c r="AO113" s="7">
        <v>1</v>
      </c>
      <c r="AP113" s="7">
        <v>1</v>
      </c>
    </row>
    <row r="114" spans="1:42">
      <c r="A114" s="116"/>
      <c r="B114" s="7" t="str">
        <f>装备!B114</f>
        <v>INDM</v>
      </c>
      <c r="C114" s="7" t="s">
        <v>41</v>
      </c>
      <c r="D114" s="7" t="s">
        <v>81</v>
      </c>
      <c r="E114" s="7" t="s">
        <v>82</v>
      </c>
      <c r="F114" s="7"/>
      <c r="G114" s="7"/>
      <c r="H114" s="7" t="str">
        <f>VLOOKUP(LEFT(RIGHT(B114,5),4),装备!B:CU,2,FALSE)</f>
        <v>幸运星盒</v>
      </c>
      <c r="I114" s="7" t="str">
        <f>VLOOKUP(B114,装备!B:CV,99,FALSE)</f>
        <v>开启后获得|Cffffd24d42~700木头|r或|Cffffd24d随机锦囊卡|r。|n|n|Cff00ff7f掉落时激活的星宿越多，人品越好 |r     </v>
      </c>
      <c r="J114" s="118" t="str">
        <f t="shared" si="38"/>
        <v>幸运星盒</v>
      </c>
      <c r="K114" s="118" t="str">
        <f t="shared" si="39"/>
        <v>开启后获得|Cffffd24d42~700木头|r或|Cffffd24d随机锦囊卡|r。|n|n|Cff00ff7f掉落时激活的星宿越多，人品越好 |r     </v>
      </c>
      <c r="L114" s="7"/>
      <c r="M114" s="119" t="str">
        <f>VLOOKUP(LEFT(RIGHT(B114,5),4),装备!B:CU,20,FALSE)</f>
        <v>ReplaceableTextures\\CommandButtons\\BTNIND1.blp</v>
      </c>
      <c r="N114" s="136" t="s">
        <v>83</v>
      </c>
      <c r="O114" s="119" t="s">
        <v>88</v>
      </c>
      <c r="P114" s="7">
        <v>0</v>
      </c>
      <c r="Q114" s="7">
        <v>0</v>
      </c>
      <c r="R114" s="136" t="s">
        <v>83</v>
      </c>
      <c r="S114" s="136" t="s">
        <v>83</v>
      </c>
      <c r="T114" s="136" t="s">
        <v>83</v>
      </c>
      <c r="U114" s="136" t="s">
        <v>83</v>
      </c>
      <c r="V114" s="7"/>
      <c r="W114" s="7" t="s">
        <v>89</v>
      </c>
      <c r="X114" s="7">
        <v>0</v>
      </c>
      <c r="Y114" s="136" t="s">
        <v>83</v>
      </c>
      <c r="Z114" s="7">
        <v>0</v>
      </c>
      <c r="AA114" s="7">
        <v>0</v>
      </c>
      <c r="AB114" s="7">
        <v>0</v>
      </c>
      <c r="AC114" s="7">
        <v>1</v>
      </c>
      <c r="AD114" s="7">
        <v>1</v>
      </c>
      <c r="AE114" s="136" t="s">
        <v>83</v>
      </c>
      <c r="AF114" s="136" t="s">
        <v>83</v>
      </c>
      <c r="AG114" s="136" t="s">
        <v>83</v>
      </c>
      <c r="AH114" s="136" t="s">
        <v>83</v>
      </c>
      <c r="AI114" s="7"/>
      <c r="AJ114" s="7"/>
      <c r="AK114" s="7">
        <v>1</v>
      </c>
      <c r="AL114" s="7">
        <v>1</v>
      </c>
      <c r="AM114" s="136" t="s">
        <v>83</v>
      </c>
      <c r="AN114" s="7">
        <v>1</v>
      </c>
      <c r="AO114" s="7">
        <v>1</v>
      </c>
      <c r="AP114" s="7">
        <v>1</v>
      </c>
    </row>
    <row r="115" spans="1:42">
      <c r="A115" s="116"/>
      <c r="B115" s="7" t="str">
        <f>装备!B115</f>
        <v>INDN</v>
      </c>
      <c r="C115" s="7" t="s">
        <v>41</v>
      </c>
      <c r="D115" s="7" t="s">
        <v>81</v>
      </c>
      <c r="E115" s="7" t="s">
        <v>82</v>
      </c>
      <c r="F115" s="7"/>
      <c r="G115" s="7"/>
      <c r="H115" s="7" t="str">
        <f>VLOOKUP(LEFT(RIGHT(B115,5),4),装备!B:CU,2,FALSE)</f>
        <v>幸运星盒</v>
      </c>
      <c r="I115" s="7" t="str">
        <f>VLOOKUP(B115,装备!B:CV,99,FALSE)</f>
        <v>开启后获得|Cffffd24d42~700木头|r或|Cffffd24d随机锦囊卡|r。|n|n|Cff00ff7f掉落时激活的星宿越多，人品越好 |r     </v>
      </c>
      <c r="J115" s="118" t="str">
        <f t="shared" si="38"/>
        <v>幸运星盒</v>
      </c>
      <c r="K115" s="118" t="str">
        <f t="shared" si="39"/>
        <v>开启后获得|Cffffd24d42~700木头|r或|Cffffd24d随机锦囊卡|r。|n|n|Cff00ff7f掉落时激活的星宿越多，人品越好 |r     </v>
      </c>
      <c r="L115" s="7"/>
      <c r="M115" s="119" t="str">
        <f>VLOOKUP(LEFT(RIGHT(B115,5),4),装备!B:CU,20,FALSE)</f>
        <v>ReplaceableTextures\\CommandButtons\\BTNIND1.blp</v>
      </c>
      <c r="N115" s="136" t="s">
        <v>83</v>
      </c>
      <c r="O115" s="119" t="s">
        <v>88</v>
      </c>
      <c r="P115" s="7">
        <v>0</v>
      </c>
      <c r="Q115" s="7">
        <v>0</v>
      </c>
      <c r="R115" s="136" t="s">
        <v>83</v>
      </c>
      <c r="S115" s="136" t="s">
        <v>83</v>
      </c>
      <c r="T115" s="136" t="s">
        <v>83</v>
      </c>
      <c r="U115" s="136" t="s">
        <v>83</v>
      </c>
      <c r="V115" s="7"/>
      <c r="W115" s="7" t="s">
        <v>89</v>
      </c>
      <c r="X115" s="7">
        <v>0</v>
      </c>
      <c r="Y115" s="136" t="s">
        <v>83</v>
      </c>
      <c r="Z115" s="7">
        <v>0</v>
      </c>
      <c r="AA115" s="7">
        <v>0</v>
      </c>
      <c r="AB115" s="7">
        <v>0</v>
      </c>
      <c r="AC115" s="7">
        <v>1</v>
      </c>
      <c r="AD115" s="7">
        <v>1</v>
      </c>
      <c r="AE115" s="136" t="s">
        <v>83</v>
      </c>
      <c r="AF115" s="136" t="s">
        <v>83</v>
      </c>
      <c r="AG115" s="136" t="s">
        <v>83</v>
      </c>
      <c r="AH115" s="136" t="s">
        <v>83</v>
      </c>
      <c r="AI115" s="7"/>
      <c r="AJ115" s="7"/>
      <c r="AK115" s="7">
        <v>1</v>
      </c>
      <c r="AL115" s="7">
        <v>1</v>
      </c>
      <c r="AM115" s="136" t="s">
        <v>83</v>
      </c>
      <c r="AN115" s="7">
        <v>1</v>
      </c>
      <c r="AO115" s="7">
        <v>1</v>
      </c>
      <c r="AP115" s="7">
        <v>1</v>
      </c>
    </row>
    <row r="116" spans="1:42">
      <c r="A116" s="116"/>
      <c r="B116" s="7" t="str">
        <f>装备!B116</f>
        <v>INDO</v>
      </c>
      <c r="C116" s="7" t="s">
        <v>41</v>
      </c>
      <c r="D116" s="7" t="s">
        <v>81</v>
      </c>
      <c r="E116" s="7" t="s">
        <v>82</v>
      </c>
      <c r="F116" s="7"/>
      <c r="G116" s="7"/>
      <c r="H116" s="7" t="str">
        <f>VLOOKUP(LEFT(RIGHT(B116,5),4),装备!B:CU,2,FALSE)</f>
        <v>幸运星盒</v>
      </c>
      <c r="I116" s="7" t="str">
        <f>VLOOKUP(B116,装备!B:CV,99,FALSE)</f>
        <v>开启后获得|Cffffd24d42~700木头|r或|Cffffd24d随机锦囊卡|r。|n|n|Cff00ff7f掉落时激活的星宿越多，人品越好 |r     </v>
      </c>
      <c r="J116" s="118" t="str">
        <f t="shared" si="38"/>
        <v>幸运星盒</v>
      </c>
      <c r="K116" s="118" t="str">
        <f t="shared" si="39"/>
        <v>开启后获得|Cffffd24d42~700木头|r或|Cffffd24d随机锦囊卡|r。|n|n|Cff00ff7f掉落时激活的星宿越多，人品越好 |r     </v>
      </c>
      <c r="L116" s="7"/>
      <c r="M116" s="119" t="str">
        <f>VLOOKUP(LEFT(RIGHT(B116,5),4),装备!B:CU,20,FALSE)</f>
        <v>ReplaceableTextures\\CommandButtons\\BTNIND1.blp</v>
      </c>
      <c r="N116" s="136" t="s">
        <v>83</v>
      </c>
      <c r="O116" s="119" t="s">
        <v>88</v>
      </c>
      <c r="P116" s="7">
        <v>0</v>
      </c>
      <c r="Q116" s="7">
        <v>0</v>
      </c>
      <c r="R116" s="136" t="s">
        <v>83</v>
      </c>
      <c r="S116" s="136" t="s">
        <v>83</v>
      </c>
      <c r="T116" s="136" t="s">
        <v>83</v>
      </c>
      <c r="U116" s="136" t="s">
        <v>83</v>
      </c>
      <c r="V116" s="7"/>
      <c r="W116" s="7" t="s">
        <v>89</v>
      </c>
      <c r="X116" s="7">
        <v>0</v>
      </c>
      <c r="Y116" s="136" t="s">
        <v>83</v>
      </c>
      <c r="Z116" s="7">
        <v>0</v>
      </c>
      <c r="AA116" s="7">
        <v>0</v>
      </c>
      <c r="AB116" s="7">
        <v>0</v>
      </c>
      <c r="AC116" s="7">
        <v>1</v>
      </c>
      <c r="AD116" s="7">
        <v>1</v>
      </c>
      <c r="AE116" s="136" t="s">
        <v>83</v>
      </c>
      <c r="AF116" s="136" t="s">
        <v>83</v>
      </c>
      <c r="AG116" s="136" t="s">
        <v>83</v>
      </c>
      <c r="AH116" s="136" t="s">
        <v>83</v>
      </c>
      <c r="AI116" s="7"/>
      <c r="AJ116" s="7"/>
      <c r="AK116" s="7">
        <v>1</v>
      </c>
      <c r="AL116" s="7">
        <v>1</v>
      </c>
      <c r="AM116" s="136" t="s">
        <v>83</v>
      </c>
      <c r="AN116" s="7">
        <v>1</v>
      </c>
      <c r="AO116" s="7">
        <v>1</v>
      </c>
      <c r="AP116" s="7">
        <v>1</v>
      </c>
    </row>
    <row r="117" spans="1:42">
      <c r="A117" s="116"/>
      <c r="B117" s="7" t="str">
        <f>装备!B117</f>
        <v>INDP</v>
      </c>
      <c r="C117" s="7" t="s">
        <v>41</v>
      </c>
      <c r="D117" s="7" t="s">
        <v>81</v>
      </c>
      <c r="E117" s="7" t="s">
        <v>82</v>
      </c>
      <c r="F117" s="7"/>
      <c r="G117" s="7"/>
      <c r="H117" s="7" t="str">
        <f>VLOOKUP(LEFT(RIGHT(B117,5),4),装备!B:CU,2,FALSE)</f>
        <v>幸运星盒</v>
      </c>
      <c r="I117" s="7" t="str">
        <f>VLOOKUP(B117,装备!B:CV,99,FALSE)</f>
        <v>开启后获得|Cffffd24d42~700木头|r或|Cffffd24d随机锦囊卡|r。|n|n|Cff00ff7f掉落时激活的星宿越多，人品越好 |r     </v>
      </c>
      <c r="J117" s="118" t="str">
        <f t="shared" si="38"/>
        <v>幸运星盒</v>
      </c>
      <c r="K117" s="118" t="str">
        <f t="shared" si="39"/>
        <v>开启后获得|Cffffd24d42~700木头|r或|Cffffd24d随机锦囊卡|r。|n|n|Cff00ff7f掉落时激活的星宿越多，人品越好 |r     </v>
      </c>
      <c r="L117" s="7"/>
      <c r="M117" s="119" t="str">
        <f>VLOOKUP(LEFT(RIGHT(B117,5),4),装备!B:CU,20,FALSE)</f>
        <v>ReplaceableTextures\\CommandButtons\\BTNIND1.blp</v>
      </c>
      <c r="N117" s="136" t="s">
        <v>83</v>
      </c>
      <c r="O117" s="119" t="s">
        <v>88</v>
      </c>
      <c r="P117" s="7">
        <v>0</v>
      </c>
      <c r="Q117" s="7">
        <v>0</v>
      </c>
      <c r="R117" s="136" t="s">
        <v>83</v>
      </c>
      <c r="S117" s="136" t="s">
        <v>83</v>
      </c>
      <c r="T117" s="136" t="s">
        <v>83</v>
      </c>
      <c r="U117" s="136" t="s">
        <v>83</v>
      </c>
      <c r="V117" s="7"/>
      <c r="W117" s="7" t="s">
        <v>89</v>
      </c>
      <c r="X117" s="7">
        <v>0</v>
      </c>
      <c r="Y117" s="136" t="s">
        <v>83</v>
      </c>
      <c r="Z117" s="7">
        <v>0</v>
      </c>
      <c r="AA117" s="7">
        <v>0</v>
      </c>
      <c r="AB117" s="7">
        <v>0</v>
      </c>
      <c r="AC117" s="7">
        <v>1</v>
      </c>
      <c r="AD117" s="7">
        <v>1</v>
      </c>
      <c r="AE117" s="136" t="s">
        <v>83</v>
      </c>
      <c r="AF117" s="136" t="s">
        <v>83</v>
      </c>
      <c r="AG117" s="136" t="s">
        <v>83</v>
      </c>
      <c r="AH117" s="136" t="s">
        <v>83</v>
      </c>
      <c r="AI117" s="7"/>
      <c r="AJ117" s="7"/>
      <c r="AK117" s="7">
        <v>1</v>
      </c>
      <c r="AL117" s="7">
        <v>1</v>
      </c>
      <c r="AM117" s="136" t="s">
        <v>83</v>
      </c>
      <c r="AN117" s="7">
        <v>1</v>
      </c>
      <c r="AO117" s="7">
        <v>1</v>
      </c>
      <c r="AP117" s="7">
        <v>1</v>
      </c>
    </row>
    <row r="118" spans="1:42">
      <c r="A118" s="116"/>
      <c r="B118" s="7" t="str">
        <f>装备!B118</f>
        <v>INDQ</v>
      </c>
      <c r="C118" s="7" t="s">
        <v>41</v>
      </c>
      <c r="D118" s="7" t="s">
        <v>81</v>
      </c>
      <c r="E118" s="7" t="s">
        <v>82</v>
      </c>
      <c r="F118" s="7"/>
      <c r="G118" s="7"/>
      <c r="H118" s="7" t="str">
        <f>VLOOKUP(LEFT(RIGHT(B118,5),4),装备!B:CU,2,FALSE)</f>
        <v>幸运星盒</v>
      </c>
      <c r="I118" s="7" t="str">
        <f>VLOOKUP(B118,装备!B:CV,99,FALSE)</f>
        <v>开启后获得|Cffffd24d42~700木头|r或|Cffffd24d随机锦囊卡|r。|n|n|Cff00ff7f掉落时激活的星宿越多，人品越好 |r     </v>
      </c>
      <c r="J118" s="118" t="str">
        <f t="shared" si="36"/>
        <v>幸运星盒</v>
      </c>
      <c r="K118" s="118" t="str">
        <f t="shared" si="37"/>
        <v>开启后获得|Cffffd24d42~700木头|r或|Cffffd24d随机锦囊卡|r。|n|n|Cff00ff7f掉落时激活的星宿越多，人品越好 |r     </v>
      </c>
      <c r="L118" s="7"/>
      <c r="M118" s="119" t="str">
        <f>VLOOKUP(LEFT(RIGHT(B118,5),4),装备!B:CU,20,FALSE)</f>
        <v>ReplaceableTextures\\CommandButtons\\BTNIND1.blp</v>
      </c>
      <c r="N118" s="136" t="s">
        <v>83</v>
      </c>
      <c r="O118" s="119" t="s">
        <v>88</v>
      </c>
      <c r="P118" s="7">
        <v>0</v>
      </c>
      <c r="Q118" s="7">
        <v>0</v>
      </c>
      <c r="R118" s="136" t="s">
        <v>83</v>
      </c>
      <c r="S118" s="136" t="s">
        <v>83</v>
      </c>
      <c r="T118" s="136" t="s">
        <v>83</v>
      </c>
      <c r="U118" s="136" t="s">
        <v>83</v>
      </c>
      <c r="V118" s="7"/>
      <c r="W118" s="7" t="s">
        <v>89</v>
      </c>
      <c r="X118" s="7">
        <v>0</v>
      </c>
      <c r="Y118" s="136" t="s">
        <v>83</v>
      </c>
      <c r="Z118" s="7">
        <v>0</v>
      </c>
      <c r="AA118" s="7">
        <v>0</v>
      </c>
      <c r="AB118" s="7">
        <v>0</v>
      </c>
      <c r="AC118" s="7">
        <v>1</v>
      </c>
      <c r="AD118" s="7">
        <v>1</v>
      </c>
      <c r="AE118" s="136" t="s">
        <v>83</v>
      </c>
      <c r="AF118" s="136" t="s">
        <v>83</v>
      </c>
      <c r="AG118" s="136" t="s">
        <v>83</v>
      </c>
      <c r="AH118" s="136" t="s">
        <v>83</v>
      </c>
      <c r="AI118" s="7"/>
      <c r="AJ118" s="7"/>
      <c r="AK118" s="7">
        <v>1</v>
      </c>
      <c r="AL118" s="7">
        <v>1</v>
      </c>
      <c r="AM118" s="136" t="s">
        <v>83</v>
      </c>
      <c r="AN118" s="7">
        <v>1</v>
      </c>
      <c r="AO118" s="7">
        <v>1</v>
      </c>
      <c r="AP118" s="7">
        <v>1</v>
      </c>
    </row>
    <row r="119" spans="1:42">
      <c r="A119" s="116"/>
      <c r="B119" s="7" t="str">
        <f>装备!B119</f>
        <v>INDR</v>
      </c>
      <c r="C119" s="7" t="s">
        <v>41</v>
      </c>
      <c r="D119" s="7" t="s">
        <v>81</v>
      </c>
      <c r="E119" s="7" t="s">
        <v>82</v>
      </c>
      <c r="F119" s="7"/>
      <c r="G119" s="7"/>
      <c r="H119" s="7" t="str">
        <f>VLOOKUP(LEFT(RIGHT(B119,5),4),装备!B:CU,2,FALSE)</f>
        <v>炽星魔盒</v>
      </c>
      <c r="I119" s="7" t="str">
        <f>VLOOKUP(B119,装备!B:CV,99,FALSE)</f>
        <v>开启后随机获得一张|Cffffd24d锦囊卡|r</v>
      </c>
      <c r="J119" s="118" t="str">
        <f t="shared" si="36"/>
        <v>炽星魔盒</v>
      </c>
      <c r="K119" s="118" t="str">
        <f t="shared" si="37"/>
        <v>开启后随机获得一张|Cffffd24d锦囊卡|r</v>
      </c>
      <c r="L119" s="7"/>
      <c r="M119" s="119" t="str">
        <f>VLOOKUP(LEFT(RIGHT(B119,5),4),装备!B:CU,20,FALSE)</f>
        <v>ReplaceableTextures\\CommandButtons\\BTNIND2.blp</v>
      </c>
      <c r="N119" s="136" t="s">
        <v>83</v>
      </c>
      <c r="O119" s="119" t="s">
        <v>88</v>
      </c>
      <c r="P119" s="7">
        <v>0</v>
      </c>
      <c r="Q119" s="7">
        <v>0</v>
      </c>
      <c r="R119" s="136" t="s">
        <v>83</v>
      </c>
      <c r="S119" s="136" t="s">
        <v>83</v>
      </c>
      <c r="T119" s="136" t="s">
        <v>83</v>
      </c>
      <c r="U119" s="136" t="s">
        <v>83</v>
      </c>
      <c r="V119" s="7"/>
      <c r="W119" s="7" t="s">
        <v>89</v>
      </c>
      <c r="X119" s="7">
        <v>0</v>
      </c>
      <c r="Y119" s="136" t="s">
        <v>83</v>
      </c>
      <c r="Z119" s="7">
        <v>0</v>
      </c>
      <c r="AA119" s="7">
        <v>0</v>
      </c>
      <c r="AB119" s="7">
        <v>0</v>
      </c>
      <c r="AC119" s="7">
        <v>1</v>
      </c>
      <c r="AD119" s="7">
        <v>1</v>
      </c>
      <c r="AE119" s="136" t="s">
        <v>83</v>
      </c>
      <c r="AF119" s="136" t="s">
        <v>83</v>
      </c>
      <c r="AG119" s="136" t="s">
        <v>83</v>
      </c>
      <c r="AH119" s="136" t="s">
        <v>83</v>
      </c>
      <c r="AI119" s="7"/>
      <c r="AJ119" s="7"/>
      <c r="AK119" s="7">
        <v>1</v>
      </c>
      <c r="AL119" s="7">
        <v>1</v>
      </c>
      <c r="AM119" s="136" t="s">
        <v>83</v>
      </c>
      <c r="AN119" s="7">
        <v>1</v>
      </c>
      <c r="AO119" s="7">
        <v>1</v>
      </c>
      <c r="AP119" s="7">
        <v>1</v>
      </c>
    </row>
    <row r="120" spans="1:42">
      <c r="A120" s="116"/>
      <c r="B120" s="7" t="str">
        <f>装备!B120</f>
        <v>INDS</v>
      </c>
      <c r="C120" s="7" t="s">
        <v>41</v>
      </c>
      <c r="D120" s="7" t="s">
        <v>81</v>
      </c>
      <c r="E120" s="7" t="s">
        <v>82</v>
      </c>
      <c r="F120" s="7"/>
      <c r="G120" s="7"/>
      <c r="H120" s="7" t="str">
        <f>VLOOKUP(LEFT(RIGHT(B120,5),4),装备!B:CU,2,FALSE)</f>
        <v>幸运星盒</v>
      </c>
      <c r="I120" s="7" t="str">
        <f>VLOOKUP(B120,装备!B:CV,99,FALSE)</f>
        <v>开启后获得|Cffffd24d42~700木头|r或|Cffffd24d随机锦囊卡|r。|n|n|Cff00ff7f掉落时激活的星宿越多，人品越好 |r     </v>
      </c>
      <c r="J120" s="118" t="str">
        <f t="shared" ref="J120:J121" si="40">H120</f>
        <v>幸运星盒</v>
      </c>
      <c r="K120" s="118" t="str">
        <f t="shared" ref="K120:K121" si="41">I120</f>
        <v>开启后获得|Cffffd24d42~700木头|r或|Cffffd24d随机锦囊卡|r。|n|n|Cff00ff7f掉落时激活的星宿越多，人品越好 |r     </v>
      </c>
      <c r="L120" s="7"/>
      <c r="M120" s="119" t="str">
        <f>VLOOKUP(LEFT(RIGHT(B120,5),4),装备!B:CU,20,FALSE)</f>
        <v>ReplaceableTextures\\CommandButtons\\BTNIND1.blp</v>
      </c>
      <c r="N120" s="136" t="s">
        <v>83</v>
      </c>
      <c r="O120" s="119" t="s">
        <v>88</v>
      </c>
      <c r="P120" s="7">
        <v>0</v>
      </c>
      <c r="Q120" s="7">
        <v>0</v>
      </c>
      <c r="R120" s="136" t="s">
        <v>83</v>
      </c>
      <c r="S120" s="136" t="s">
        <v>83</v>
      </c>
      <c r="T120" s="136" t="s">
        <v>83</v>
      </c>
      <c r="U120" s="136" t="s">
        <v>83</v>
      </c>
      <c r="V120" s="7"/>
      <c r="W120" s="7" t="s">
        <v>89</v>
      </c>
      <c r="X120" s="7">
        <v>0</v>
      </c>
      <c r="Y120" s="136" t="s">
        <v>83</v>
      </c>
      <c r="Z120" s="7">
        <v>0</v>
      </c>
      <c r="AA120" s="7">
        <v>0</v>
      </c>
      <c r="AB120" s="7">
        <v>0</v>
      </c>
      <c r="AC120" s="7">
        <v>1</v>
      </c>
      <c r="AD120" s="7">
        <v>1</v>
      </c>
      <c r="AE120" s="136" t="s">
        <v>83</v>
      </c>
      <c r="AF120" s="136" t="s">
        <v>83</v>
      </c>
      <c r="AG120" s="136" t="s">
        <v>83</v>
      </c>
      <c r="AH120" s="136" t="s">
        <v>83</v>
      </c>
      <c r="AI120" s="7"/>
      <c r="AJ120" s="7"/>
      <c r="AK120" s="7">
        <v>1</v>
      </c>
      <c r="AL120" s="7">
        <v>1</v>
      </c>
      <c r="AM120" s="136" t="s">
        <v>83</v>
      </c>
      <c r="AN120" s="7">
        <v>1</v>
      </c>
      <c r="AO120" s="7">
        <v>1</v>
      </c>
      <c r="AP120" s="7">
        <v>1</v>
      </c>
    </row>
    <row r="121" spans="1:42">
      <c r="A121" s="116"/>
      <c r="B121" s="7" t="str">
        <f>装备!B121</f>
        <v>INDT</v>
      </c>
      <c r="C121" s="7" t="s">
        <v>41</v>
      </c>
      <c r="D121" s="7" t="s">
        <v>81</v>
      </c>
      <c r="E121" s="7" t="s">
        <v>82</v>
      </c>
      <c r="F121" s="7"/>
      <c r="G121" s="7"/>
      <c r="H121" s="7" t="str">
        <f>VLOOKUP(LEFT(RIGHT(B121,5),4),装备!B:CU,2,FALSE)</f>
        <v>幸运星盒</v>
      </c>
      <c r="I121" s="7" t="str">
        <f>VLOOKUP(B121,装备!B:CV,99,FALSE)</f>
        <v>开启后获得|Cffffd24d42~700木头|r或|Cffffd24d随机锦囊卡|r。|n|n|Cff00ff7f掉落时激活的星宿越多，人品越好 |r     </v>
      </c>
      <c r="J121" s="118" t="str">
        <f t="shared" si="40"/>
        <v>幸运星盒</v>
      </c>
      <c r="K121" s="118" t="str">
        <f t="shared" si="41"/>
        <v>开启后获得|Cffffd24d42~700木头|r或|Cffffd24d随机锦囊卡|r。|n|n|Cff00ff7f掉落时激活的星宿越多，人品越好 |r     </v>
      </c>
      <c r="L121" s="7"/>
      <c r="M121" s="119" t="str">
        <f>VLOOKUP(LEFT(RIGHT(B121,5),4),装备!B:CU,20,FALSE)</f>
        <v>ReplaceableTextures\\CommandButtons\\BTNIND1.blp</v>
      </c>
      <c r="N121" s="136" t="s">
        <v>83</v>
      </c>
      <c r="O121" s="119" t="s">
        <v>88</v>
      </c>
      <c r="P121" s="7">
        <v>0</v>
      </c>
      <c r="Q121" s="7">
        <v>0</v>
      </c>
      <c r="R121" s="136" t="s">
        <v>83</v>
      </c>
      <c r="S121" s="136" t="s">
        <v>83</v>
      </c>
      <c r="T121" s="136" t="s">
        <v>83</v>
      </c>
      <c r="U121" s="136" t="s">
        <v>83</v>
      </c>
      <c r="V121" s="7"/>
      <c r="W121" s="7" t="s">
        <v>89</v>
      </c>
      <c r="X121" s="7">
        <v>0</v>
      </c>
      <c r="Y121" s="136" t="s">
        <v>83</v>
      </c>
      <c r="Z121" s="7">
        <v>0</v>
      </c>
      <c r="AA121" s="7">
        <v>0</v>
      </c>
      <c r="AB121" s="7">
        <v>0</v>
      </c>
      <c r="AC121" s="7">
        <v>1</v>
      </c>
      <c r="AD121" s="7">
        <v>1</v>
      </c>
      <c r="AE121" s="136" t="s">
        <v>83</v>
      </c>
      <c r="AF121" s="136" t="s">
        <v>83</v>
      </c>
      <c r="AG121" s="136" t="s">
        <v>83</v>
      </c>
      <c r="AH121" s="136" t="s">
        <v>83</v>
      </c>
      <c r="AI121" s="7"/>
      <c r="AJ121" s="7"/>
      <c r="AK121" s="7">
        <v>1</v>
      </c>
      <c r="AL121" s="7">
        <v>1</v>
      </c>
      <c r="AM121" s="136" t="s">
        <v>83</v>
      </c>
      <c r="AN121" s="7">
        <v>1</v>
      </c>
      <c r="AO121" s="7">
        <v>1</v>
      </c>
      <c r="AP121" s="7">
        <v>1</v>
      </c>
    </row>
    <row r="122" spans="1:42">
      <c r="A122" s="116"/>
      <c r="B122" s="7" t="str">
        <f>装备!B122</f>
        <v>INDU</v>
      </c>
      <c r="C122" s="7" t="s">
        <v>41</v>
      </c>
      <c r="D122" s="7" t="s">
        <v>81</v>
      </c>
      <c r="E122" s="7" t="s">
        <v>82</v>
      </c>
      <c r="F122" s="7"/>
      <c r="G122" s="7"/>
      <c r="H122" s="7" t="str">
        <f>VLOOKUP(LEFT(RIGHT(B122,5),4),装备!B:CU,2,FALSE)</f>
        <v>幸运星盒</v>
      </c>
      <c r="I122" s="7" t="str">
        <f>VLOOKUP(B122,装备!B:CV,99,FALSE)</f>
        <v>开启后获得|Cffffd24d42~700木头|r或|Cffffd24d随机锦囊卡|r。|n|n|Cff00ff7f掉落时激活的星宿越多，人品越好 |r     </v>
      </c>
      <c r="J122" s="118" t="str">
        <f t="shared" ref="J122:J123" si="42">H122</f>
        <v>幸运星盒</v>
      </c>
      <c r="K122" s="118" t="str">
        <f t="shared" ref="K122:K123" si="43">I122</f>
        <v>开启后获得|Cffffd24d42~700木头|r或|Cffffd24d随机锦囊卡|r。|n|n|Cff00ff7f掉落时激活的星宿越多，人品越好 |r     </v>
      </c>
      <c r="L122" s="7"/>
      <c r="M122" s="119" t="str">
        <f>VLOOKUP(LEFT(RIGHT(B122,5),4),装备!B:CU,20,FALSE)</f>
        <v>ReplaceableTextures\\CommandButtons\\BTNIND1.blp</v>
      </c>
      <c r="N122" s="136" t="s">
        <v>83</v>
      </c>
      <c r="O122" s="119" t="s">
        <v>88</v>
      </c>
      <c r="P122" s="7">
        <v>0</v>
      </c>
      <c r="Q122" s="7">
        <v>0</v>
      </c>
      <c r="R122" s="136" t="s">
        <v>83</v>
      </c>
      <c r="S122" s="136" t="s">
        <v>83</v>
      </c>
      <c r="T122" s="136" t="s">
        <v>83</v>
      </c>
      <c r="U122" s="136" t="s">
        <v>83</v>
      </c>
      <c r="V122" s="7"/>
      <c r="W122" s="7" t="s">
        <v>89</v>
      </c>
      <c r="X122" s="7">
        <v>0</v>
      </c>
      <c r="Y122" s="136" t="s">
        <v>83</v>
      </c>
      <c r="Z122" s="7">
        <v>0</v>
      </c>
      <c r="AA122" s="7">
        <v>0</v>
      </c>
      <c r="AB122" s="7">
        <v>0</v>
      </c>
      <c r="AC122" s="7">
        <v>1</v>
      </c>
      <c r="AD122" s="7">
        <v>1</v>
      </c>
      <c r="AE122" s="136" t="s">
        <v>83</v>
      </c>
      <c r="AF122" s="136" t="s">
        <v>83</v>
      </c>
      <c r="AG122" s="136" t="s">
        <v>83</v>
      </c>
      <c r="AH122" s="136" t="s">
        <v>83</v>
      </c>
      <c r="AI122" s="7"/>
      <c r="AJ122" s="7"/>
      <c r="AK122" s="7">
        <v>1</v>
      </c>
      <c r="AL122" s="7">
        <v>1</v>
      </c>
      <c r="AM122" s="136" t="s">
        <v>83</v>
      </c>
      <c r="AN122" s="7">
        <v>1</v>
      </c>
      <c r="AO122" s="7">
        <v>1</v>
      </c>
      <c r="AP122" s="7">
        <v>1</v>
      </c>
    </row>
    <row r="123" spans="1:42">
      <c r="A123" s="116"/>
      <c r="B123" s="7" t="str">
        <f>装备!B123</f>
        <v>INDV</v>
      </c>
      <c r="C123" s="7" t="s">
        <v>41</v>
      </c>
      <c r="D123" s="7" t="s">
        <v>81</v>
      </c>
      <c r="E123" s="7" t="s">
        <v>82</v>
      </c>
      <c r="F123" s="7"/>
      <c r="G123" s="7"/>
      <c r="H123" s="7" t="str">
        <f>VLOOKUP(LEFT(RIGHT(B123,5),4),装备!B:CU,2,FALSE)</f>
        <v>幸运星盒</v>
      </c>
      <c r="I123" s="7" t="str">
        <f>VLOOKUP(B123,装备!B:CV,99,FALSE)</f>
        <v>开启后获得|Cffffd24d42~700木头|r或|Cffffd24d随机锦囊卡|r。|n|n|Cff00ff7f掉落时激活的星宿越多，人品越好 |r     </v>
      </c>
      <c r="J123" s="118" t="str">
        <f t="shared" si="42"/>
        <v>幸运星盒</v>
      </c>
      <c r="K123" s="118" t="str">
        <f t="shared" si="43"/>
        <v>开启后获得|Cffffd24d42~700木头|r或|Cffffd24d随机锦囊卡|r。|n|n|Cff00ff7f掉落时激活的星宿越多，人品越好 |r     </v>
      </c>
      <c r="L123" s="7"/>
      <c r="M123" s="119" t="str">
        <f>VLOOKUP(LEFT(RIGHT(B123,5),4),装备!B:CU,20,FALSE)</f>
        <v>ReplaceableTextures\\CommandButtons\\BTNIND1.blp</v>
      </c>
      <c r="N123" s="136" t="s">
        <v>83</v>
      </c>
      <c r="O123" s="119" t="s">
        <v>88</v>
      </c>
      <c r="P123" s="7">
        <v>0</v>
      </c>
      <c r="Q123" s="7">
        <v>0</v>
      </c>
      <c r="R123" s="136" t="s">
        <v>83</v>
      </c>
      <c r="S123" s="136" t="s">
        <v>83</v>
      </c>
      <c r="T123" s="136" t="s">
        <v>83</v>
      </c>
      <c r="U123" s="136" t="s">
        <v>83</v>
      </c>
      <c r="V123" s="7"/>
      <c r="W123" s="7" t="s">
        <v>89</v>
      </c>
      <c r="X123" s="7">
        <v>0</v>
      </c>
      <c r="Y123" s="136" t="s">
        <v>83</v>
      </c>
      <c r="Z123" s="7">
        <v>0</v>
      </c>
      <c r="AA123" s="7">
        <v>0</v>
      </c>
      <c r="AB123" s="7">
        <v>0</v>
      </c>
      <c r="AC123" s="7">
        <v>1</v>
      </c>
      <c r="AD123" s="7">
        <v>1</v>
      </c>
      <c r="AE123" s="136" t="s">
        <v>83</v>
      </c>
      <c r="AF123" s="136" t="s">
        <v>83</v>
      </c>
      <c r="AG123" s="136" t="s">
        <v>83</v>
      </c>
      <c r="AH123" s="136" t="s">
        <v>83</v>
      </c>
      <c r="AI123" s="7"/>
      <c r="AJ123" s="7"/>
      <c r="AK123" s="7">
        <v>1</v>
      </c>
      <c r="AL123" s="7">
        <v>1</v>
      </c>
      <c r="AM123" s="136" t="s">
        <v>83</v>
      </c>
      <c r="AN123" s="7">
        <v>1</v>
      </c>
      <c r="AO123" s="7">
        <v>1</v>
      </c>
      <c r="AP123" s="7">
        <v>1</v>
      </c>
    </row>
    <row r="124" spans="1:42">
      <c r="A124" s="116"/>
      <c r="B124" s="7" t="str">
        <f>装备!B124</f>
        <v>INDW</v>
      </c>
      <c r="C124" s="7" t="s">
        <v>41</v>
      </c>
      <c r="D124" s="7" t="s">
        <v>81</v>
      </c>
      <c r="E124" s="7" t="s">
        <v>82</v>
      </c>
      <c r="F124" s="7"/>
      <c r="G124" s="7"/>
      <c r="H124" s="7" t="str">
        <f>VLOOKUP(LEFT(RIGHT(B124,5),4),装备!B:CU,2,FALSE)</f>
        <v>幸运星盒</v>
      </c>
      <c r="I124" s="7" t="str">
        <f>VLOOKUP(B124,装备!B:CV,99,FALSE)</f>
        <v>开启后获得|Cffffd24d42~700木头|r或|Cffffd24d随机锦囊卡|r。|n|n|Cff00ff7f掉落时激活的星宿越多，人品越好 |r     </v>
      </c>
      <c r="J124" s="118" t="str">
        <f t="shared" si="36"/>
        <v>幸运星盒</v>
      </c>
      <c r="K124" s="118" t="str">
        <f t="shared" si="37"/>
        <v>开启后获得|Cffffd24d42~700木头|r或|Cffffd24d随机锦囊卡|r。|n|n|Cff00ff7f掉落时激活的星宿越多，人品越好 |r     </v>
      </c>
      <c r="L124" s="7"/>
      <c r="M124" s="119" t="str">
        <f>VLOOKUP(LEFT(RIGHT(B124,5),4),装备!B:CU,20,FALSE)</f>
        <v>ReplaceableTextures\\CommandButtons\\BTNIND1.blp</v>
      </c>
      <c r="N124" s="136" t="s">
        <v>83</v>
      </c>
      <c r="O124" s="119" t="s">
        <v>88</v>
      </c>
      <c r="P124" s="7">
        <v>0</v>
      </c>
      <c r="Q124" s="7">
        <v>0</v>
      </c>
      <c r="R124" s="136" t="s">
        <v>83</v>
      </c>
      <c r="S124" s="136" t="s">
        <v>83</v>
      </c>
      <c r="T124" s="136" t="s">
        <v>83</v>
      </c>
      <c r="U124" s="136" t="s">
        <v>83</v>
      </c>
      <c r="V124" s="7"/>
      <c r="W124" s="7" t="s">
        <v>89</v>
      </c>
      <c r="X124" s="7">
        <v>0</v>
      </c>
      <c r="Y124" s="136" t="s">
        <v>83</v>
      </c>
      <c r="Z124" s="7">
        <v>0</v>
      </c>
      <c r="AA124" s="7">
        <v>0</v>
      </c>
      <c r="AB124" s="7">
        <v>0</v>
      </c>
      <c r="AC124" s="7">
        <v>1</v>
      </c>
      <c r="AD124" s="7">
        <v>1</v>
      </c>
      <c r="AE124" s="136" t="s">
        <v>83</v>
      </c>
      <c r="AF124" s="136" t="s">
        <v>83</v>
      </c>
      <c r="AG124" s="136" t="s">
        <v>83</v>
      </c>
      <c r="AH124" s="136" t="s">
        <v>83</v>
      </c>
      <c r="AI124" s="7"/>
      <c r="AJ124" s="7"/>
      <c r="AK124" s="7">
        <v>1</v>
      </c>
      <c r="AL124" s="7">
        <v>1</v>
      </c>
      <c r="AM124" s="136" t="s">
        <v>83</v>
      </c>
      <c r="AN124" s="7">
        <v>1</v>
      </c>
      <c r="AO124" s="7">
        <v>1</v>
      </c>
      <c r="AP124" s="7">
        <v>1</v>
      </c>
    </row>
    <row r="125" spans="1:42">
      <c r="A125" s="116"/>
      <c r="B125" s="7" t="str">
        <f>装备!B125</f>
        <v>INDX</v>
      </c>
      <c r="C125" s="7" t="s">
        <v>41</v>
      </c>
      <c r="D125" s="7" t="s">
        <v>81</v>
      </c>
      <c r="E125" s="7" t="s">
        <v>82</v>
      </c>
      <c r="F125" s="7"/>
      <c r="G125" s="7"/>
      <c r="H125" s="7" t="str">
        <f>VLOOKUP(LEFT(RIGHT(B125,5),4),装备!B:CU,2,FALSE)</f>
        <v>炽星魔盒</v>
      </c>
      <c r="I125" s="7" t="str">
        <f>VLOOKUP(B125,装备!B:CV,99,FALSE)</f>
        <v>开启后随机获得一张|Cffffd24d锦囊卡|r</v>
      </c>
      <c r="J125" s="118" t="str">
        <f t="shared" ref="J125" si="44">H125</f>
        <v>炽星魔盒</v>
      </c>
      <c r="K125" s="118" t="str">
        <f t="shared" ref="K125" si="45">I125</f>
        <v>开启后随机获得一张|Cffffd24d锦囊卡|r</v>
      </c>
      <c r="L125" s="7"/>
      <c r="M125" s="119" t="str">
        <f>VLOOKUP(LEFT(RIGHT(B125,5),4),装备!B:CU,20,FALSE)</f>
        <v>ReplaceableTextures\\CommandButtons\\BTNIND2.blp</v>
      </c>
      <c r="N125" s="136" t="s">
        <v>83</v>
      </c>
      <c r="O125" s="119" t="s">
        <v>88</v>
      </c>
      <c r="P125" s="7">
        <v>0</v>
      </c>
      <c r="Q125" s="7">
        <v>0</v>
      </c>
      <c r="R125" s="136" t="s">
        <v>83</v>
      </c>
      <c r="S125" s="136" t="s">
        <v>83</v>
      </c>
      <c r="T125" s="136" t="s">
        <v>83</v>
      </c>
      <c r="U125" s="136" t="s">
        <v>83</v>
      </c>
      <c r="V125" s="7"/>
      <c r="W125" s="7" t="s">
        <v>89</v>
      </c>
      <c r="X125" s="7">
        <v>0</v>
      </c>
      <c r="Y125" s="136" t="s">
        <v>83</v>
      </c>
      <c r="Z125" s="7">
        <v>0</v>
      </c>
      <c r="AA125" s="7">
        <v>0</v>
      </c>
      <c r="AB125" s="7">
        <v>0</v>
      </c>
      <c r="AC125" s="7">
        <v>1</v>
      </c>
      <c r="AD125" s="7">
        <v>1</v>
      </c>
      <c r="AE125" s="136" t="s">
        <v>83</v>
      </c>
      <c r="AF125" s="136" t="s">
        <v>83</v>
      </c>
      <c r="AG125" s="136" t="s">
        <v>83</v>
      </c>
      <c r="AH125" s="136" t="s">
        <v>83</v>
      </c>
      <c r="AI125" s="7"/>
      <c r="AJ125" s="7"/>
      <c r="AK125" s="7">
        <v>1</v>
      </c>
      <c r="AL125" s="7">
        <v>1</v>
      </c>
      <c r="AM125" s="136" t="s">
        <v>83</v>
      </c>
      <c r="AN125" s="7">
        <v>1</v>
      </c>
      <c r="AO125" s="7">
        <v>1</v>
      </c>
      <c r="AP125" s="7">
        <v>1</v>
      </c>
    </row>
    <row r="126" spans="1:42">
      <c r="A126" s="116"/>
      <c r="B126" s="7" t="str">
        <f>装备!B126</f>
        <v>IN00</v>
      </c>
      <c r="C126" s="7" t="s">
        <v>41</v>
      </c>
      <c r="D126" s="7" t="s">
        <v>81</v>
      </c>
      <c r="E126" s="7" t="s">
        <v>82</v>
      </c>
      <c r="F126" s="7"/>
      <c r="G126" s="7"/>
      <c r="H126" s="7" t="str">
        <f>VLOOKUP(LEFT(RIGHT(B126,5),4),装备!B:CU,2,FALSE)</f>
        <v>锦囊</v>
      </c>
      <c r="I126" s="7" t="str">
        <f>VLOOKUP(B126,装备!B:CV,99,FALSE)</f>
        <v>开出一个随机锦囊</v>
      </c>
      <c r="J126" s="118" t="str">
        <f t="shared" si="36"/>
        <v>锦囊</v>
      </c>
      <c r="K126" s="118" t="str">
        <f t="shared" si="37"/>
        <v>开出一个随机锦囊</v>
      </c>
      <c r="L126" s="7"/>
      <c r="M126" s="119" t="str">
        <f>VLOOKUP(LEFT(RIGHT(B126,5),4),装备!B:CU,20,FALSE)</f>
        <v>ReplaceableTextures\\CommandButtons\\BTNIN00.blp</v>
      </c>
      <c r="N126" s="136" t="s">
        <v>83</v>
      </c>
      <c r="O126" s="119" t="s">
        <v>88</v>
      </c>
      <c r="P126" s="7">
        <v>0</v>
      </c>
      <c r="Q126" s="7">
        <v>0</v>
      </c>
      <c r="R126" s="136" t="s">
        <v>83</v>
      </c>
      <c r="S126" s="136" t="s">
        <v>83</v>
      </c>
      <c r="T126" s="136" t="s">
        <v>83</v>
      </c>
      <c r="U126" s="136" t="s">
        <v>83</v>
      </c>
      <c r="V126" s="7"/>
      <c r="W126" s="7" t="s">
        <v>89</v>
      </c>
      <c r="X126" s="7">
        <v>0</v>
      </c>
      <c r="Y126" s="136" t="s">
        <v>83</v>
      </c>
      <c r="Z126" s="7">
        <v>0</v>
      </c>
      <c r="AA126" s="7">
        <v>0</v>
      </c>
      <c r="AB126" s="7">
        <v>0</v>
      </c>
      <c r="AC126" s="7">
        <v>1</v>
      </c>
      <c r="AD126" s="7">
        <v>1</v>
      </c>
      <c r="AE126" s="136" t="s">
        <v>83</v>
      </c>
      <c r="AF126" s="136" t="s">
        <v>83</v>
      </c>
      <c r="AG126" s="136" t="s">
        <v>83</v>
      </c>
      <c r="AH126" s="136" t="s">
        <v>83</v>
      </c>
      <c r="AI126" s="7"/>
      <c r="AJ126" s="7"/>
      <c r="AK126" s="7">
        <v>1</v>
      </c>
      <c r="AL126" s="7">
        <v>1</v>
      </c>
      <c r="AM126" s="136" t="s">
        <v>83</v>
      </c>
      <c r="AN126" s="7">
        <v>1</v>
      </c>
      <c r="AO126" s="7">
        <v>1</v>
      </c>
      <c r="AP126" s="7">
        <v>1</v>
      </c>
    </row>
    <row r="127" spans="1:42">
      <c r="A127" s="116"/>
      <c r="B127" s="7" t="str">
        <f>装备!B127</f>
        <v>IN01</v>
      </c>
      <c r="C127" s="7" t="s">
        <v>41</v>
      </c>
      <c r="D127" s="7" t="s">
        <v>81</v>
      </c>
      <c r="E127" s="7" t="s">
        <v>82</v>
      </c>
      <c r="F127" s="7"/>
      <c r="G127" s="7"/>
      <c r="H127" s="7" t="str">
        <f>VLOOKUP(LEFT(RIGHT(B127,5),4),装备!B:CU,2,FALSE)</f>
        <v>快乐刷Q</v>
      </c>
      <c r="I127" s="7" t="str">
        <f>VLOOKUP(B127,装备!B:CV,99,FALSE)</f>
        <v>为|Cffffd24d当前的Q技能|r附魔随机效果。|n|n|Cff00ff7f替换技能后，附魔效果消失。|r</v>
      </c>
      <c r="J127" s="118" t="str">
        <f t="shared" si="36"/>
        <v>快乐刷Q</v>
      </c>
      <c r="K127" s="118" t="str">
        <f t="shared" si="37"/>
        <v>为|Cffffd24d当前的Q技能|r附魔随机效果。|n|n|Cff00ff7f替换技能后，附魔效果消失。|r</v>
      </c>
      <c r="L127" s="7"/>
      <c r="M127" s="119" t="str">
        <f>VLOOKUP(LEFT(RIGHT(B127,5),4),装备!B:CU,20,FALSE)</f>
        <v>ReplaceableTextures\\CommandButtons\\BTNIN01.blp</v>
      </c>
      <c r="N127" s="136" t="s">
        <v>83</v>
      </c>
      <c r="O127" s="119" t="s">
        <v>88</v>
      </c>
      <c r="P127" s="7">
        <v>0</v>
      </c>
      <c r="Q127" s="7">
        <v>0</v>
      </c>
      <c r="R127" s="136" t="s">
        <v>83</v>
      </c>
      <c r="S127" s="136" t="s">
        <v>83</v>
      </c>
      <c r="T127" s="136" t="s">
        <v>83</v>
      </c>
      <c r="U127" s="136" t="s">
        <v>83</v>
      </c>
      <c r="V127" s="7"/>
      <c r="W127" s="7" t="s">
        <v>89</v>
      </c>
      <c r="X127" s="7">
        <v>0</v>
      </c>
      <c r="Y127" s="136" t="s">
        <v>83</v>
      </c>
      <c r="Z127" s="7">
        <v>0</v>
      </c>
      <c r="AA127" s="7">
        <v>0</v>
      </c>
      <c r="AB127" s="7">
        <v>0</v>
      </c>
      <c r="AC127" s="7">
        <v>1</v>
      </c>
      <c r="AD127" s="7">
        <v>1</v>
      </c>
      <c r="AE127" s="136" t="s">
        <v>83</v>
      </c>
      <c r="AF127" s="136" t="s">
        <v>83</v>
      </c>
      <c r="AG127" s="136" t="s">
        <v>83</v>
      </c>
      <c r="AH127" s="136" t="s">
        <v>83</v>
      </c>
      <c r="AI127" s="7"/>
      <c r="AJ127" s="7"/>
      <c r="AK127" s="7">
        <v>1</v>
      </c>
      <c r="AL127" s="7">
        <v>1</v>
      </c>
      <c r="AM127" s="136" t="s">
        <v>83</v>
      </c>
      <c r="AN127" s="7">
        <v>1</v>
      </c>
      <c r="AO127" s="7">
        <v>1</v>
      </c>
      <c r="AP127" s="7">
        <v>1</v>
      </c>
    </row>
    <row r="128" spans="1:42">
      <c r="A128" s="116"/>
      <c r="B128" s="7" t="str">
        <f>装备!B128</f>
        <v>IN02</v>
      </c>
      <c r="C128" s="7" t="s">
        <v>41</v>
      </c>
      <c r="D128" s="7" t="s">
        <v>81</v>
      </c>
      <c r="E128" s="7" t="s">
        <v>82</v>
      </c>
      <c r="F128" s="7"/>
      <c r="G128" s="7"/>
      <c r="H128" s="7" t="str">
        <f>VLOOKUP(LEFT(RIGHT(B128,5),4),装备!B:CU,2,FALSE)</f>
        <v>快乐刷W</v>
      </c>
      <c r="I128" s="7" t="str">
        <f>VLOOKUP(B128,装备!B:CV,99,FALSE)</f>
        <v>为|Cffffd24d当前的W技能|r附魔随机效果。|n|n|Cff00ff7f替换技能后，附魔效果消失。|r</v>
      </c>
      <c r="J128" s="118" t="str">
        <f t="shared" si="36"/>
        <v>快乐刷W</v>
      </c>
      <c r="K128" s="118" t="str">
        <f t="shared" si="37"/>
        <v>为|Cffffd24d当前的W技能|r附魔随机效果。|n|n|Cff00ff7f替换技能后，附魔效果消失。|r</v>
      </c>
      <c r="L128" s="7"/>
      <c r="M128" s="119" t="str">
        <f>VLOOKUP(LEFT(RIGHT(B128,5),4),装备!B:CU,20,FALSE)</f>
        <v>ReplaceableTextures\\CommandButtons\\BTNIN02.blp</v>
      </c>
      <c r="N128" s="136" t="s">
        <v>83</v>
      </c>
      <c r="O128" s="119" t="s">
        <v>88</v>
      </c>
      <c r="P128" s="7">
        <v>0</v>
      </c>
      <c r="Q128" s="7">
        <v>0</v>
      </c>
      <c r="R128" s="136" t="s">
        <v>83</v>
      </c>
      <c r="S128" s="136" t="s">
        <v>83</v>
      </c>
      <c r="T128" s="136" t="s">
        <v>83</v>
      </c>
      <c r="U128" s="136" t="s">
        <v>83</v>
      </c>
      <c r="V128" s="7"/>
      <c r="W128" s="7" t="s">
        <v>89</v>
      </c>
      <c r="X128" s="7">
        <v>0</v>
      </c>
      <c r="Y128" s="136" t="s">
        <v>83</v>
      </c>
      <c r="Z128" s="7">
        <v>0</v>
      </c>
      <c r="AA128" s="7">
        <v>0</v>
      </c>
      <c r="AB128" s="7">
        <v>0</v>
      </c>
      <c r="AC128" s="7">
        <v>1</v>
      </c>
      <c r="AD128" s="7">
        <v>1</v>
      </c>
      <c r="AE128" s="136" t="s">
        <v>83</v>
      </c>
      <c r="AF128" s="136" t="s">
        <v>83</v>
      </c>
      <c r="AG128" s="136" t="s">
        <v>83</v>
      </c>
      <c r="AH128" s="136" t="s">
        <v>83</v>
      </c>
      <c r="AI128" s="7"/>
      <c r="AJ128" s="7"/>
      <c r="AK128" s="7">
        <v>1</v>
      </c>
      <c r="AL128" s="7">
        <v>1</v>
      </c>
      <c r="AM128" s="136" t="s">
        <v>83</v>
      </c>
      <c r="AN128" s="7">
        <v>1</v>
      </c>
      <c r="AO128" s="7">
        <v>1</v>
      </c>
      <c r="AP128" s="7">
        <v>1</v>
      </c>
    </row>
    <row r="129" spans="1:42">
      <c r="A129" s="116"/>
      <c r="B129" s="7" t="str">
        <f>装备!B129</f>
        <v>IN03</v>
      </c>
      <c r="C129" s="7" t="s">
        <v>41</v>
      </c>
      <c r="D129" s="7" t="s">
        <v>81</v>
      </c>
      <c r="E129" s="7" t="s">
        <v>82</v>
      </c>
      <c r="F129" s="7"/>
      <c r="G129" s="7"/>
      <c r="H129" s="7" t="str">
        <f>VLOOKUP(LEFT(RIGHT(B129,5),4),装备!B:CU,2,FALSE)</f>
        <v>快乐刷E</v>
      </c>
      <c r="I129" s="7" t="str">
        <f>VLOOKUP(B129,装备!B:CV,99,FALSE)</f>
        <v>为|Cffffd24d当前的E技能|r附魔随机效果。|n|n|Cff00ff7f替换技能后，附魔效果消失。|r</v>
      </c>
      <c r="J129" s="118" t="str">
        <f t="shared" ref="J129:J136" si="46">H129</f>
        <v>快乐刷E</v>
      </c>
      <c r="K129" s="118" t="str">
        <f t="shared" ref="K129:K136" si="47">I129</f>
        <v>为|Cffffd24d当前的E技能|r附魔随机效果。|n|n|Cff00ff7f替换技能后，附魔效果消失。|r</v>
      </c>
      <c r="L129" s="7"/>
      <c r="M129" s="119" t="str">
        <f>VLOOKUP(LEFT(RIGHT(B129,5),4),装备!B:CU,20,FALSE)</f>
        <v>ReplaceableTextures\\CommandButtons\\BTNIN03.blp</v>
      </c>
      <c r="N129" s="136" t="s">
        <v>83</v>
      </c>
      <c r="O129" s="119" t="s">
        <v>88</v>
      </c>
      <c r="P129" s="7">
        <v>0</v>
      </c>
      <c r="Q129" s="7">
        <v>0</v>
      </c>
      <c r="R129" s="136" t="s">
        <v>83</v>
      </c>
      <c r="S129" s="136" t="s">
        <v>83</v>
      </c>
      <c r="T129" s="136" t="s">
        <v>83</v>
      </c>
      <c r="U129" s="136" t="s">
        <v>83</v>
      </c>
      <c r="V129" s="7"/>
      <c r="W129" s="7" t="s">
        <v>89</v>
      </c>
      <c r="X129" s="7">
        <v>0</v>
      </c>
      <c r="Y129" s="136" t="s">
        <v>83</v>
      </c>
      <c r="Z129" s="7">
        <v>0</v>
      </c>
      <c r="AA129" s="7">
        <v>0</v>
      </c>
      <c r="AB129" s="7">
        <v>0</v>
      </c>
      <c r="AC129" s="7">
        <v>1</v>
      </c>
      <c r="AD129" s="7">
        <v>1</v>
      </c>
      <c r="AE129" s="136" t="s">
        <v>83</v>
      </c>
      <c r="AF129" s="136" t="s">
        <v>83</v>
      </c>
      <c r="AG129" s="136" t="s">
        <v>83</v>
      </c>
      <c r="AH129" s="136" t="s">
        <v>83</v>
      </c>
      <c r="AI129" s="7"/>
      <c r="AJ129" s="7"/>
      <c r="AK129" s="7">
        <v>1</v>
      </c>
      <c r="AL129" s="7">
        <v>1</v>
      </c>
      <c r="AM129" s="136" t="s">
        <v>83</v>
      </c>
      <c r="AN129" s="7">
        <v>1</v>
      </c>
      <c r="AO129" s="7">
        <v>1</v>
      </c>
      <c r="AP129" s="7">
        <v>1</v>
      </c>
    </row>
    <row r="130" spans="1:42">
      <c r="A130" s="116"/>
      <c r="B130" s="7" t="str">
        <f>装备!B130</f>
        <v>IN04</v>
      </c>
      <c r="C130" s="7" t="s">
        <v>41</v>
      </c>
      <c r="D130" s="7" t="s">
        <v>81</v>
      </c>
      <c r="E130" s="7" t="s">
        <v>92</v>
      </c>
      <c r="F130" s="7"/>
      <c r="G130" s="7"/>
      <c r="H130" s="7" t="str">
        <f>VLOOKUP(LEFT(RIGHT(B130,5),4),装备!B:CU,2,FALSE)</f>
        <v>九重锻神丹</v>
      </c>
      <c r="I130" s="7" t="str">
        <f>VLOOKUP(B130,装备!B:CV,99,FALSE)</f>
        <v>秒杀|Cffffc926雷神化身|n|n|r|Cff00ff7f雷神化身：|n|r渡劫NPC-九重锻神劫Boss</v>
      </c>
      <c r="J130" s="118" t="str">
        <f t="shared" ref="J130:J133" si="48">H130</f>
        <v>九重锻神丹</v>
      </c>
      <c r="K130" s="118" t="str">
        <f t="shared" ref="K130:K133" si="49">I130</f>
        <v>秒杀|Cffffc926雷神化身|n|n|r|Cff00ff7f雷神化身：|n|r渡劫NPC-九重锻神劫Boss</v>
      </c>
      <c r="L130" s="7"/>
      <c r="M130" s="119" t="str">
        <f>VLOOKUP(LEFT(RIGHT(B130,5),4),装备!B:CU,20,FALSE)</f>
        <v>ReplaceableTextures\\CommandButtons\\BTNIN04.blp</v>
      </c>
      <c r="N130" s="136" t="s">
        <v>83</v>
      </c>
      <c r="O130" s="119" t="s">
        <v>88</v>
      </c>
      <c r="P130" s="7">
        <v>0</v>
      </c>
      <c r="Q130" s="7">
        <v>0</v>
      </c>
      <c r="R130" s="136" t="s">
        <v>83</v>
      </c>
      <c r="S130" s="136" t="s">
        <v>83</v>
      </c>
      <c r="T130" s="136" t="s">
        <v>83</v>
      </c>
      <c r="U130" s="136" t="s">
        <v>83</v>
      </c>
      <c r="V130" s="7"/>
      <c r="W130" s="7" t="s">
        <v>89</v>
      </c>
      <c r="X130" s="7">
        <v>0</v>
      </c>
      <c r="Y130" s="136" t="s">
        <v>83</v>
      </c>
      <c r="Z130" s="7">
        <v>0</v>
      </c>
      <c r="AA130" s="7">
        <v>0</v>
      </c>
      <c r="AB130" s="7">
        <v>0</v>
      </c>
      <c r="AC130" s="7">
        <v>1</v>
      </c>
      <c r="AD130" s="7">
        <v>1</v>
      </c>
      <c r="AE130" s="136" t="s">
        <v>83</v>
      </c>
      <c r="AF130" s="136" t="s">
        <v>83</v>
      </c>
      <c r="AG130" s="136" t="s">
        <v>83</v>
      </c>
      <c r="AH130" s="136" t="s">
        <v>83</v>
      </c>
      <c r="AI130" s="7"/>
      <c r="AJ130" s="7"/>
      <c r="AK130" s="7">
        <v>1</v>
      </c>
      <c r="AL130" s="7">
        <v>1</v>
      </c>
      <c r="AM130" s="136" t="s">
        <v>83</v>
      </c>
      <c r="AN130" s="7">
        <v>1</v>
      </c>
      <c r="AO130" s="7">
        <v>1</v>
      </c>
      <c r="AP130" s="7">
        <v>1</v>
      </c>
    </row>
    <row r="131" spans="1:42">
      <c r="A131" s="116"/>
      <c r="B131" s="7" t="str">
        <f>装备!B131</f>
        <v>IN05</v>
      </c>
      <c r="C131" s="7" t="s">
        <v>41</v>
      </c>
      <c r="D131" s="7" t="s">
        <v>81</v>
      </c>
      <c r="E131" s="7" t="s">
        <v>93</v>
      </c>
      <c r="F131" s="7"/>
      <c r="G131" s="7"/>
      <c r="H131" s="7" t="str">
        <f>VLOOKUP(LEFT(RIGHT(B131,5),4),装备!B:CU,2,FALSE)</f>
        <v>灭魄血煞丹</v>
      </c>
      <c r="I131" s="7" t="str">
        <f>VLOOKUP(B131,装备!B:CV,99,FALSE)</f>
        <v>秒杀|Cffffc926灾厄|n|n|r|Cff00ff7f灾厄：|n|r渡劫NPC-灭魄血煞劫Boss</v>
      </c>
      <c r="J131" s="118" t="str">
        <f t="shared" si="48"/>
        <v>灭魄血煞丹</v>
      </c>
      <c r="K131" s="118" t="str">
        <f t="shared" si="49"/>
        <v>秒杀|Cffffc926灾厄|n|n|r|Cff00ff7f灾厄：|n|r渡劫NPC-灭魄血煞劫Boss</v>
      </c>
      <c r="L131" s="7"/>
      <c r="M131" s="119" t="str">
        <f>VLOOKUP(LEFT(RIGHT(B131,5),4),装备!B:CU,20,FALSE)</f>
        <v>ReplaceableTextures\\CommandButtons\\BTNIN05.blp</v>
      </c>
      <c r="N131" s="136" t="s">
        <v>83</v>
      </c>
      <c r="O131" s="119" t="s">
        <v>88</v>
      </c>
      <c r="P131" s="7">
        <v>0</v>
      </c>
      <c r="Q131" s="7">
        <v>0</v>
      </c>
      <c r="R131" s="136" t="s">
        <v>83</v>
      </c>
      <c r="S131" s="136" t="s">
        <v>83</v>
      </c>
      <c r="T131" s="136" t="s">
        <v>83</v>
      </c>
      <c r="U131" s="136" t="s">
        <v>83</v>
      </c>
      <c r="V131" s="7"/>
      <c r="W131" s="7" t="s">
        <v>89</v>
      </c>
      <c r="X131" s="7">
        <v>0</v>
      </c>
      <c r="Y131" s="136" t="s">
        <v>83</v>
      </c>
      <c r="Z131" s="7">
        <v>0</v>
      </c>
      <c r="AA131" s="7">
        <v>0</v>
      </c>
      <c r="AB131" s="7">
        <v>0</v>
      </c>
      <c r="AC131" s="7">
        <v>1</v>
      </c>
      <c r="AD131" s="7">
        <v>1</v>
      </c>
      <c r="AE131" s="136" t="s">
        <v>83</v>
      </c>
      <c r="AF131" s="136" t="s">
        <v>83</v>
      </c>
      <c r="AG131" s="136" t="s">
        <v>83</v>
      </c>
      <c r="AH131" s="136" t="s">
        <v>83</v>
      </c>
      <c r="AI131" s="7"/>
      <c r="AJ131" s="7"/>
      <c r="AK131" s="7">
        <v>1</v>
      </c>
      <c r="AL131" s="7">
        <v>1</v>
      </c>
      <c r="AM131" s="136" t="s">
        <v>83</v>
      </c>
      <c r="AN131" s="7">
        <v>1</v>
      </c>
      <c r="AO131" s="7">
        <v>1</v>
      </c>
      <c r="AP131" s="7">
        <v>1</v>
      </c>
    </row>
    <row r="132" spans="1:42">
      <c r="A132" s="116"/>
      <c r="B132" s="7" t="str">
        <f>装备!B132</f>
        <v>IN06</v>
      </c>
      <c r="C132" s="7" t="s">
        <v>41</v>
      </c>
      <c r="D132" s="7" t="s">
        <v>81</v>
      </c>
      <c r="E132" s="7" t="s">
        <v>94</v>
      </c>
      <c r="F132" s="7"/>
      <c r="G132" s="7"/>
      <c r="H132" s="7" t="str">
        <f>VLOOKUP(LEFT(RIGHT(B132,5),4),装备!B:CU,2,FALSE)</f>
        <v>入微洞虚丹</v>
      </c>
      <c r="I132" s="7" t="str">
        <f>VLOOKUP(B132,装备!B:CV,99,FALSE)</f>
        <v>秒杀|Cffffc926芥子魔|n|n|r|Cff00ff7f芥子魔：|n|r渡劫NPC-入微洞虚劫Boss</v>
      </c>
      <c r="J132" s="118" t="str">
        <f t="shared" si="48"/>
        <v>入微洞虚丹</v>
      </c>
      <c r="K132" s="118" t="str">
        <f t="shared" si="49"/>
        <v>秒杀|Cffffc926芥子魔|n|n|r|Cff00ff7f芥子魔：|n|r渡劫NPC-入微洞虚劫Boss</v>
      </c>
      <c r="L132" s="7"/>
      <c r="M132" s="119" t="str">
        <f>VLOOKUP(LEFT(RIGHT(B132,5),4),装备!B:CU,20,FALSE)</f>
        <v>ReplaceableTextures\\CommandButtons\\BTNIN06.blp</v>
      </c>
      <c r="N132" s="136" t="s">
        <v>83</v>
      </c>
      <c r="O132" s="119" t="s">
        <v>88</v>
      </c>
      <c r="P132" s="7">
        <v>0</v>
      </c>
      <c r="Q132" s="7">
        <v>0</v>
      </c>
      <c r="R132" s="136" t="s">
        <v>83</v>
      </c>
      <c r="S132" s="136" t="s">
        <v>83</v>
      </c>
      <c r="T132" s="136" t="s">
        <v>83</v>
      </c>
      <c r="U132" s="136" t="s">
        <v>83</v>
      </c>
      <c r="V132" s="7"/>
      <c r="W132" s="7" t="s">
        <v>89</v>
      </c>
      <c r="X132" s="7">
        <v>0</v>
      </c>
      <c r="Y132" s="136" t="s">
        <v>83</v>
      </c>
      <c r="Z132" s="7">
        <v>0</v>
      </c>
      <c r="AA132" s="7">
        <v>0</v>
      </c>
      <c r="AB132" s="7">
        <v>0</v>
      </c>
      <c r="AC132" s="7">
        <v>1</v>
      </c>
      <c r="AD132" s="7">
        <v>1</v>
      </c>
      <c r="AE132" s="136" t="s">
        <v>83</v>
      </c>
      <c r="AF132" s="136" t="s">
        <v>83</v>
      </c>
      <c r="AG132" s="136" t="s">
        <v>83</v>
      </c>
      <c r="AH132" s="136" t="s">
        <v>83</v>
      </c>
      <c r="AI132" s="7"/>
      <c r="AJ132" s="7"/>
      <c r="AK132" s="7">
        <v>1</v>
      </c>
      <c r="AL132" s="7">
        <v>1</v>
      </c>
      <c r="AM132" s="136" t="s">
        <v>83</v>
      </c>
      <c r="AN132" s="7">
        <v>1</v>
      </c>
      <c r="AO132" s="7">
        <v>1</v>
      </c>
      <c r="AP132" s="7">
        <v>1</v>
      </c>
    </row>
    <row r="133" spans="1:42">
      <c r="A133" s="116"/>
      <c r="B133" s="7" t="str">
        <f>装备!B133</f>
        <v>IN07</v>
      </c>
      <c r="C133" s="7" t="s">
        <v>41</v>
      </c>
      <c r="D133" s="7" t="s">
        <v>81</v>
      </c>
      <c r="E133" s="7" t="s">
        <v>82</v>
      </c>
      <c r="F133" s="7"/>
      <c r="G133" s="7"/>
      <c r="H133" s="7" t="str">
        <f>VLOOKUP(LEFT(RIGHT(B133,5),4),装备!B:CU,2,FALSE)</f>
        <v>来份快餐</v>
      </c>
      <c r="I133" s="7" t="str">
        <f>VLOOKUP(B133,装备!B:CV,99,FALSE)</f>
        <v>每秒回复|Cffffc92630%|r生命值，持续|Cffffc9266|r秒</v>
      </c>
      <c r="J133" s="118" t="str">
        <f t="shared" si="48"/>
        <v>来份快餐</v>
      </c>
      <c r="K133" s="118" t="str">
        <f t="shared" si="49"/>
        <v>每秒回复|Cffffc92630%|r生命值，持续|Cffffc9266|r秒</v>
      </c>
      <c r="L133" s="7"/>
      <c r="M133" s="119" t="str">
        <f>VLOOKUP(LEFT(RIGHT(B133,5),4),装备!B:CU,20,FALSE)</f>
        <v>ReplaceableTextures\\CommandButtons\\BTNIN07.blp</v>
      </c>
      <c r="N133" s="136" t="s">
        <v>83</v>
      </c>
      <c r="O133" s="119" t="s">
        <v>88</v>
      </c>
      <c r="P133" s="7">
        <v>0</v>
      </c>
      <c r="Q133" s="7">
        <v>0</v>
      </c>
      <c r="R133" s="136" t="s">
        <v>83</v>
      </c>
      <c r="S133" s="136" t="s">
        <v>83</v>
      </c>
      <c r="T133" s="136" t="s">
        <v>83</v>
      </c>
      <c r="U133" s="136" t="s">
        <v>83</v>
      </c>
      <c r="V133" s="7"/>
      <c r="W133" s="7" t="s">
        <v>89</v>
      </c>
      <c r="X133" s="7">
        <v>0</v>
      </c>
      <c r="Y133" s="136" t="s">
        <v>83</v>
      </c>
      <c r="Z133" s="7">
        <v>0</v>
      </c>
      <c r="AA133" s="7">
        <v>0</v>
      </c>
      <c r="AB133" s="7">
        <v>0</v>
      </c>
      <c r="AC133" s="7">
        <v>1</v>
      </c>
      <c r="AD133" s="7">
        <v>1</v>
      </c>
      <c r="AE133" s="136" t="s">
        <v>83</v>
      </c>
      <c r="AF133" s="136" t="s">
        <v>83</v>
      </c>
      <c r="AG133" s="136" t="s">
        <v>83</v>
      </c>
      <c r="AH133" s="136" t="s">
        <v>83</v>
      </c>
      <c r="AI133" s="7"/>
      <c r="AJ133" s="7"/>
      <c r="AK133" s="7">
        <v>1</v>
      </c>
      <c r="AL133" s="7">
        <v>1</v>
      </c>
      <c r="AM133" s="136" t="s">
        <v>83</v>
      </c>
      <c r="AN133" s="7">
        <v>1</v>
      </c>
      <c r="AO133" s="7">
        <v>1</v>
      </c>
      <c r="AP133" s="7">
        <v>1</v>
      </c>
    </row>
    <row r="134" spans="1:42">
      <c r="A134" s="116"/>
      <c r="B134" s="7" t="str">
        <f>装备!B134</f>
        <v>IN08</v>
      </c>
      <c r="C134" s="7" t="s">
        <v>41</v>
      </c>
      <c r="D134" s="7" t="s">
        <v>81</v>
      </c>
      <c r="E134" s="7" t="s">
        <v>82</v>
      </c>
      <c r="F134" s="7"/>
      <c r="G134" s="7"/>
      <c r="H134" s="7" t="str">
        <f>VLOOKUP(LEFT(RIGHT(B134,5),4),装备!B:CU,2,FALSE)</f>
        <v>抬你一手</v>
      </c>
      <c r="I134" s="7" t="str">
        <f>VLOOKUP(B134,装备!B:CV,99,FALSE)</f>
        <v>|CffFFC926击杀|r当前存在的|Cffffc926进攻怪|r和|Cffffc926Boss|r。|n|n|Cff00ff7f无法在大决战时使用|r</v>
      </c>
      <c r="J134" s="118" t="str">
        <f t="shared" si="46"/>
        <v>抬你一手</v>
      </c>
      <c r="K134" s="118" t="str">
        <f t="shared" si="47"/>
        <v>|CffFFC926击杀|r当前存在的|Cffffc926进攻怪|r和|Cffffc926Boss|r。|n|n|Cff00ff7f无法在大决战时使用|r</v>
      </c>
      <c r="L134" s="7"/>
      <c r="M134" s="119" t="str">
        <f>VLOOKUP(LEFT(RIGHT(B134,5),4),装备!B:CU,20,FALSE)</f>
        <v>ReplaceableTextures\\CommandButtons\\BTNIN08.blp</v>
      </c>
      <c r="N134" s="136" t="s">
        <v>83</v>
      </c>
      <c r="O134" s="119" t="s">
        <v>88</v>
      </c>
      <c r="P134" s="7">
        <v>0</v>
      </c>
      <c r="Q134" s="7">
        <v>0</v>
      </c>
      <c r="R134" s="136" t="s">
        <v>83</v>
      </c>
      <c r="S134" s="136" t="s">
        <v>83</v>
      </c>
      <c r="T134" s="136" t="s">
        <v>83</v>
      </c>
      <c r="U134" s="136" t="s">
        <v>83</v>
      </c>
      <c r="V134" s="7"/>
      <c r="W134" s="7" t="s">
        <v>89</v>
      </c>
      <c r="X134" s="7">
        <v>0</v>
      </c>
      <c r="Y134" s="136" t="s">
        <v>83</v>
      </c>
      <c r="Z134" s="7">
        <v>0</v>
      </c>
      <c r="AA134" s="7">
        <v>0</v>
      </c>
      <c r="AB134" s="7">
        <v>0</v>
      </c>
      <c r="AC134" s="7">
        <v>1</v>
      </c>
      <c r="AD134" s="7">
        <v>1</v>
      </c>
      <c r="AE134" s="136" t="s">
        <v>83</v>
      </c>
      <c r="AF134" s="136" t="s">
        <v>83</v>
      </c>
      <c r="AG134" s="136" t="s">
        <v>83</v>
      </c>
      <c r="AH134" s="136" t="s">
        <v>83</v>
      </c>
      <c r="AI134" s="7"/>
      <c r="AJ134" s="7"/>
      <c r="AK134" s="7">
        <v>1</v>
      </c>
      <c r="AL134" s="7">
        <v>1</v>
      </c>
      <c r="AM134" s="136" t="s">
        <v>83</v>
      </c>
      <c r="AN134" s="7">
        <v>1</v>
      </c>
      <c r="AO134" s="7">
        <v>1</v>
      </c>
      <c r="AP134" s="7">
        <v>1</v>
      </c>
    </row>
    <row r="135" spans="1:42">
      <c r="A135" s="116"/>
      <c r="B135" s="7" t="str">
        <f>装备!B135</f>
        <v>IN09</v>
      </c>
      <c r="C135" s="7" t="s">
        <v>41</v>
      </c>
      <c r="D135" s="7" t="s">
        <v>81</v>
      </c>
      <c r="E135" s="7" t="s">
        <v>82</v>
      </c>
      <c r="F135" s="7"/>
      <c r="G135" s="7"/>
      <c r="H135" s="7" t="str">
        <f>VLOOKUP(LEFT(RIGHT(B135,5),4),装备!B:CU,2,FALSE)</f>
        <v>我刷一会</v>
      </c>
      <c r="I135" s="7" t="str">
        <f>VLOOKUP(B135,装备!B:CV,99,FALSE)</f>
        <v>暂停|Cffffc926场上已存在的进攻怪|r10秒</v>
      </c>
      <c r="J135" s="118" t="str">
        <f t="shared" si="46"/>
        <v>我刷一会</v>
      </c>
      <c r="K135" s="118" t="str">
        <f t="shared" si="47"/>
        <v>暂停|Cffffc926场上已存在的进攻怪|r10秒</v>
      </c>
      <c r="L135" s="7"/>
      <c r="M135" s="119" t="str">
        <f>VLOOKUP(LEFT(RIGHT(B135,5),4),装备!B:CU,20,FALSE)</f>
        <v>ReplaceableTextures\\CommandButtons\\BTNIN09.blp</v>
      </c>
      <c r="N135" s="136" t="s">
        <v>83</v>
      </c>
      <c r="O135" s="119" t="s">
        <v>88</v>
      </c>
      <c r="P135" s="7">
        <v>0</v>
      </c>
      <c r="Q135" s="7">
        <v>0</v>
      </c>
      <c r="R135" s="136" t="s">
        <v>83</v>
      </c>
      <c r="S135" s="136" t="s">
        <v>83</v>
      </c>
      <c r="T135" s="136" t="s">
        <v>83</v>
      </c>
      <c r="U135" s="136" t="s">
        <v>83</v>
      </c>
      <c r="V135" s="7"/>
      <c r="W135" s="7" t="s">
        <v>89</v>
      </c>
      <c r="X135" s="7">
        <v>0</v>
      </c>
      <c r="Y135" s="136" t="s">
        <v>83</v>
      </c>
      <c r="Z135" s="7">
        <v>0</v>
      </c>
      <c r="AA135" s="7">
        <v>0</v>
      </c>
      <c r="AB135" s="7">
        <v>0</v>
      </c>
      <c r="AC135" s="7">
        <v>1</v>
      </c>
      <c r="AD135" s="7">
        <v>1</v>
      </c>
      <c r="AE135" s="136" t="s">
        <v>83</v>
      </c>
      <c r="AF135" s="136" t="s">
        <v>83</v>
      </c>
      <c r="AG135" s="136" t="s">
        <v>83</v>
      </c>
      <c r="AH135" s="136" t="s">
        <v>83</v>
      </c>
      <c r="AI135" s="7"/>
      <c r="AJ135" s="7"/>
      <c r="AK135" s="7">
        <v>1</v>
      </c>
      <c r="AL135" s="7">
        <v>1</v>
      </c>
      <c r="AM135" s="136" t="s">
        <v>83</v>
      </c>
      <c r="AN135" s="7">
        <v>1</v>
      </c>
      <c r="AO135" s="7">
        <v>1</v>
      </c>
      <c r="AP135" s="7">
        <v>1</v>
      </c>
    </row>
    <row r="136" spans="1:42">
      <c r="A136" s="116"/>
      <c r="B136" s="7" t="str">
        <f>装备!B136</f>
        <v>IN10</v>
      </c>
      <c r="C136" s="7" t="s">
        <v>41</v>
      </c>
      <c r="D136" s="7" t="s">
        <v>81</v>
      </c>
      <c r="E136" s="7" t="s">
        <v>82</v>
      </c>
      <c r="F136" s="7"/>
      <c r="G136" s="7"/>
      <c r="H136" s="7" t="str">
        <f>VLOOKUP(LEFT(RIGHT(B136,5),4),装备!B:CU,2,FALSE)</f>
        <v>我再刷会</v>
      </c>
      <c r="I136" s="7" t="str">
        <f>VLOOKUP(B136,装备!B:CV,99,FALSE)</f>
        <v>暂停场上|Cffffc926已存在的进攻怪|r20秒</v>
      </c>
      <c r="J136" s="118" t="str">
        <f t="shared" si="46"/>
        <v>我再刷会</v>
      </c>
      <c r="K136" s="118" t="str">
        <f t="shared" si="47"/>
        <v>暂停场上|Cffffc926已存在的进攻怪|r20秒</v>
      </c>
      <c r="L136" s="7"/>
      <c r="M136" s="119" t="str">
        <f>VLOOKUP(LEFT(RIGHT(B136,5),4),装备!B:CU,20,FALSE)</f>
        <v>ReplaceableTextures\\CommandButtons\\BTNIN10.blp</v>
      </c>
      <c r="N136" s="136" t="s">
        <v>83</v>
      </c>
      <c r="O136" s="119" t="s">
        <v>88</v>
      </c>
      <c r="P136" s="7">
        <v>0</v>
      </c>
      <c r="Q136" s="7">
        <v>0</v>
      </c>
      <c r="R136" s="136" t="s">
        <v>83</v>
      </c>
      <c r="S136" s="136" t="s">
        <v>83</v>
      </c>
      <c r="T136" s="136" t="s">
        <v>83</v>
      </c>
      <c r="U136" s="136" t="s">
        <v>83</v>
      </c>
      <c r="V136" s="7"/>
      <c r="W136" s="7" t="s">
        <v>89</v>
      </c>
      <c r="X136" s="7">
        <v>0</v>
      </c>
      <c r="Y136" s="136" t="s">
        <v>83</v>
      </c>
      <c r="Z136" s="7">
        <v>0</v>
      </c>
      <c r="AA136" s="7">
        <v>0</v>
      </c>
      <c r="AB136" s="7">
        <v>0</v>
      </c>
      <c r="AC136" s="7">
        <v>1</v>
      </c>
      <c r="AD136" s="7">
        <v>1</v>
      </c>
      <c r="AE136" s="136" t="s">
        <v>83</v>
      </c>
      <c r="AF136" s="136" t="s">
        <v>83</v>
      </c>
      <c r="AG136" s="136" t="s">
        <v>83</v>
      </c>
      <c r="AH136" s="136" t="s">
        <v>83</v>
      </c>
      <c r="AI136" s="7"/>
      <c r="AJ136" s="7"/>
      <c r="AK136" s="7">
        <v>1</v>
      </c>
      <c r="AL136" s="7">
        <v>1</v>
      </c>
      <c r="AM136" s="136" t="s">
        <v>83</v>
      </c>
      <c r="AN136" s="7">
        <v>1</v>
      </c>
      <c r="AO136" s="7">
        <v>1</v>
      </c>
      <c r="AP136" s="7">
        <v>1</v>
      </c>
    </row>
    <row r="137" spans="1:42">
      <c r="A137" s="116"/>
      <c r="B137" s="7" t="str">
        <f>装备!B137</f>
        <v>IN11</v>
      </c>
      <c r="C137" s="7" t="s">
        <v>41</v>
      </c>
      <c r="D137" s="7" t="s">
        <v>81</v>
      </c>
      <c r="E137" s="7" t="s">
        <v>82</v>
      </c>
      <c r="F137" s="7"/>
      <c r="G137" s="7"/>
      <c r="H137" s="7" t="str">
        <f>VLOOKUP(LEFT(RIGHT(B137,5),4),装备!B:CU,2,FALSE)</f>
        <v>奥里给Lo他</v>
      </c>
      <c r="I137" s="7" t="str">
        <f>VLOOKUP(B137,装备!B:CV,99,FALSE)</f>
        <v>|CffFFC9265|r秒内提高|Cffffc926300%|r伤害加成</v>
      </c>
      <c r="J137" s="118" t="str">
        <f t="shared" ref="J137:J143" si="50">H137</f>
        <v>奥里给Lo他</v>
      </c>
      <c r="K137" s="118" t="str">
        <f t="shared" ref="K137:K143" si="51">I137</f>
        <v>|CffFFC9265|r秒内提高|Cffffc926300%|r伤害加成</v>
      </c>
      <c r="L137" s="7"/>
      <c r="M137" s="119" t="str">
        <f>VLOOKUP(LEFT(RIGHT(B137,5),4),装备!B:CU,20,FALSE)</f>
        <v>ReplaceableTextures\\CommandButtons\\BTNIN11.blp</v>
      </c>
      <c r="N137" s="136" t="s">
        <v>83</v>
      </c>
      <c r="O137" s="119" t="s">
        <v>88</v>
      </c>
      <c r="P137" s="7">
        <v>0</v>
      </c>
      <c r="Q137" s="7">
        <v>0</v>
      </c>
      <c r="R137" s="136" t="s">
        <v>83</v>
      </c>
      <c r="S137" s="136" t="s">
        <v>83</v>
      </c>
      <c r="T137" s="136" t="s">
        <v>83</v>
      </c>
      <c r="U137" s="136" t="s">
        <v>83</v>
      </c>
      <c r="V137" s="7"/>
      <c r="W137" s="7" t="s">
        <v>89</v>
      </c>
      <c r="X137" s="7">
        <v>0</v>
      </c>
      <c r="Y137" s="136" t="s">
        <v>83</v>
      </c>
      <c r="Z137" s="7">
        <v>0</v>
      </c>
      <c r="AA137" s="7">
        <v>0</v>
      </c>
      <c r="AB137" s="7">
        <v>0</v>
      </c>
      <c r="AC137" s="7">
        <v>1</v>
      </c>
      <c r="AD137" s="7">
        <v>1</v>
      </c>
      <c r="AE137" s="136" t="s">
        <v>83</v>
      </c>
      <c r="AF137" s="136" t="s">
        <v>83</v>
      </c>
      <c r="AG137" s="136" t="s">
        <v>83</v>
      </c>
      <c r="AH137" s="136" t="s">
        <v>83</v>
      </c>
      <c r="AI137" s="7"/>
      <c r="AJ137" s="7"/>
      <c r="AK137" s="7">
        <v>1</v>
      </c>
      <c r="AL137" s="7">
        <v>1</v>
      </c>
      <c r="AM137" s="136" t="s">
        <v>83</v>
      </c>
      <c r="AN137" s="7">
        <v>1</v>
      </c>
      <c r="AO137" s="7">
        <v>1</v>
      </c>
      <c r="AP137" s="7">
        <v>1</v>
      </c>
    </row>
    <row r="138" spans="1:42">
      <c r="A138" s="116"/>
      <c r="B138" s="7" t="str">
        <f>装备!B138</f>
        <v>IN12</v>
      </c>
      <c r="C138" s="7" t="s">
        <v>41</v>
      </c>
      <c r="D138" s="7" t="s">
        <v>81</v>
      </c>
      <c r="E138" s="7" t="s">
        <v>82</v>
      </c>
      <c r="F138" s="7"/>
      <c r="G138" s="7"/>
      <c r="H138" s="7" t="str">
        <f>VLOOKUP(LEFT(RIGHT(B138,5),4),装备!B:CU,2,FALSE)</f>
        <v>钱有点多</v>
      </c>
      <c r="I138" s="7" t="str">
        <f>VLOOKUP(B138,装备!B:CV,99,FALSE)</f>
        <v>获得|Cffffc92620000|r金币</v>
      </c>
      <c r="J138" s="118" t="str">
        <f t="shared" si="50"/>
        <v>钱有点多</v>
      </c>
      <c r="K138" s="118" t="str">
        <f t="shared" si="51"/>
        <v>获得|Cffffc92620000|r金币</v>
      </c>
      <c r="L138" s="7"/>
      <c r="M138" s="119" t="str">
        <f>VLOOKUP(LEFT(RIGHT(B138,5),4),装备!B:CU,20,FALSE)</f>
        <v>ReplaceableTextures\\CommandButtons\\BTNIN12.blp</v>
      </c>
      <c r="N138" s="136" t="s">
        <v>83</v>
      </c>
      <c r="O138" s="119" t="s">
        <v>88</v>
      </c>
      <c r="P138" s="7">
        <v>0</v>
      </c>
      <c r="Q138" s="7">
        <v>0</v>
      </c>
      <c r="R138" s="136" t="s">
        <v>83</v>
      </c>
      <c r="S138" s="136" t="s">
        <v>83</v>
      </c>
      <c r="T138" s="136" t="s">
        <v>83</v>
      </c>
      <c r="U138" s="136" t="s">
        <v>83</v>
      </c>
      <c r="V138" s="7"/>
      <c r="W138" s="7" t="s">
        <v>89</v>
      </c>
      <c r="X138" s="7">
        <v>0</v>
      </c>
      <c r="Y138" s="136" t="s">
        <v>83</v>
      </c>
      <c r="Z138" s="7">
        <v>0</v>
      </c>
      <c r="AA138" s="7">
        <v>0</v>
      </c>
      <c r="AB138" s="7">
        <v>0</v>
      </c>
      <c r="AC138" s="7">
        <v>1</v>
      </c>
      <c r="AD138" s="7">
        <v>1</v>
      </c>
      <c r="AE138" s="136" t="s">
        <v>83</v>
      </c>
      <c r="AF138" s="136" t="s">
        <v>83</v>
      </c>
      <c r="AG138" s="136" t="s">
        <v>83</v>
      </c>
      <c r="AH138" s="136" t="s">
        <v>83</v>
      </c>
      <c r="AI138" s="7"/>
      <c r="AJ138" s="7"/>
      <c r="AK138" s="7">
        <v>1</v>
      </c>
      <c r="AL138" s="7">
        <v>1</v>
      </c>
      <c r="AM138" s="136" t="s">
        <v>83</v>
      </c>
      <c r="AN138" s="7">
        <v>1</v>
      </c>
      <c r="AO138" s="7">
        <v>1</v>
      </c>
      <c r="AP138" s="7">
        <v>1</v>
      </c>
    </row>
    <row r="139" spans="1:42">
      <c r="A139" s="116"/>
      <c r="B139" s="7" t="str">
        <f>装备!B139</f>
        <v>IN13</v>
      </c>
      <c r="C139" s="7" t="s">
        <v>41</v>
      </c>
      <c r="D139" s="7" t="s">
        <v>81</v>
      </c>
      <c r="E139" s="7" t="s">
        <v>82</v>
      </c>
      <c r="F139" s="7"/>
      <c r="G139" s="7"/>
      <c r="H139" s="7" t="str">
        <f>VLOOKUP(LEFT(RIGHT(B139,5),4),装备!B:CU,2,FALSE)</f>
        <v>钱有点少</v>
      </c>
      <c r="I139" s="7" t="str">
        <f>VLOOKUP(B139,装备!B:CV,99,FALSE)</f>
        <v>获得|Cffffc9262000|r金币</v>
      </c>
      <c r="J139" s="118" t="str">
        <f t="shared" si="50"/>
        <v>钱有点少</v>
      </c>
      <c r="K139" s="118" t="str">
        <f t="shared" si="51"/>
        <v>获得|Cffffc9262000|r金币</v>
      </c>
      <c r="L139" s="7"/>
      <c r="M139" s="119" t="str">
        <f>VLOOKUP(LEFT(RIGHT(B139,5),4),装备!B:CU,20,FALSE)</f>
        <v>ReplaceableTextures\\CommandButtons\\BTNIN13.blp</v>
      </c>
      <c r="N139" s="136" t="s">
        <v>83</v>
      </c>
      <c r="O139" s="119" t="s">
        <v>88</v>
      </c>
      <c r="P139" s="7">
        <v>0</v>
      </c>
      <c r="Q139" s="7">
        <v>0</v>
      </c>
      <c r="R139" s="136" t="s">
        <v>83</v>
      </c>
      <c r="S139" s="136" t="s">
        <v>83</v>
      </c>
      <c r="T139" s="136" t="s">
        <v>83</v>
      </c>
      <c r="U139" s="136" t="s">
        <v>83</v>
      </c>
      <c r="V139" s="7"/>
      <c r="W139" s="7" t="s">
        <v>89</v>
      </c>
      <c r="X139" s="7">
        <v>0</v>
      </c>
      <c r="Y139" s="136" t="s">
        <v>83</v>
      </c>
      <c r="Z139" s="7">
        <v>0</v>
      </c>
      <c r="AA139" s="7">
        <v>0</v>
      </c>
      <c r="AB139" s="7">
        <v>0</v>
      </c>
      <c r="AC139" s="7">
        <v>1</v>
      </c>
      <c r="AD139" s="7">
        <v>1</v>
      </c>
      <c r="AE139" s="136" t="s">
        <v>83</v>
      </c>
      <c r="AF139" s="136" t="s">
        <v>83</v>
      </c>
      <c r="AG139" s="136" t="s">
        <v>83</v>
      </c>
      <c r="AH139" s="136" t="s">
        <v>83</v>
      </c>
      <c r="AI139" s="7"/>
      <c r="AJ139" s="7"/>
      <c r="AK139" s="7">
        <v>1</v>
      </c>
      <c r="AL139" s="7">
        <v>1</v>
      </c>
      <c r="AM139" s="136" t="s">
        <v>83</v>
      </c>
      <c r="AN139" s="7">
        <v>1</v>
      </c>
      <c r="AO139" s="7">
        <v>1</v>
      </c>
      <c r="AP139" s="7">
        <v>1</v>
      </c>
    </row>
    <row r="140" spans="1:42">
      <c r="A140" s="116"/>
      <c r="B140" s="7" t="str">
        <f>装备!B140</f>
        <v>IN14</v>
      </c>
      <c r="C140" s="7" t="s">
        <v>41</v>
      </c>
      <c r="D140" s="7" t="s">
        <v>81</v>
      </c>
      <c r="E140" s="7" t="s">
        <v>82</v>
      </c>
      <c r="F140" s="7"/>
      <c r="G140" s="7"/>
      <c r="H140" s="7" t="str">
        <f>VLOOKUP(LEFT(RIGHT(B140,5),4),装备!B:CU,2,FALSE)</f>
        <v>精准预判</v>
      </c>
      <c r="I140" s="7" t="str">
        <f>VLOOKUP(B140,装备!B:CV,99,FALSE)</f>
        <v>若使用后|Cffffc9265|r秒内|Cffffc926基地濒死|r，则击杀其600码范围内所有生物。|n|n|Cff00ff7f不分敌我|r</v>
      </c>
      <c r="J140" s="118" t="str">
        <f t="shared" si="50"/>
        <v>精准预判</v>
      </c>
      <c r="K140" s="118" t="str">
        <f t="shared" si="51"/>
        <v>若使用后|Cffffc9265|r秒内|Cffffc926基地濒死|r，则击杀其600码范围内所有生物。|n|n|Cff00ff7f不分敌我|r</v>
      </c>
      <c r="L140" s="7"/>
      <c r="M140" s="119" t="str">
        <f>VLOOKUP(LEFT(RIGHT(B140,5),4),装备!B:CU,20,FALSE)</f>
        <v>ReplaceableTextures\\CommandButtons\\BTNIN14.blp</v>
      </c>
      <c r="N140" s="136" t="s">
        <v>83</v>
      </c>
      <c r="O140" s="119" t="s">
        <v>88</v>
      </c>
      <c r="P140" s="7">
        <v>0</v>
      </c>
      <c r="Q140" s="7">
        <v>0</v>
      </c>
      <c r="R140" s="136" t="s">
        <v>83</v>
      </c>
      <c r="S140" s="136" t="s">
        <v>83</v>
      </c>
      <c r="T140" s="136" t="s">
        <v>83</v>
      </c>
      <c r="U140" s="136" t="s">
        <v>83</v>
      </c>
      <c r="V140" s="7"/>
      <c r="W140" s="7" t="s">
        <v>89</v>
      </c>
      <c r="X140" s="7">
        <v>0</v>
      </c>
      <c r="Y140" s="136" t="s">
        <v>83</v>
      </c>
      <c r="Z140" s="7">
        <v>0</v>
      </c>
      <c r="AA140" s="7">
        <v>0</v>
      </c>
      <c r="AB140" s="7">
        <v>0</v>
      </c>
      <c r="AC140" s="7">
        <v>1</v>
      </c>
      <c r="AD140" s="7">
        <v>1</v>
      </c>
      <c r="AE140" s="136" t="s">
        <v>83</v>
      </c>
      <c r="AF140" s="136" t="s">
        <v>83</v>
      </c>
      <c r="AG140" s="136" t="s">
        <v>83</v>
      </c>
      <c r="AH140" s="136" t="s">
        <v>83</v>
      </c>
      <c r="AI140" s="7"/>
      <c r="AJ140" s="7"/>
      <c r="AK140" s="7">
        <v>1</v>
      </c>
      <c r="AL140" s="7">
        <v>1</v>
      </c>
      <c r="AM140" s="136" t="s">
        <v>83</v>
      </c>
      <c r="AN140" s="7">
        <v>1</v>
      </c>
      <c r="AO140" s="7">
        <v>1</v>
      </c>
      <c r="AP140" s="7">
        <v>1</v>
      </c>
    </row>
    <row r="141" spans="1:42">
      <c r="A141" s="116"/>
      <c r="B141" s="7" t="str">
        <f>装备!B141</f>
        <v>IN15</v>
      </c>
      <c r="C141" s="7" t="s">
        <v>41</v>
      </c>
      <c r="D141" s="7" t="s">
        <v>81</v>
      </c>
      <c r="E141" s="7" t="s">
        <v>82</v>
      </c>
      <c r="F141" s="7"/>
      <c r="G141" s="7"/>
      <c r="H141" s="7" t="str">
        <f>VLOOKUP(LEFT(RIGHT(B141,5),4),装备!B:CU,2,FALSE)</f>
        <v>洗一手</v>
      </c>
      <c r="I141" s="7" t="str">
        <f>VLOOKUP(B141,装备!B:CV,99,FALSE)</f>
        <v>获得一个|Cffffc926补天石|r。|n|n|Cff00ff7f“法宝F4”查看，重置指定法宝，品质不变。|r</v>
      </c>
      <c r="J141" s="118" t="str">
        <f t="shared" si="50"/>
        <v>洗一手</v>
      </c>
      <c r="K141" s="118" t="str">
        <f t="shared" si="51"/>
        <v>获得一个|Cffffc926补天石|r。|n|n|Cff00ff7f“法宝F4”查看，重置指定法宝，品质不变。|r</v>
      </c>
      <c r="L141" s="7"/>
      <c r="M141" s="119" t="str">
        <f>VLOOKUP(LEFT(RIGHT(B141,5),4),装备!B:CU,20,FALSE)</f>
        <v>ReplaceableTextures\\CommandButtons\\BTNIN15.blp</v>
      </c>
      <c r="N141" s="136" t="s">
        <v>83</v>
      </c>
      <c r="O141" s="119" t="s">
        <v>88</v>
      </c>
      <c r="P141" s="7">
        <v>0</v>
      </c>
      <c r="Q141" s="7">
        <v>0</v>
      </c>
      <c r="R141" s="136" t="s">
        <v>83</v>
      </c>
      <c r="S141" s="136" t="s">
        <v>83</v>
      </c>
      <c r="T141" s="136" t="s">
        <v>83</v>
      </c>
      <c r="U141" s="136" t="s">
        <v>83</v>
      </c>
      <c r="V141" s="7"/>
      <c r="W141" s="7" t="s">
        <v>89</v>
      </c>
      <c r="X141" s="7">
        <v>0</v>
      </c>
      <c r="Y141" s="136" t="s">
        <v>83</v>
      </c>
      <c r="Z141" s="7">
        <v>0</v>
      </c>
      <c r="AA141" s="7">
        <v>0</v>
      </c>
      <c r="AB141" s="7">
        <v>0</v>
      </c>
      <c r="AC141" s="7">
        <v>1</v>
      </c>
      <c r="AD141" s="7">
        <v>1</v>
      </c>
      <c r="AE141" s="136" t="s">
        <v>83</v>
      </c>
      <c r="AF141" s="136" t="s">
        <v>83</v>
      </c>
      <c r="AG141" s="136" t="s">
        <v>83</v>
      </c>
      <c r="AH141" s="136" t="s">
        <v>83</v>
      </c>
      <c r="AI141" s="7"/>
      <c r="AJ141" s="7"/>
      <c r="AK141" s="7">
        <v>1</v>
      </c>
      <c r="AL141" s="7">
        <v>1</v>
      </c>
      <c r="AM141" s="136" t="s">
        <v>83</v>
      </c>
      <c r="AN141" s="7">
        <v>1</v>
      </c>
      <c r="AO141" s="7">
        <v>1</v>
      </c>
      <c r="AP141" s="7">
        <v>1</v>
      </c>
    </row>
    <row r="142" spans="1:42">
      <c r="A142" s="116"/>
      <c r="B142" s="7" t="str">
        <f>装备!B142</f>
        <v>IN16</v>
      </c>
      <c r="C142" s="7" t="s">
        <v>41</v>
      </c>
      <c r="D142" s="7" t="s">
        <v>81</v>
      </c>
      <c r="E142" s="7" t="s">
        <v>82</v>
      </c>
      <c r="F142" s="7"/>
      <c r="G142" s="7"/>
      <c r="H142" s="7" t="str">
        <f>VLOOKUP(LEFT(RIGHT(B142,5),4),装备!B:CU,2,FALSE)</f>
        <v>怼上去</v>
      </c>
      <c r="I142" s="7" t="str">
        <f>VLOOKUP(B142,装备!B:CV,99,FALSE)</f>
        <v>获得一个|Cffff0000鸿蒙结晶|r。|n|n|Cff00ff7f“法宝F4”查看，重置指定法宝，品质提升一级。|r</v>
      </c>
      <c r="J142" s="118" t="str">
        <f t="shared" si="50"/>
        <v>怼上去</v>
      </c>
      <c r="K142" s="118" t="str">
        <f t="shared" si="51"/>
        <v>获得一个|Cffff0000鸿蒙结晶|r。|n|n|Cff00ff7f“法宝F4”查看，重置指定法宝，品质提升一级。|r</v>
      </c>
      <c r="L142" s="7"/>
      <c r="M142" s="119" t="str">
        <f>VLOOKUP(LEFT(RIGHT(B142,5),4),装备!B:CU,20,FALSE)</f>
        <v>ReplaceableTextures\\CommandButtons\\BTNIN16.blp</v>
      </c>
      <c r="N142" s="136" t="s">
        <v>83</v>
      </c>
      <c r="O142" s="119" t="s">
        <v>88</v>
      </c>
      <c r="P142" s="7">
        <v>0</v>
      </c>
      <c r="Q142" s="7">
        <v>0</v>
      </c>
      <c r="R142" s="136" t="s">
        <v>83</v>
      </c>
      <c r="S142" s="136" t="s">
        <v>83</v>
      </c>
      <c r="T142" s="136" t="s">
        <v>83</v>
      </c>
      <c r="U142" s="136" t="s">
        <v>83</v>
      </c>
      <c r="V142" s="7"/>
      <c r="W142" s="7" t="s">
        <v>89</v>
      </c>
      <c r="X142" s="7">
        <v>0</v>
      </c>
      <c r="Y142" s="136" t="s">
        <v>83</v>
      </c>
      <c r="Z142" s="7">
        <v>0</v>
      </c>
      <c r="AA142" s="7">
        <v>0</v>
      </c>
      <c r="AB142" s="7">
        <v>0</v>
      </c>
      <c r="AC142" s="7">
        <v>1</v>
      </c>
      <c r="AD142" s="7">
        <v>1</v>
      </c>
      <c r="AE142" s="136" t="s">
        <v>83</v>
      </c>
      <c r="AF142" s="136" t="s">
        <v>83</v>
      </c>
      <c r="AG142" s="136" t="s">
        <v>83</v>
      </c>
      <c r="AH142" s="136" t="s">
        <v>83</v>
      </c>
      <c r="AI142" s="7"/>
      <c r="AJ142" s="7"/>
      <c r="AK142" s="7">
        <v>1</v>
      </c>
      <c r="AL142" s="7">
        <v>1</v>
      </c>
      <c r="AM142" s="136" t="s">
        <v>83</v>
      </c>
      <c r="AN142" s="7">
        <v>1</v>
      </c>
      <c r="AO142" s="7">
        <v>1</v>
      </c>
      <c r="AP142" s="7">
        <v>1</v>
      </c>
    </row>
    <row r="143" spans="1:42">
      <c r="A143" s="116"/>
      <c r="B143" s="7" t="str">
        <f>装备!B143</f>
        <v>IN17</v>
      </c>
      <c r="C143" s="7" t="s">
        <v>41</v>
      </c>
      <c r="D143" s="7" t="s">
        <v>81</v>
      </c>
      <c r="E143" s="7" t="s">
        <v>82</v>
      </c>
      <c r="F143" s="7"/>
      <c r="G143" s="7"/>
      <c r="H143" s="7" t="str">
        <f>VLOOKUP(LEFT(RIGHT(B143,5),4),装备!B:CU,2,FALSE)</f>
        <v>来点杀敌</v>
      </c>
      <c r="I143" s="7" t="str">
        <f>VLOOKUP(B143,装备!B:CV,99,FALSE)</f>
        <v>木头|Cffffc926+3000|r</v>
      </c>
      <c r="J143" s="118" t="str">
        <f t="shared" si="50"/>
        <v>来点杀敌</v>
      </c>
      <c r="K143" s="118" t="str">
        <f t="shared" si="51"/>
        <v>木头|Cffffc926+3000|r</v>
      </c>
      <c r="L143" s="7"/>
      <c r="M143" s="119" t="str">
        <f>VLOOKUP(LEFT(RIGHT(B143,5),4),装备!B:CU,20,FALSE)</f>
        <v>ReplaceableTextures\\CommandButtons\\BTNIN17.blp</v>
      </c>
      <c r="N143" s="136" t="s">
        <v>83</v>
      </c>
      <c r="O143" s="119" t="s">
        <v>88</v>
      </c>
      <c r="P143" s="7">
        <v>0</v>
      </c>
      <c r="Q143" s="7">
        <v>0</v>
      </c>
      <c r="R143" s="136" t="s">
        <v>83</v>
      </c>
      <c r="S143" s="136" t="s">
        <v>83</v>
      </c>
      <c r="T143" s="136" t="s">
        <v>83</v>
      </c>
      <c r="U143" s="136" t="s">
        <v>83</v>
      </c>
      <c r="V143" s="7"/>
      <c r="W143" s="7" t="s">
        <v>89</v>
      </c>
      <c r="X143" s="7">
        <v>0</v>
      </c>
      <c r="Y143" s="136" t="s">
        <v>83</v>
      </c>
      <c r="Z143" s="7">
        <v>0</v>
      </c>
      <c r="AA143" s="7">
        <v>0</v>
      </c>
      <c r="AB143" s="7">
        <v>0</v>
      </c>
      <c r="AC143" s="7">
        <v>1</v>
      </c>
      <c r="AD143" s="7">
        <v>1</v>
      </c>
      <c r="AE143" s="136" t="s">
        <v>83</v>
      </c>
      <c r="AF143" s="136" t="s">
        <v>83</v>
      </c>
      <c r="AG143" s="136" t="s">
        <v>83</v>
      </c>
      <c r="AH143" s="136" t="s">
        <v>83</v>
      </c>
      <c r="AI143" s="7"/>
      <c r="AJ143" s="7"/>
      <c r="AK143" s="7">
        <v>1</v>
      </c>
      <c r="AL143" s="7">
        <v>1</v>
      </c>
      <c r="AM143" s="136" t="s">
        <v>83</v>
      </c>
      <c r="AN143" s="7">
        <v>1</v>
      </c>
      <c r="AO143" s="7">
        <v>1</v>
      </c>
      <c r="AP143" s="7">
        <v>1</v>
      </c>
    </row>
    <row r="144" spans="1:42">
      <c r="A144" s="116"/>
      <c r="B144" s="7" t="str">
        <f>装备!B144</f>
        <v>IN18</v>
      </c>
      <c r="C144" s="7" t="s">
        <v>41</v>
      </c>
      <c r="D144" s="7" t="s">
        <v>81</v>
      </c>
      <c r="E144" s="7" t="s">
        <v>82</v>
      </c>
      <c r="F144" s="7"/>
      <c r="G144" s="7"/>
      <c r="H144" s="7" t="str">
        <f>VLOOKUP(LEFT(RIGHT(B144,5),4),装备!B:CU,2,FALSE)</f>
        <v>真就一点</v>
      </c>
      <c r="I144" s="7" t="str">
        <f>VLOOKUP(B144,装备!B:CV,99,FALSE)</f>
        <v>木头|Cffffc926+300|r</v>
      </c>
      <c r="J144" s="118" t="str">
        <f t="shared" ref="J144" si="52">H144</f>
        <v>真就一点</v>
      </c>
      <c r="K144" s="118" t="str">
        <f t="shared" ref="K144" si="53">I144</f>
        <v>木头|Cffffc926+300|r</v>
      </c>
      <c r="L144" s="7"/>
      <c r="M144" s="119" t="str">
        <f>VLOOKUP(LEFT(RIGHT(B144,5),4),装备!B:CU,20,FALSE)</f>
        <v>ReplaceableTextures\\CommandButtons\\BTNIN18.blp</v>
      </c>
      <c r="N144" s="136" t="s">
        <v>83</v>
      </c>
      <c r="O144" s="119" t="s">
        <v>88</v>
      </c>
      <c r="P144" s="7">
        <v>0</v>
      </c>
      <c r="Q144" s="7">
        <v>0</v>
      </c>
      <c r="R144" s="136" t="s">
        <v>83</v>
      </c>
      <c r="S144" s="136" t="s">
        <v>83</v>
      </c>
      <c r="T144" s="136" t="s">
        <v>83</v>
      </c>
      <c r="U144" s="136" t="s">
        <v>83</v>
      </c>
      <c r="V144" s="7"/>
      <c r="W144" s="7" t="s">
        <v>89</v>
      </c>
      <c r="X144" s="7">
        <v>0</v>
      </c>
      <c r="Y144" s="136" t="s">
        <v>83</v>
      </c>
      <c r="Z144" s="7">
        <v>0</v>
      </c>
      <c r="AA144" s="7">
        <v>0</v>
      </c>
      <c r="AB144" s="7">
        <v>0</v>
      </c>
      <c r="AC144" s="7">
        <v>1</v>
      </c>
      <c r="AD144" s="7">
        <v>1</v>
      </c>
      <c r="AE144" s="136" t="s">
        <v>83</v>
      </c>
      <c r="AF144" s="136" t="s">
        <v>83</v>
      </c>
      <c r="AG144" s="136" t="s">
        <v>83</v>
      </c>
      <c r="AH144" s="136" t="s">
        <v>83</v>
      </c>
      <c r="AI144" s="7"/>
      <c r="AJ144" s="7"/>
      <c r="AK144" s="7">
        <v>1</v>
      </c>
      <c r="AL144" s="7">
        <v>1</v>
      </c>
      <c r="AM144" s="136" t="s">
        <v>83</v>
      </c>
      <c r="AN144" s="7">
        <v>1</v>
      </c>
      <c r="AO144" s="7">
        <v>1</v>
      </c>
      <c r="AP144" s="7">
        <v>1</v>
      </c>
    </row>
    <row r="145" spans="1:42">
      <c r="A145" s="116"/>
      <c r="B145" s="7" t="str">
        <f>装备!B145</f>
        <v>IN19</v>
      </c>
      <c r="C145" s="7" t="s">
        <v>41</v>
      </c>
      <c r="D145" s="7" t="s">
        <v>81</v>
      </c>
      <c r="E145" s="7" t="s">
        <v>82</v>
      </c>
      <c r="F145" s="7"/>
      <c r="G145" s="7"/>
      <c r="H145" s="7" t="str">
        <f>VLOOKUP(LEFT(RIGHT(B145,5),4),装备!B:CU,2,FALSE)</f>
        <v>技能附魔券</v>
      </c>
      <c r="I145" s="7" t="str">
        <f>VLOOKUP(B145,装备!B:CV,99,FALSE)</f>
        <v>使用后获得|Cffffc926随机类型技能附魔卡|r</v>
      </c>
      <c r="J145" s="118" t="str">
        <f t="shared" ref="J145" si="54">H145</f>
        <v>技能附魔券</v>
      </c>
      <c r="K145" s="118" t="str">
        <f t="shared" ref="K145" si="55">I145</f>
        <v>使用后获得|Cffffc926随机类型技能附魔卡|r</v>
      </c>
      <c r="L145" s="7"/>
      <c r="M145" s="119" t="str">
        <f>VLOOKUP(LEFT(RIGHT(B145,5),4),装备!B:CU,20,FALSE)</f>
        <v>ReplaceableTextures\\CommandButtons\\BTNIN19.blp</v>
      </c>
      <c r="N145" s="136" t="s">
        <v>83</v>
      </c>
      <c r="O145" s="119" t="s">
        <v>88</v>
      </c>
      <c r="P145" s="7">
        <v>0</v>
      </c>
      <c r="Q145" s="7">
        <v>0</v>
      </c>
      <c r="R145" s="136" t="s">
        <v>83</v>
      </c>
      <c r="S145" s="136" t="s">
        <v>83</v>
      </c>
      <c r="T145" s="136" t="s">
        <v>83</v>
      </c>
      <c r="U145" s="136" t="s">
        <v>83</v>
      </c>
      <c r="V145" s="7"/>
      <c r="W145" s="7" t="s">
        <v>89</v>
      </c>
      <c r="X145" s="7">
        <v>0</v>
      </c>
      <c r="Y145" s="136" t="s">
        <v>83</v>
      </c>
      <c r="Z145" s="7">
        <v>0</v>
      </c>
      <c r="AA145" s="7">
        <v>0</v>
      </c>
      <c r="AB145" s="7">
        <v>0</v>
      </c>
      <c r="AC145" s="7">
        <v>1</v>
      </c>
      <c r="AD145" s="7">
        <v>1</v>
      </c>
      <c r="AE145" s="136" t="s">
        <v>83</v>
      </c>
      <c r="AF145" s="136" t="s">
        <v>83</v>
      </c>
      <c r="AG145" s="136" t="s">
        <v>83</v>
      </c>
      <c r="AH145" s="136" t="s">
        <v>83</v>
      </c>
      <c r="AI145" s="7"/>
      <c r="AJ145" s="7"/>
      <c r="AK145" s="7">
        <v>1</v>
      </c>
      <c r="AL145" s="7">
        <v>1</v>
      </c>
      <c r="AM145" s="136" t="s">
        <v>83</v>
      </c>
      <c r="AN145" s="7">
        <v>1</v>
      </c>
      <c r="AO145" s="7">
        <v>1</v>
      </c>
      <c r="AP145" s="7">
        <v>1</v>
      </c>
    </row>
    <row r="146" spans="1:42">
      <c r="A146" s="116"/>
      <c r="B146" s="7" t="str">
        <f>装备!B146</f>
        <v>IP01</v>
      </c>
      <c r="C146" s="7" t="s">
        <v>41</v>
      </c>
      <c r="D146" s="7" t="s">
        <v>81</v>
      </c>
      <c r="E146" s="7"/>
      <c r="F146" s="7"/>
      <c r="G146" s="7"/>
      <c r="H146" s="7" t="str">
        <f>VLOOKUP(LEFT(RIGHT(B146,5),4),装备!B:CU,2,FALSE)</f>
        <v>时渊碎片</v>
      </c>
      <c r="I146" s="7" t="str">
        <f>VLOOKUP(B146,装备!B:CV,99,FALSE)</f>
        <v>进入时渊副本消耗时渊碎片</v>
      </c>
      <c r="J146" s="118" t="str">
        <f t="shared" ref="J146" si="56">H146</f>
        <v>时渊碎片</v>
      </c>
      <c r="K146" s="118" t="str">
        <f t="shared" ref="K146" si="57">I146</f>
        <v>进入时渊副本消耗时渊碎片</v>
      </c>
      <c r="L146" s="7"/>
      <c r="M146" s="119" t="str">
        <f>VLOOKUP(LEFT(RIGHT(B146,5),4),装备!B:CU,20,FALSE)</f>
        <v>ReplaceableTextures\\CommandButtons\\BTNIP01.blp</v>
      </c>
      <c r="N146" s="136" t="s">
        <v>83</v>
      </c>
      <c r="O146" s="119" t="s">
        <v>90</v>
      </c>
      <c r="P146" s="7">
        <v>0</v>
      </c>
      <c r="Q146" s="7">
        <v>0</v>
      </c>
      <c r="R146" s="136" t="s">
        <v>83</v>
      </c>
      <c r="S146" s="136" t="s">
        <v>83</v>
      </c>
      <c r="T146" s="136" t="s">
        <v>83</v>
      </c>
      <c r="U146" s="136" t="s">
        <v>83</v>
      </c>
      <c r="V146" s="7"/>
      <c r="W146" s="7" t="s">
        <v>87</v>
      </c>
      <c r="X146" s="7">
        <v>0</v>
      </c>
      <c r="Y146" s="136" t="s">
        <v>83</v>
      </c>
      <c r="Z146" s="7">
        <v>0</v>
      </c>
      <c r="AA146" s="7">
        <v>0</v>
      </c>
      <c r="AB146" s="7">
        <v>0</v>
      </c>
      <c r="AC146" s="7">
        <v>1</v>
      </c>
      <c r="AD146" s="7">
        <v>1</v>
      </c>
      <c r="AE146" s="136" t="s">
        <v>83</v>
      </c>
      <c r="AF146" s="136" t="s">
        <v>83</v>
      </c>
      <c r="AG146" s="136" t="s">
        <v>83</v>
      </c>
      <c r="AH146" s="136" t="s">
        <v>83</v>
      </c>
      <c r="AI146" s="7">
        <v>1</v>
      </c>
      <c r="AJ146" s="7"/>
      <c r="AK146" s="7">
        <v>1</v>
      </c>
      <c r="AL146" s="7">
        <v>1</v>
      </c>
      <c r="AM146" s="136" t="s">
        <v>83</v>
      </c>
      <c r="AN146" s="7">
        <v>1</v>
      </c>
      <c r="AO146" s="7">
        <v>1</v>
      </c>
      <c r="AP146" s="7">
        <v>1</v>
      </c>
    </row>
    <row r="147" spans="1:42">
      <c r="A147" s="116"/>
      <c r="B147" s="7" t="str">
        <f>装备!B147</f>
        <v>IP02</v>
      </c>
      <c r="C147" s="7" t="s">
        <v>41</v>
      </c>
      <c r="D147" s="7" t="s">
        <v>81</v>
      </c>
      <c r="E147" s="7"/>
      <c r="F147" s="7"/>
      <c r="G147" s="7"/>
      <c r="H147" s="7" t="str">
        <f>VLOOKUP(LEFT(RIGHT(B147,5),4),装备!B:CU,2,FALSE)</f>
        <v>补天石</v>
      </c>
      <c r="I147" s="7" t="str">
        <f>VLOOKUP(B147,装备!B:CV,99,FALSE)</f>
        <v>点击|Cffffc926选中指定法宝|r后，再点击|Cffffc926重铸|r，可|Cffffc926重置|r指定法宝，|Cffffc926品质不变|r。|n|n|Cff00ff7f每次重铸消耗1个补天石|r</v>
      </c>
      <c r="J147" s="118" t="str">
        <f t="shared" ref="J147:J151" si="58">H147</f>
        <v>补天石</v>
      </c>
      <c r="K147" s="118" t="str">
        <f t="shared" ref="K147:K151" si="59">I147</f>
        <v>点击|Cffffc926选中指定法宝|r后，再点击|Cffffc926重铸|r，可|Cffffc926重置|r指定法宝，|Cffffc926品质不变|r。|n|n|Cff00ff7f每次重铸消耗1个补天石|r</v>
      </c>
      <c r="L147" s="7"/>
      <c r="M147" s="119" t="str">
        <f>VLOOKUP(LEFT(RIGHT(B147,5),4),装备!B:CU,20,FALSE)</f>
        <v>ReplaceableTextures\\CommandButtons\\BTNIP02.blp</v>
      </c>
      <c r="N147" s="136" t="s">
        <v>83</v>
      </c>
      <c r="O147" s="119" t="s">
        <v>90</v>
      </c>
      <c r="P147" s="7">
        <v>0</v>
      </c>
      <c r="Q147" s="7">
        <v>0</v>
      </c>
      <c r="R147" s="136" t="s">
        <v>83</v>
      </c>
      <c r="S147" s="136" t="s">
        <v>83</v>
      </c>
      <c r="T147" s="136" t="s">
        <v>83</v>
      </c>
      <c r="U147" s="136" t="s">
        <v>83</v>
      </c>
      <c r="V147" s="7"/>
      <c r="W147" s="7" t="s">
        <v>87</v>
      </c>
      <c r="X147" s="7">
        <v>0</v>
      </c>
      <c r="Y147" s="136" t="s">
        <v>83</v>
      </c>
      <c r="Z147" s="7">
        <v>0</v>
      </c>
      <c r="AA147" s="7">
        <v>0</v>
      </c>
      <c r="AB147" s="7">
        <v>0</v>
      </c>
      <c r="AC147" s="7">
        <v>1</v>
      </c>
      <c r="AD147" s="7">
        <v>1</v>
      </c>
      <c r="AE147" s="136" t="s">
        <v>83</v>
      </c>
      <c r="AF147" s="136" t="s">
        <v>83</v>
      </c>
      <c r="AG147" s="136" t="s">
        <v>83</v>
      </c>
      <c r="AH147" s="136" t="s">
        <v>83</v>
      </c>
      <c r="AI147" s="7">
        <v>1</v>
      </c>
      <c r="AJ147" s="7"/>
      <c r="AK147" s="7">
        <v>1</v>
      </c>
      <c r="AL147" s="7">
        <v>1</v>
      </c>
      <c r="AM147" s="136" t="s">
        <v>83</v>
      </c>
      <c r="AN147" s="7">
        <v>1</v>
      </c>
      <c r="AO147" s="7">
        <v>1</v>
      </c>
      <c r="AP147" s="7">
        <v>1</v>
      </c>
    </row>
    <row r="148" spans="1:42">
      <c r="A148" s="116"/>
      <c r="B148" s="7" t="str">
        <f>装备!B148</f>
        <v>IP03</v>
      </c>
      <c r="C148" s="7" t="s">
        <v>41</v>
      </c>
      <c r="D148" s="7" t="s">
        <v>81</v>
      </c>
      <c r="E148" s="7"/>
      <c r="F148" s="7"/>
      <c r="G148" s="7"/>
      <c r="H148" s="7" t="str">
        <f>VLOOKUP(LEFT(RIGHT(B148,5),4),装备!B:CU,2,FALSE)</f>
        <v>鸿蒙结晶</v>
      </c>
      <c r="I148" s="7" t="str">
        <f>VLOOKUP(B148,装备!B:CV,99,FALSE)</f>
        <v>点击|Cffffc926选中指定法宝|r后，再点击|Cffffc926锻造|r，可|Cffffc926重置|r指定法宝，|Cffffc926品质提升一级|r。|n|n|Cff00ff7f每次重铸消耗1个鸿蒙结晶|r</v>
      </c>
      <c r="J148" s="118" t="str">
        <f t="shared" si="58"/>
        <v>鸿蒙结晶</v>
      </c>
      <c r="K148" s="118" t="str">
        <f t="shared" si="59"/>
        <v>点击|Cffffc926选中指定法宝|r后，再点击|Cffffc926锻造|r，可|Cffffc926重置|r指定法宝，|Cffffc926品质提升一级|r。|n|n|Cff00ff7f每次重铸消耗1个鸿蒙结晶|r</v>
      </c>
      <c r="L148" s="7"/>
      <c r="M148" s="119" t="str">
        <f>VLOOKUP(LEFT(RIGHT(B148,5),4),装备!B:CU,20,FALSE)</f>
        <v>ReplaceableTextures\\CommandButtons\\BTNIP03.blp</v>
      </c>
      <c r="N148" s="136" t="s">
        <v>83</v>
      </c>
      <c r="O148" s="119" t="s">
        <v>90</v>
      </c>
      <c r="P148" s="7">
        <v>0</v>
      </c>
      <c r="Q148" s="7">
        <v>0</v>
      </c>
      <c r="R148" s="136" t="s">
        <v>83</v>
      </c>
      <c r="S148" s="136" t="s">
        <v>83</v>
      </c>
      <c r="T148" s="136" t="s">
        <v>83</v>
      </c>
      <c r="U148" s="136" t="s">
        <v>83</v>
      </c>
      <c r="V148" s="7"/>
      <c r="W148" s="7" t="s">
        <v>87</v>
      </c>
      <c r="X148" s="7">
        <v>0</v>
      </c>
      <c r="Y148" s="136" t="s">
        <v>83</v>
      </c>
      <c r="Z148" s="7">
        <v>0</v>
      </c>
      <c r="AA148" s="7">
        <v>0</v>
      </c>
      <c r="AB148" s="7">
        <v>0</v>
      </c>
      <c r="AC148" s="7">
        <v>1</v>
      </c>
      <c r="AD148" s="7">
        <v>1</v>
      </c>
      <c r="AE148" s="136" t="s">
        <v>83</v>
      </c>
      <c r="AF148" s="136" t="s">
        <v>83</v>
      </c>
      <c r="AG148" s="136" t="s">
        <v>83</v>
      </c>
      <c r="AH148" s="136" t="s">
        <v>83</v>
      </c>
      <c r="AI148" s="7">
        <v>1</v>
      </c>
      <c r="AJ148" s="7"/>
      <c r="AK148" s="7">
        <v>1</v>
      </c>
      <c r="AL148" s="7">
        <v>1</v>
      </c>
      <c r="AM148" s="136" t="s">
        <v>83</v>
      </c>
      <c r="AN148" s="7">
        <v>1</v>
      </c>
      <c r="AO148" s="7">
        <v>1</v>
      </c>
      <c r="AP148" s="7">
        <v>1</v>
      </c>
    </row>
    <row r="149" spans="1:42">
      <c r="A149" s="116"/>
      <c r="B149" s="7" t="str">
        <f>装备!B149</f>
        <v>IP04</v>
      </c>
      <c r="C149" s="7" t="s">
        <v>41</v>
      </c>
      <c r="D149" s="7" t="s">
        <v>81</v>
      </c>
      <c r="E149" s="7" t="s">
        <v>82</v>
      </c>
      <c r="F149" s="7"/>
      <c r="G149" s="7"/>
      <c r="H149" s="7" t="str">
        <f>VLOOKUP(LEFT(RIGHT(B149,5),4),装备!B:CU,2,FALSE)</f>
        <v>神兽洗灵石</v>
      </c>
      <c r="I149" s="7">
        <f>VLOOKUP(B149,装备!B:CV,99,FALSE)</f>
        <v>0</v>
      </c>
      <c r="J149" s="118" t="str">
        <f t="shared" ref="J149:J150" si="60">H149</f>
        <v>神兽洗灵石</v>
      </c>
      <c r="K149" s="118">
        <f t="shared" ref="K149:K150" si="61">I149</f>
        <v>0</v>
      </c>
      <c r="L149" s="7"/>
      <c r="M149" s="119" t="str">
        <f>VLOOKUP(LEFT(RIGHT(B149,5),4),装备!B:CU,20,FALSE)</f>
        <v>ReplaceableTextures\\CommandButtons\\BTNIP04.blp</v>
      </c>
      <c r="N149" s="136" t="s">
        <v>83</v>
      </c>
      <c r="O149" s="119" t="s">
        <v>90</v>
      </c>
      <c r="P149" s="7">
        <v>0</v>
      </c>
      <c r="Q149" s="7">
        <v>0</v>
      </c>
      <c r="R149" s="136" t="s">
        <v>83</v>
      </c>
      <c r="S149" s="136" t="s">
        <v>83</v>
      </c>
      <c r="T149" s="136" t="s">
        <v>83</v>
      </c>
      <c r="U149" s="136" t="s">
        <v>83</v>
      </c>
      <c r="V149" s="7"/>
      <c r="W149" s="7" t="s">
        <v>89</v>
      </c>
      <c r="X149" s="7">
        <v>0</v>
      </c>
      <c r="Y149" s="136" t="s">
        <v>83</v>
      </c>
      <c r="Z149" s="7">
        <v>0</v>
      </c>
      <c r="AA149" s="7">
        <v>0</v>
      </c>
      <c r="AB149" s="7">
        <v>0</v>
      </c>
      <c r="AC149" s="7">
        <v>1</v>
      </c>
      <c r="AD149" s="7">
        <v>1</v>
      </c>
      <c r="AE149" s="136" t="s">
        <v>83</v>
      </c>
      <c r="AF149" s="136" t="s">
        <v>83</v>
      </c>
      <c r="AG149" s="136" t="s">
        <v>83</v>
      </c>
      <c r="AH149" s="136" t="s">
        <v>83</v>
      </c>
      <c r="AI149" s="7"/>
      <c r="AJ149" s="7"/>
      <c r="AK149" s="7">
        <v>1</v>
      </c>
      <c r="AL149" s="7">
        <v>1</v>
      </c>
      <c r="AM149" s="136" t="s">
        <v>83</v>
      </c>
      <c r="AN149" s="7">
        <v>1</v>
      </c>
      <c r="AO149" s="7">
        <v>1</v>
      </c>
      <c r="AP149" s="7">
        <v>1</v>
      </c>
    </row>
    <row r="150" spans="1:42">
      <c r="A150" s="116"/>
      <c r="B150" s="7" t="str">
        <f>装备!B150</f>
        <v>IP05</v>
      </c>
      <c r="C150" s="7" t="s">
        <v>41</v>
      </c>
      <c r="D150" s="7" t="s">
        <v>81</v>
      </c>
      <c r="E150" s="7" t="s">
        <v>82</v>
      </c>
      <c r="F150" s="7"/>
      <c r="G150" s="7"/>
      <c r="H150" s="7" t="str">
        <f>VLOOKUP(LEFT(RIGHT(B150,5),4),装备!B:CU,2,FALSE)</f>
        <v>虚空圣战卡</v>
      </c>
      <c r="I150" s="7">
        <f>VLOOKUP(B150,装备!B:CV,99,FALSE)</f>
        <v>0</v>
      </c>
      <c r="J150" s="118" t="str">
        <f t="shared" si="60"/>
        <v>虚空圣战卡</v>
      </c>
      <c r="K150" s="118">
        <f t="shared" si="61"/>
        <v>0</v>
      </c>
      <c r="L150" s="7"/>
      <c r="M150" s="119" t="str">
        <f>VLOOKUP(LEFT(RIGHT(B150,5),4),装备!B:CU,20,FALSE)</f>
        <v>ReplaceableTextures\\CommandButtons\\BTNIP05.blp</v>
      </c>
      <c r="N150" s="136" t="s">
        <v>83</v>
      </c>
      <c r="O150" s="119" t="s">
        <v>90</v>
      </c>
      <c r="P150" s="7">
        <v>0</v>
      </c>
      <c r="Q150" s="7">
        <v>0</v>
      </c>
      <c r="R150" s="136" t="s">
        <v>83</v>
      </c>
      <c r="S150" s="136" t="s">
        <v>83</v>
      </c>
      <c r="T150" s="136" t="s">
        <v>83</v>
      </c>
      <c r="U150" s="136" t="s">
        <v>83</v>
      </c>
      <c r="V150" s="7"/>
      <c r="W150" s="7" t="s">
        <v>89</v>
      </c>
      <c r="X150" s="7">
        <v>0</v>
      </c>
      <c r="Y150" s="136" t="s">
        <v>83</v>
      </c>
      <c r="Z150" s="7">
        <v>0</v>
      </c>
      <c r="AA150" s="7">
        <v>0</v>
      </c>
      <c r="AB150" s="7">
        <v>0</v>
      </c>
      <c r="AC150" s="7">
        <v>1</v>
      </c>
      <c r="AD150" s="7">
        <v>1</v>
      </c>
      <c r="AE150" s="136" t="s">
        <v>83</v>
      </c>
      <c r="AF150" s="136" t="s">
        <v>83</v>
      </c>
      <c r="AG150" s="136" t="s">
        <v>83</v>
      </c>
      <c r="AH150" s="136" t="s">
        <v>83</v>
      </c>
      <c r="AI150" s="7"/>
      <c r="AJ150" s="7"/>
      <c r="AK150" s="7">
        <v>1</v>
      </c>
      <c r="AL150" s="7">
        <v>1</v>
      </c>
      <c r="AM150" s="136" t="s">
        <v>83</v>
      </c>
      <c r="AN150" s="7">
        <v>1</v>
      </c>
      <c r="AO150" s="7">
        <v>1</v>
      </c>
      <c r="AP150" s="7">
        <v>1</v>
      </c>
    </row>
    <row r="151" spans="1:42">
      <c r="A151" s="116"/>
      <c r="B151" s="7" t="str">
        <f>装备!B151</f>
        <v>IT01</v>
      </c>
      <c r="C151" s="7" t="s">
        <v>41</v>
      </c>
      <c r="D151" s="7" t="s">
        <v>81</v>
      </c>
      <c r="E151" s="7"/>
      <c r="F151" s="7"/>
      <c r="G151" s="7"/>
      <c r="H151" s="7" t="str">
        <f>VLOOKUP(LEFT(RIGHT(B151,5),4),装备!B:CU,2,FALSE)</f>
        <v>噬心劫</v>
      </c>
      <c r="I151" s="7" t="str">
        <f>VLOOKUP(B151,装备!B:CV,99,FALSE)</f>
        <v>渡过该劫后可结成低级道果。|n|n|Cfff0f0f0低级道果：|r|n攻击+1000|n法强+1000|n生命值+2000|n|Cffffd24d元神力+2|r|n|n|Cff00ff7f战力推荐：|r|n</v>
      </c>
      <c r="J151" s="118" t="str">
        <f t="shared" si="58"/>
        <v>噬心劫</v>
      </c>
      <c r="K151" s="118" t="str">
        <f t="shared" si="59"/>
        <v>渡过该劫后可结成低级道果。|n|n|Cfff0f0f0低级道果：|r|n攻击+1000|n法强+1000|n生命值+2000|n|Cffffd24d元神力+2|r|n|n|Cff00ff7f战力推荐：|r|n</v>
      </c>
      <c r="L151" s="7"/>
      <c r="M151" s="119" t="str">
        <f>VLOOKUP(LEFT(RIGHT(B151,5),4),装备!B:CU,20,FALSE)</f>
        <v>ReplaceableTextures\\CommandButtons\\BTNIT01.blp</v>
      </c>
      <c r="N151" s="136" t="s">
        <v>83</v>
      </c>
      <c r="O151" s="119" t="s">
        <v>90</v>
      </c>
      <c r="P151" s="7">
        <v>0</v>
      </c>
      <c r="Q151" s="7">
        <v>0</v>
      </c>
      <c r="R151" s="136" t="s">
        <v>83</v>
      </c>
      <c r="S151" s="136" t="s">
        <v>83</v>
      </c>
      <c r="T151" s="136" t="s">
        <v>83</v>
      </c>
      <c r="U151" s="136" t="s">
        <v>83</v>
      </c>
      <c r="V151" s="7"/>
      <c r="W151" s="7" t="s">
        <v>87</v>
      </c>
      <c r="X151" s="7">
        <v>2000</v>
      </c>
      <c r="Y151" s="136" t="s">
        <v>83</v>
      </c>
      <c r="Z151" s="7">
        <v>0</v>
      </c>
      <c r="AA151" s="7">
        <v>0</v>
      </c>
      <c r="AB151" s="118">
        <v>1</v>
      </c>
      <c r="AC151" s="7">
        <v>1</v>
      </c>
      <c r="AD151" s="7">
        <v>1</v>
      </c>
      <c r="AE151" s="136" t="s">
        <v>83</v>
      </c>
      <c r="AF151" s="136" t="s">
        <v>83</v>
      </c>
      <c r="AG151" s="136" t="s">
        <v>83</v>
      </c>
      <c r="AH151" s="136" t="s">
        <v>83</v>
      </c>
      <c r="AI151" s="7">
        <v>1</v>
      </c>
      <c r="AJ151" s="7"/>
      <c r="AK151" s="7">
        <v>1</v>
      </c>
      <c r="AL151" s="7">
        <v>1</v>
      </c>
      <c r="AM151" s="136" t="s">
        <v>83</v>
      </c>
      <c r="AN151" s="7">
        <v>1</v>
      </c>
      <c r="AO151" s="7">
        <v>1</v>
      </c>
      <c r="AP151" s="7">
        <v>1</v>
      </c>
    </row>
    <row r="152" spans="1:42">
      <c r="A152" s="116"/>
      <c r="B152" s="7" t="str">
        <f>装备!B152</f>
        <v>IT02</v>
      </c>
      <c r="C152" s="7" t="s">
        <v>41</v>
      </c>
      <c r="D152" s="7" t="s">
        <v>81</v>
      </c>
      <c r="E152" s="7"/>
      <c r="F152" s="7"/>
      <c r="G152" s="7"/>
      <c r="H152" s="7" t="str">
        <f>VLOOKUP(LEFT(RIGHT(B152,5),4),装备!B:CU,2,FALSE)</f>
        <v>三重轰雷劫</v>
      </c>
      <c r="I152" s="7" t="str">
        <f>VLOOKUP(B152,装备!B:CV,99,FALSE)</f>
        <v>渡过该劫后可结成中级道果。|n|n|Cfff0f0f0中级道果：|r|n攻击+1500|n法强+1500|n生命值+3000 |n|Cffffd24d元神力+4|r|n|n|Cff00ff7f战力推荐：|r|n</v>
      </c>
      <c r="J152" s="118" t="str">
        <f t="shared" ref="J152:J186" si="62">H152</f>
        <v>三重轰雷劫</v>
      </c>
      <c r="K152" s="118" t="str">
        <f t="shared" ref="K152:K186" si="63">I152</f>
        <v>渡过该劫后可结成中级道果。|n|n|Cfff0f0f0中级道果：|r|n攻击+1500|n法强+1500|n生命值+3000 |n|Cffffd24d元神力+4|r|n|n|Cff00ff7f战力推荐：|r|n</v>
      </c>
      <c r="L152" s="7"/>
      <c r="M152" s="119" t="str">
        <f>VLOOKUP(LEFT(RIGHT(B152,5),4),装备!B:CU,20,FALSE)</f>
        <v>ReplaceableTextures\\CommandButtons\\BTNIT02.blp</v>
      </c>
      <c r="N152" s="136" t="s">
        <v>83</v>
      </c>
      <c r="O152" s="119" t="s">
        <v>90</v>
      </c>
      <c r="P152" s="7">
        <v>1</v>
      </c>
      <c r="Q152" s="7">
        <v>0</v>
      </c>
      <c r="R152" s="136" t="s">
        <v>83</v>
      </c>
      <c r="S152" s="136" t="s">
        <v>83</v>
      </c>
      <c r="T152" s="136" t="s">
        <v>83</v>
      </c>
      <c r="U152" s="136" t="s">
        <v>83</v>
      </c>
      <c r="V152" s="7"/>
      <c r="W152" s="7" t="s">
        <v>87</v>
      </c>
      <c r="X152" s="7">
        <v>4000</v>
      </c>
      <c r="Y152" s="136" t="s">
        <v>83</v>
      </c>
      <c r="Z152" s="7">
        <v>0</v>
      </c>
      <c r="AA152" s="7">
        <v>0</v>
      </c>
      <c r="AB152" s="118">
        <v>2</v>
      </c>
      <c r="AC152" s="7">
        <v>1</v>
      </c>
      <c r="AD152" s="7">
        <v>1</v>
      </c>
      <c r="AE152" s="136" t="s">
        <v>83</v>
      </c>
      <c r="AF152" s="136" t="s">
        <v>83</v>
      </c>
      <c r="AG152" s="136" t="s">
        <v>83</v>
      </c>
      <c r="AH152" s="136" t="s">
        <v>83</v>
      </c>
      <c r="AI152" s="7">
        <v>1</v>
      </c>
      <c r="AJ152" s="7"/>
      <c r="AK152" s="7">
        <v>1</v>
      </c>
      <c r="AL152" s="7">
        <v>1</v>
      </c>
      <c r="AM152" s="136" t="s">
        <v>83</v>
      </c>
      <c r="AN152" s="7">
        <v>1</v>
      </c>
      <c r="AO152" s="7">
        <v>1</v>
      </c>
      <c r="AP152" s="7">
        <v>1</v>
      </c>
    </row>
    <row r="153" spans="1:42">
      <c r="A153" s="116"/>
      <c r="B153" s="7" t="str">
        <f>装备!B153</f>
        <v>IT03</v>
      </c>
      <c r="C153" s="7" t="s">
        <v>41</v>
      </c>
      <c r="D153" s="7" t="s">
        <v>81</v>
      </c>
      <c r="E153" s="7"/>
      <c r="F153" s="7"/>
      <c r="G153" s="7"/>
      <c r="H153" s="7" t="str">
        <f>VLOOKUP(LEFT(RIGHT(B153,5),4),装备!B:CU,2,FALSE)</f>
        <v>六重天雷劫</v>
      </c>
      <c r="I153" s="7" t="str">
        <f>VLOOKUP(B153,装备!B:CV,99,FALSE)</f>
        <v>渡过该劫后可结成|Cff00ff7f高级道果|r。|n|n|Cff00ff7f高级道果：|r|n攻击+2000|n法强+2000|n生命值+4000 |n|Cffffd24d元神力+5|r|n|n|Cff00ff7f战力推荐：|r|n</v>
      </c>
      <c r="J153" s="118" t="str">
        <f t="shared" si="62"/>
        <v>六重天雷劫</v>
      </c>
      <c r="K153" s="118" t="str">
        <f t="shared" si="63"/>
        <v>渡过该劫后可结成|Cff00ff7f高级道果|r。|n|n|Cff00ff7f高级道果：|r|n攻击+2000|n法强+2000|n生命值+4000 |n|Cffffd24d元神力+5|r|n|n|Cff00ff7f战力推荐：|r|n</v>
      </c>
      <c r="L153" s="7"/>
      <c r="M153" s="119" t="str">
        <f>VLOOKUP(LEFT(RIGHT(B153,5),4),装备!B:CU,20,FALSE)</f>
        <v>ReplaceableTextures\\CommandButtons\\BTNIT03.blp</v>
      </c>
      <c r="N153" s="136" t="s">
        <v>83</v>
      </c>
      <c r="O153" s="119" t="s">
        <v>90</v>
      </c>
      <c r="P153" s="7">
        <v>2</v>
      </c>
      <c r="Q153" s="7">
        <v>0</v>
      </c>
      <c r="R153" s="136" t="s">
        <v>83</v>
      </c>
      <c r="S153" s="136" t="s">
        <v>83</v>
      </c>
      <c r="T153" s="136" t="s">
        <v>83</v>
      </c>
      <c r="U153" s="136" t="s">
        <v>83</v>
      </c>
      <c r="V153" s="7"/>
      <c r="W153" s="7" t="s">
        <v>87</v>
      </c>
      <c r="X153" s="7">
        <v>6000</v>
      </c>
      <c r="Y153" s="136" t="s">
        <v>83</v>
      </c>
      <c r="Z153" s="7">
        <v>0</v>
      </c>
      <c r="AA153" s="7">
        <v>0</v>
      </c>
      <c r="AB153" s="118">
        <v>3</v>
      </c>
      <c r="AC153" s="7">
        <v>1</v>
      </c>
      <c r="AD153" s="7">
        <v>1</v>
      </c>
      <c r="AE153" s="136" t="s">
        <v>83</v>
      </c>
      <c r="AF153" s="136" t="s">
        <v>83</v>
      </c>
      <c r="AG153" s="136" t="s">
        <v>83</v>
      </c>
      <c r="AH153" s="136" t="s">
        <v>83</v>
      </c>
      <c r="AI153" s="7">
        <v>1</v>
      </c>
      <c r="AJ153" s="7"/>
      <c r="AK153" s="7">
        <v>1</v>
      </c>
      <c r="AL153" s="7">
        <v>1</v>
      </c>
      <c r="AM153" s="136" t="s">
        <v>83</v>
      </c>
      <c r="AN153" s="7">
        <v>1</v>
      </c>
      <c r="AO153" s="7">
        <v>1</v>
      </c>
      <c r="AP153" s="7">
        <v>1</v>
      </c>
    </row>
    <row r="154" spans="1:42">
      <c r="A154" s="116"/>
      <c r="B154" s="7" t="str">
        <f>装备!B154</f>
        <v>IT04</v>
      </c>
      <c r="C154" s="7" t="s">
        <v>41</v>
      </c>
      <c r="D154" s="7" t="s">
        <v>81</v>
      </c>
      <c r="E154" s="7"/>
      <c r="F154" s="7"/>
      <c r="G154" s="7"/>
      <c r="H154" s="7" t="str">
        <f>VLOOKUP(LEFT(RIGHT(B154,5),4),装备!B:CU,2,FALSE)</f>
        <v>九重煅神劫</v>
      </c>
      <c r="I154" s="7" t="str">
        <f>VLOOKUP(B154,装备!B:CV,99,FALSE)</f>
        <v>渡过该劫后可结成|Cff00ff7f黄级道果|r。|n|n|Cff00ff7f黄级道果：|r|n攻击+2500|n法强+2500|n生命值+5000|n|Cffffd24d元神力+6|r|n|n|Cff00ff7f战力推荐：|r|n</v>
      </c>
      <c r="J154" s="118" t="str">
        <f t="shared" si="62"/>
        <v>九重煅神劫</v>
      </c>
      <c r="K154" s="118" t="str">
        <f t="shared" si="63"/>
        <v>渡过该劫后可结成|Cff00ff7f黄级道果|r。|n|n|Cff00ff7f黄级道果：|r|n攻击+2500|n法强+2500|n生命值+5000|n|Cffffd24d元神力+6|r|n|n|Cff00ff7f战力推荐：|r|n</v>
      </c>
      <c r="L154" s="7"/>
      <c r="M154" s="119" t="str">
        <f>VLOOKUP(LEFT(RIGHT(B154,5),4),装备!B:CU,20,FALSE)</f>
        <v>ReplaceableTextures\\CommandButtons\\BTNIT04.blp</v>
      </c>
      <c r="N154" s="136" t="s">
        <v>83</v>
      </c>
      <c r="O154" s="119" t="s">
        <v>90</v>
      </c>
      <c r="P154" s="7">
        <v>3</v>
      </c>
      <c r="Q154" s="7">
        <v>0</v>
      </c>
      <c r="R154" s="136" t="s">
        <v>83</v>
      </c>
      <c r="S154" s="136" t="s">
        <v>83</v>
      </c>
      <c r="T154" s="136" t="s">
        <v>83</v>
      </c>
      <c r="U154" s="136" t="s">
        <v>83</v>
      </c>
      <c r="V154" s="7"/>
      <c r="W154" s="7" t="s">
        <v>87</v>
      </c>
      <c r="X154" s="7">
        <v>10000</v>
      </c>
      <c r="Y154" s="136" t="s">
        <v>83</v>
      </c>
      <c r="Z154" s="7">
        <v>0</v>
      </c>
      <c r="AA154" s="7">
        <v>0</v>
      </c>
      <c r="AB154" s="118">
        <v>4</v>
      </c>
      <c r="AC154" s="7">
        <v>1</v>
      </c>
      <c r="AD154" s="7">
        <v>1</v>
      </c>
      <c r="AE154" s="136" t="s">
        <v>83</v>
      </c>
      <c r="AF154" s="136" t="s">
        <v>83</v>
      </c>
      <c r="AG154" s="136" t="s">
        <v>83</v>
      </c>
      <c r="AH154" s="136" t="s">
        <v>83</v>
      </c>
      <c r="AI154" s="7">
        <v>1</v>
      </c>
      <c r="AJ154" s="7"/>
      <c r="AK154" s="7">
        <v>1</v>
      </c>
      <c r="AL154" s="7">
        <v>1</v>
      </c>
      <c r="AM154" s="136" t="s">
        <v>83</v>
      </c>
      <c r="AN154" s="7">
        <v>1</v>
      </c>
      <c r="AO154" s="7">
        <v>1</v>
      </c>
      <c r="AP154" s="7">
        <v>1</v>
      </c>
    </row>
    <row r="155" spans="1:42">
      <c r="A155" s="116"/>
      <c r="B155" s="7" t="str">
        <f>装备!B155</f>
        <v>IT05</v>
      </c>
      <c r="C155" s="7" t="s">
        <v>41</v>
      </c>
      <c r="D155" s="7" t="s">
        <v>81</v>
      </c>
      <c r="E155" s="7"/>
      <c r="F155" s="7"/>
      <c r="G155" s="7"/>
      <c r="H155" s="7" t="str">
        <f>VLOOKUP(LEFT(RIGHT(B155,5),4),装备!B:CU,2,FALSE)</f>
        <v>灭魄血煞劫</v>
      </c>
      <c r="I155" s="7" t="str">
        <f>VLOOKUP(B155,装备!B:CV,99,FALSE)</f>
        <v>渡过该劫后可结成|Cff00bfff玄级道果|r。|n|n|Cff00bfff玄级道果：|r|n攻击+3000|n法强+3000|n生命值+6000|n|Cffffd24d元神力+7|r|n|n|Cff00ff7f战力推荐：|r|n</v>
      </c>
      <c r="J155" s="118" t="str">
        <f t="shared" si="62"/>
        <v>灭魄血煞劫</v>
      </c>
      <c r="K155" s="118" t="str">
        <f t="shared" si="63"/>
        <v>渡过该劫后可结成|Cff00bfff玄级道果|r。|n|n|Cff00bfff玄级道果：|r|n攻击+3000|n法强+3000|n生命值+6000|n|Cffffd24d元神力+7|r|n|n|Cff00ff7f战力推荐：|r|n</v>
      </c>
      <c r="L155" s="7"/>
      <c r="M155" s="119" t="str">
        <f>VLOOKUP(LEFT(RIGHT(B155,5),4),装备!B:CU,20,FALSE)</f>
        <v>ReplaceableTextures\\CommandButtons\\BTNIT05.blp</v>
      </c>
      <c r="N155" s="136" t="s">
        <v>83</v>
      </c>
      <c r="O155" s="119" t="s">
        <v>90</v>
      </c>
      <c r="P155" s="7">
        <v>0</v>
      </c>
      <c r="Q155" s="7">
        <v>1</v>
      </c>
      <c r="R155" s="136" t="s">
        <v>83</v>
      </c>
      <c r="S155" s="136" t="s">
        <v>83</v>
      </c>
      <c r="T155" s="136" t="s">
        <v>83</v>
      </c>
      <c r="U155" s="136" t="s">
        <v>83</v>
      </c>
      <c r="V155" s="7"/>
      <c r="W155" s="7" t="s">
        <v>87</v>
      </c>
      <c r="X155" s="7">
        <v>15000</v>
      </c>
      <c r="Y155" s="136" t="s">
        <v>83</v>
      </c>
      <c r="Z155" s="7">
        <v>0</v>
      </c>
      <c r="AA155" s="7">
        <v>0</v>
      </c>
      <c r="AB155" s="118">
        <v>5</v>
      </c>
      <c r="AC155" s="7">
        <v>1</v>
      </c>
      <c r="AD155" s="7">
        <v>1</v>
      </c>
      <c r="AE155" s="136" t="s">
        <v>83</v>
      </c>
      <c r="AF155" s="136" t="s">
        <v>83</v>
      </c>
      <c r="AG155" s="136" t="s">
        <v>83</v>
      </c>
      <c r="AH155" s="136" t="s">
        <v>83</v>
      </c>
      <c r="AI155" s="7">
        <v>1</v>
      </c>
      <c r="AJ155" s="7"/>
      <c r="AK155" s="7">
        <v>1</v>
      </c>
      <c r="AL155" s="7">
        <v>1</v>
      </c>
      <c r="AM155" s="136" t="s">
        <v>83</v>
      </c>
      <c r="AN155" s="7">
        <v>1</v>
      </c>
      <c r="AO155" s="7">
        <v>1</v>
      </c>
      <c r="AP155" s="7">
        <v>1</v>
      </c>
    </row>
    <row r="156" spans="1:42">
      <c r="A156" s="116"/>
      <c r="B156" s="7" t="str">
        <f>装备!B156</f>
        <v>IT06</v>
      </c>
      <c r="C156" s="7" t="s">
        <v>41</v>
      </c>
      <c r="D156" s="7" t="s">
        <v>81</v>
      </c>
      <c r="E156" s="7"/>
      <c r="F156" s="7"/>
      <c r="G156" s="7"/>
      <c r="H156" s="7" t="str">
        <f>VLOOKUP(LEFT(RIGHT(B156,5),4),装备!B:CU,2,FALSE)</f>
        <v>入微洞虚劫</v>
      </c>
      <c r="I156" s="7" t="str">
        <f>VLOOKUP(B156,装备!B:CV,99,FALSE)</f>
        <v>渡过该劫后可结成|Cff00bfff地级道果|r。|n|n|Cff00bfff地级道果：|r|n攻击+4000|n法强+4000|n生命值+8000|n|Cffffd24d元神力+9|r|n|n|n|Cff00ff7f战力推荐：|r|n</v>
      </c>
      <c r="J156" s="118" t="str">
        <f t="shared" si="62"/>
        <v>入微洞虚劫</v>
      </c>
      <c r="K156" s="118" t="str">
        <f t="shared" si="63"/>
        <v>渡过该劫后可结成|Cff00bfff地级道果|r。|n|n|Cff00bfff地级道果：|r|n攻击+4000|n法强+4000|n生命值+8000|n|Cffffd24d元神力+9|r|n|n|n|Cff00ff7f战力推荐：|r|n</v>
      </c>
      <c r="L156" s="7"/>
      <c r="M156" s="119" t="str">
        <f>VLOOKUP(LEFT(RIGHT(B156,5),4),装备!B:CU,20,FALSE)</f>
        <v>ReplaceableTextures\\CommandButtons\\BTNIT06.blp</v>
      </c>
      <c r="N156" s="136" t="s">
        <v>83</v>
      </c>
      <c r="O156" s="119" t="s">
        <v>90</v>
      </c>
      <c r="P156" s="7">
        <v>1</v>
      </c>
      <c r="Q156" s="7">
        <v>1</v>
      </c>
      <c r="R156" s="136" t="s">
        <v>83</v>
      </c>
      <c r="S156" s="136" t="s">
        <v>83</v>
      </c>
      <c r="T156" s="136" t="s">
        <v>83</v>
      </c>
      <c r="U156" s="136" t="s">
        <v>83</v>
      </c>
      <c r="V156" s="7"/>
      <c r="W156" s="7" t="s">
        <v>87</v>
      </c>
      <c r="X156" s="7">
        <v>20000</v>
      </c>
      <c r="Y156" s="136" t="s">
        <v>83</v>
      </c>
      <c r="Z156" s="7">
        <v>0</v>
      </c>
      <c r="AA156" s="7">
        <v>0</v>
      </c>
      <c r="AB156" s="118">
        <v>6</v>
      </c>
      <c r="AC156" s="7">
        <v>1</v>
      </c>
      <c r="AD156" s="7">
        <v>1</v>
      </c>
      <c r="AE156" s="136" t="s">
        <v>83</v>
      </c>
      <c r="AF156" s="136" t="s">
        <v>83</v>
      </c>
      <c r="AG156" s="136" t="s">
        <v>83</v>
      </c>
      <c r="AH156" s="136" t="s">
        <v>83</v>
      </c>
      <c r="AI156" s="7">
        <v>1</v>
      </c>
      <c r="AJ156" s="7"/>
      <c r="AK156" s="7">
        <v>1</v>
      </c>
      <c r="AL156" s="7">
        <v>1</v>
      </c>
      <c r="AM156" s="136" t="s">
        <v>83</v>
      </c>
      <c r="AN156" s="7">
        <v>1</v>
      </c>
      <c r="AO156" s="7">
        <v>1</v>
      </c>
      <c r="AP156" s="7">
        <v>1</v>
      </c>
    </row>
    <row r="157" spans="1:42">
      <c r="A157" s="116"/>
      <c r="B157" s="7" t="str">
        <f>装备!B157</f>
        <v>IT07</v>
      </c>
      <c r="C157" s="7" t="s">
        <v>41</v>
      </c>
      <c r="D157" s="7" t="s">
        <v>81</v>
      </c>
      <c r="E157" s="7"/>
      <c r="F157" s="7"/>
      <c r="G157" s="7"/>
      <c r="H157" s="7" t="str">
        <f>VLOOKUP(LEFT(RIGHT(B157,5),4),装备!B:CU,2,FALSE)</f>
        <v>因果厄难劫</v>
      </c>
      <c r="I157" s="7" t="str">
        <f>VLOOKUP(B157,装备!B:CV,99,FALSE)</f>
        <v>渡过该劫后可结成|Cffffc926天级道果|r。|n|n|Cffffc926天级道果：|r|n攻击+5000|n法强+5000|n生命值+10000|n|Cffffd24d元神力+11|r|n|n|Cff00ff7f战力推荐：|r|n</v>
      </c>
      <c r="J157" s="118" t="str">
        <f t="shared" si="62"/>
        <v>因果厄难劫</v>
      </c>
      <c r="K157" s="118" t="str">
        <f t="shared" si="63"/>
        <v>渡过该劫后可结成|Cffffc926天级道果|r。|n|n|Cffffc926天级道果：|r|n攻击+5000|n法强+5000|n生命值+10000|n|Cffffd24d元神力+11|r|n|n|Cff00ff7f战力推荐：|r|n</v>
      </c>
      <c r="L157" s="7"/>
      <c r="M157" s="119" t="str">
        <f>VLOOKUP(LEFT(RIGHT(B157,5),4),装备!B:CU,20,FALSE)</f>
        <v>ReplaceableTextures\\CommandButtons\\BTNIT07.blp</v>
      </c>
      <c r="N157" s="136" t="s">
        <v>83</v>
      </c>
      <c r="O157" s="119" t="s">
        <v>90</v>
      </c>
      <c r="P157" s="7">
        <v>2</v>
      </c>
      <c r="Q157" s="7">
        <v>1</v>
      </c>
      <c r="R157" s="136" t="s">
        <v>83</v>
      </c>
      <c r="S157" s="136" t="s">
        <v>83</v>
      </c>
      <c r="T157" s="136" t="s">
        <v>83</v>
      </c>
      <c r="U157" s="136" t="s">
        <v>83</v>
      </c>
      <c r="V157" s="7"/>
      <c r="W157" s="7" t="s">
        <v>87</v>
      </c>
      <c r="X157" s="7">
        <v>30000</v>
      </c>
      <c r="Y157" s="136" t="s">
        <v>83</v>
      </c>
      <c r="Z157" s="7">
        <v>0</v>
      </c>
      <c r="AA157" s="7">
        <v>0</v>
      </c>
      <c r="AB157" s="118">
        <v>7</v>
      </c>
      <c r="AC157" s="7">
        <v>1</v>
      </c>
      <c r="AD157" s="7">
        <v>1</v>
      </c>
      <c r="AE157" s="136" t="s">
        <v>83</v>
      </c>
      <c r="AF157" s="136" t="s">
        <v>83</v>
      </c>
      <c r="AG157" s="136" t="s">
        <v>83</v>
      </c>
      <c r="AH157" s="136" t="s">
        <v>83</v>
      </c>
      <c r="AI157" s="7">
        <v>1</v>
      </c>
      <c r="AJ157" s="7"/>
      <c r="AK157" s="7">
        <v>1</v>
      </c>
      <c r="AL157" s="7">
        <v>1</v>
      </c>
      <c r="AM157" s="136" t="s">
        <v>83</v>
      </c>
      <c r="AN157" s="7">
        <v>1</v>
      </c>
      <c r="AO157" s="7">
        <v>1</v>
      </c>
      <c r="AP157" s="7">
        <v>1</v>
      </c>
    </row>
    <row r="158" spans="1:42">
      <c r="A158" s="116"/>
      <c r="B158" s="7" t="str">
        <f>装备!B158</f>
        <v>IT08</v>
      </c>
      <c r="C158" s="7" t="s">
        <v>41</v>
      </c>
      <c r="D158" s="7" t="s">
        <v>81</v>
      </c>
      <c r="E158" s="7"/>
      <c r="F158" s="7"/>
      <c r="G158" s="7"/>
      <c r="H158" s="7" t="str">
        <f>VLOOKUP(LEFT(RIGHT(B158,5),4),装备!B:CU,2,FALSE)</f>
        <v>迷魂幻世劫</v>
      </c>
      <c r="I158" s="7" t="str">
        <f>VLOOKUP(B158,装备!B:CV,99,FALSE)</f>
        <v>渡过该劫后可结成|Cffffc926仙品道果|r。|n|n|Cffffc926仙品道果：|r|n攻击+6500|n法强+6500|n生命值+13000|n|Cffffd24d元神力+13|r|n|n|Cff00ff7f战力推荐：|r</v>
      </c>
      <c r="J158" s="118" t="str">
        <f t="shared" si="62"/>
        <v>迷魂幻世劫</v>
      </c>
      <c r="K158" s="118" t="str">
        <f t="shared" si="63"/>
        <v>渡过该劫后可结成|Cffffc926仙品道果|r。|n|n|Cffffc926仙品道果：|r|n攻击+6500|n法强+6500|n生命值+13000|n|Cffffd24d元神力+13|r|n|n|Cff00ff7f战力推荐：|r</v>
      </c>
      <c r="L158" s="7"/>
      <c r="M158" s="119" t="str">
        <f>VLOOKUP(LEFT(RIGHT(B158,5),4),装备!B:CU,20,FALSE)</f>
        <v>ReplaceableTextures\\CommandButtons\\BTNIT08.blp</v>
      </c>
      <c r="N158" s="136" t="s">
        <v>83</v>
      </c>
      <c r="O158" s="119" t="s">
        <v>90</v>
      </c>
      <c r="P158" s="7">
        <v>3</v>
      </c>
      <c r="Q158" s="7">
        <v>1</v>
      </c>
      <c r="R158" s="136" t="s">
        <v>83</v>
      </c>
      <c r="S158" s="136" t="s">
        <v>83</v>
      </c>
      <c r="T158" s="136" t="s">
        <v>83</v>
      </c>
      <c r="U158" s="136" t="s">
        <v>83</v>
      </c>
      <c r="V158" s="7"/>
      <c r="W158" s="7" t="s">
        <v>87</v>
      </c>
      <c r="X158" s="7">
        <v>40000</v>
      </c>
      <c r="Y158" s="136" t="s">
        <v>83</v>
      </c>
      <c r="Z158" s="7">
        <v>0</v>
      </c>
      <c r="AA158" s="7">
        <v>0</v>
      </c>
      <c r="AB158" s="118">
        <v>8</v>
      </c>
      <c r="AC158" s="7">
        <v>1</v>
      </c>
      <c r="AD158" s="7">
        <v>1</v>
      </c>
      <c r="AE158" s="136" t="s">
        <v>83</v>
      </c>
      <c r="AF158" s="136" t="s">
        <v>83</v>
      </c>
      <c r="AG158" s="136" t="s">
        <v>83</v>
      </c>
      <c r="AH158" s="136" t="s">
        <v>83</v>
      </c>
      <c r="AI158" s="7">
        <v>1</v>
      </c>
      <c r="AJ158" s="7"/>
      <c r="AK158" s="7">
        <v>1</v>
      </c>
      <c r="AL158" s="7">
        <v>1</v>
      </c>
      <c r="AM158" s="136" t="s">
        <v>83</v>
      </c>
      <c r="AN158" s="7">
        <v>1</v>
      </c>
      <c r="AO158" s="7">
        <v>1</v>
      </c>
      <c r="AP158" s="7">
        <v>1</v>
      </c>
    </row>
    <row r="159" spans="1:42">
      <c r="A159" s="116"/>
      <c r="B159" s="7" t="str">
        <f>装备!B159</f>
        <v>IT09</v>
      </c>
      <c r="C159" s="7" t="s">
        <v>41</v>
      </c>
      <c r="D159" s="7" t="s">
        <v>81</v>
      </c>
      <c r="E159" s="7"/>
      <c r="F159" s="7"/>
      <c r="G159" s="7"/>
      <c r="H159" s="7" t="str">
        <f>VLOOKUP(LEFT(RIGHT(B159,5),4),装备!B:CU,2,FALSE)</f>
        <v>天人五衰劫</v>
      </c>
      <c r="I159" s="7" t="str">
        <f>VLOOKUP(B159,装备!B:CV,99,FALSE)</f>
        <v>渡过该劫后可结成|Cffff0000至圣道果|r。|n|n|Cffff0000至圣道果：|r|n攻击+8000|n法强+8000|n生命值+16000|n|Cffffd24d元神力+16|r|n|n|Cff00ff7f战力推荐：|r</v>
      </c>
      <c r="J159" s="118" t="str">
        <f t="shared" si="62"/>
        <v>天人五衰劫</v>
      </c>
      <c r="K159" s="118" t="str">
        <f t="shared" si="63"/>
        <v>渡过该劫后可结成|Cffff0000至圣道果|r。|n|n|Cffff0000至圣道果：|r|n攻击+8000|n法强+8000|n生命值+16000|n|Cffffd24d元神力+16|r|n|n|Cff00ff7f战力推荐：|r</v>
      </c>
      <c r="L159" s="7"/>
      <c r="M159" s="119" t="str">
        <f>VLOOKUP(LEFT(RIGHT(B159,5),4),装备!B:CU,20,FALSE)</f>
        <v>ReplaceableTextures\\CommandButtons\\BTNIT09.blp</v>
      </c>
      <c r="N159" s="136" t="s">
        <v>83</v>
      </c>
      <c r="O159" s="119" t="s">
        <v>90</v>
      </c>
      <c r="P159" s="7">
        <v>0</v>
      </c>
      <c r="Q159" s="7">
        <v>2</v>
      </c>
      <c r="R159" s="136" t="s">
        <v>83</v>
      </c>
      <c r="S159" s="136" t="s">
        <v>83</v>
      </c>
      <c r="T159" s="136" t="s">
        <v>83</v>
      </c>
      <c r="U159" s="136" t="s">
        <v>83</v>
      </c>
      <c r="V159" s="7"/>
      <c r="W159" s="7" t="s">
        <v>87</v>
      </c>
      <c r="X159" s="7">
        <v>50000</v>
      </c>
      <c r="Y159" s="136" t="s">
        <v>83</v>
      </c>
      <c r="Z159" s="7">
        <v>0</v>
      </c>
      <c r="AA159" s="7">
        <v>0</v>
      </c>
      <c r="AB159" s="118">
        <v>9</v>
      </c>
      <c r="AC159" s="7">
        <v>1</v>
      </c>
      <c r="AD159" s="7">
        <v>1</v>
      </c>
      <c r="AE159" s="136" t="s">
        <v>83</v>
      </c>
      <c r="AF159" s="136" t="s">
        <v>83</v>
      </c>
      <c r="AG159" s="136" t="s">
        <v>83</v>
      </c>
      <c r="AH159" s="136" t="s">
        <v>83</v>
      </c>
      <c r="AI159" s="7">
        <v>1</v>
      </c>
      <c r="AJ159" s="7"/>
      <c r="AK159" s="7">
        <v>1</v>
      </c>
      <c r="AL159" s="7">
        <v>1</v>
      </c>
      <c r="AM159" s="136" t="s">
        <v>83</v>
      </c>
      <c r="AN159" s="7">
        <v>1</v>
      </c>
      <c r="AO159" s="7">
        <v>1</v>
      </c>
      <c r="AP159" s="7">
        <v>1</v>
      </c>
    </row>
    <row r="160" spans="1:42">
      <c r="A160" s="116"/>
      <c r="B160" s="7" t="str">
        <f>装备!B160</f>
        <v>IT10</v>
      </c>
      <c r="C160" s="7" t="s">
        <v>41</v>
      </c>
      <c r="D160" s="7" t="s">
        <v>81</v>
      </c>
      <c r="E160" s="7"/>
      <c r="F160" s="7"/>
      <c r="G160" s="7"/>
      <c r="H160" s="7" t="str">
        <f>VLOOKUP(LEFT(RIGHT(B160,5),4),装备!B:CU,2,FALSE)</f>
        <v>|CffFF0000混元灭世劫|r</v>
      </c>
      <c r="I160" s="7" t="str">
        <f>VLOOKUP(B160,装备!B:CV,99,FALSE)</f>
        <v>渡过该劫后可结成|Cffff0000混沌道果|r。|n|n|Cffff0000混沌道果：|r|n攻击+10000|n法强+10000|n生命值+20000|n|Cffffd24d元神力+20|r|n|n|Cff00ff7f战力推荐：|r</v>
      </c>
      <c r="J160" s="118" t="str">
        <f t="shared" si="62"/>
        <v>|CffFF0000混元灭世劫|r</v>
      </c>
      <c r="K160" s="118" t="str">
        <f t="shared" si="63"/>
        <v>渡过该劫后可结成|Cffff0000混沌道果|r。|n|n|Cffff0000混沌道果：|r|n攻击+10000|n法强+10000|n生命值+20000|n|Cffffd24d元神力+20|r|n|n|Cff00ff7f战力推荐：|r</v>
      </c>
      <c r="L160" s="7"/>
      <c r="M160" s="119" t="str">
        <f>VLOOKUP(LEFT(RIGHT(B160,5),4),装备!B:CU,20,FALSE)</f>
        <v>ReplaceableTextures\\CommandButtons\\BTNIT10.blp</v>
      </c>
      <c r="N160" s="136" t="s">
        <v>83</v>
      </c>
      <c r="O160" s="119" t="s">
        <v>90</v>
      </c>
      <c r="P160" s="7">
        <v>1</v>
      </c>
      <c r="Q160" s="7">
        <v>2</v>
      </c>
      <c r="R160" s="136" t="s">
        <v>83</v>
      </c>
      <c r="S160" s="136" t="s">
        <v>83</v>
      </c>
      <c r="T160" s="136" t="s">
        <v>83</v>
      </c>
      <c r="U160" s="136" t="s">
        <v>83</v>
      </c>
      <c r="V160" s="7"/>
      <c r="W160" s="7" t="s">
        <v>87</v>
      </c>
      <c r="X160" s="7">
        <v>80000</v>
      </c>
      <c r="Y160" s="136" t="s">
        <v>83</v>
      </c>
      <c r="Z160" s="7">
        <v>0</v>
      </c>
      <c r="AA160" s="7">
        <v>0</v>
      </c>
      <c r="AB160" s="118">
        <v>10</v>
      </c>
      <c r="AC160" s="7">
        <v>1</v>
      </c>
      <c r="AD160" s="7">
        <v>1</v>
      </c>
      <c r="AE160" s="136" t="s">
        <v>83</v>
      </c>
      <c r="AF160" s="136" t="s">
        <v>83</v>
      </c>
      <c r="AG160" s="136" t="s">
        <v>83</v>
      </c>
      <c r="AH160" s="136" t="s">
        <v>83</v>
      </c>
      <c r="AI160" s="7">
        <v>1</v>
      </c>
      <c r="AJ160" s="7"/>
      <c r="AK160" s="7">
        <v>1</v>
      </c>
      <c r="AL160" s="7">
        <v>1</v>
      </c>
      <c r="AM160" s="136" t="s">
        <v>83</v>
      </c>
      <c r="AN160" s="7">
        <v>1</v>
      </c>
      <c r="AO160" s="7">
        <v>1</v>
      </c>
      <c r="AP160" s="7">
        <v>1</v>
      </c>
    </row>
    <row r="161" spans="1:42">
      <c r="A161" s="116"/>
      <c r="B161" s="7" t="str">
        <f>装备!B161</f>
        <v>IT11</v>
      </c>
      <c r="C161" s="7" t="s">
        <v>41</v>
      </c>
      <c r="D161" s="7" t="s">
        <v>81</v>
      </c>
      <c r="E161" s="7"/>
      <c r="F161" s="7"/>
      <c r="G161" s="7"/>
      <c r="H161" s="7" t="str">
        <f>VLOOKUP(LEFT(RIGHT(B161,5),4),装备!B:CU,2,FALSE)</f>
        <v>斩三尸</v>
      </c>
      <c r="I161" s="7" t="str">
        <f>VLOOKUP(B161,装备!B:CV,99,FALSE)</f>
        <v>境界挑战11</v>
      </c>
      <c r="J161" s="118" t="str">
        <f t="shared" ref="J161:J166" si="64">H161</f>
        <v>斩三尸</v>
      </c>
      <c r="K161" s="118" t="str">
        <f t="shared" ref="K161:K166" si="65">I161</f>
        <v>境界挑战11</v>
      </c>
      <c r="L161" s="7"/>
      <c r="M161" s="119" t="str">
        <f>VLOOKUP(LEFT(RIGHT(B161,5),4),装备!B:CU,20,FALSE)</f>
        <v>ReplaceableTextures\\CommandButtons\\BTNIT11.blp</v>
      </c>
      <c r="N161" s="136" t="s">
        <v>83</v>
      </c>
      <c r="O161" s="119" t="s">
        <v>90</v>
      </c>
      <c r="P161" s="7">
        <v>2</v>
      </c>
      <c r="Q161" s="7">
        <v>1</v>
      </c>
      <c r="R161" s="136" t="s">
        <v>83</v>
      </c>
      <c r="S161" s="136" t="s">
        <v>83</v>
      </c>
      <c r="T161" s="136" t="s">
        <v>83</v>
      </c>
      <c r="U161" s="136" t="s">
        <v>83</v>
      </c>
      <c r="V161" s="7"/>
      <c r="W161" s="7" t="s">
        <v>87</v>
      </c>
      <c r="X161" s="7">
        <v>0</v>
      </c>
      <c r="Y161" s="136" t="s">
        <v>83</v>
      </c>
      <c r="Z161" s="7">
        <v>0</v>
      </c>
      <c r="AA161" s="7">
        <v>0</v>
      </c>
      <c r="AB161" s="7">
        <v>0</v>
      </c>
      <c r="AC161" s="7">
        <v>1</v>
      </c>
      <c r="AD161" s="7">
        <v>1</v>
      </c>
      <c r="AE161" s="136" t="s">
        <v>83</v>
      </c>
      <c r="AF161" s="136" t="s">
        <v>83</v>
      </c>
      <c r="AG161" s="136" t="s">
        <v>83</v>
      </c>
      <c r="AH161" s="136" t="s">
        <v>83</v>
      </c>
      <c r="AI161" s="7">
        <v>1</v>
      </c>
      <c r="AJ161" s="7"/>
      <c r="AK161" s="7">
        <v>1</v>
      </c>
      <c r="AL161" s="7">
        <v>1</v>
      </c>
      <c r="AM161" s="136" t="s">
        <v>83</v>
      </c>
      <c r="AN161" s="7">
        <v>1</v>
      </c>
      <c r="AO161" s="7">
        <v>1</v>
      </c>
      <c r="AP161" s="7">
        <v>1</v>
      </c>
    </row>
    <row r="162" spans="1:42">
      <c r="A162" s="116"/>
      <c r="B162" s="7" t="str">
        <f>装备!B162</f>
        <v>IT12</v>
      </c>
      <c r="C162" s="7" t="s">
        <v>41</v>
      </c>
      <c r="D162" s="7" t="s">
        <v>81</v>
      </c>
      <c r="E162" s="7"/>
      <c r="F162" s="7"/>
      <c r="G162" s="7"/>
      <c r="H162" s="7" t="str">
        <f>VLOOKUP(LEFT(RIGHT(B162,5),4),装备!B:CU,2,FALSE)</f>
        <v>无量量劫</v>
      </c>
      <c r="I162" s="7" t="str">
        <f>VLOOKUP(B162,装备!B:CV,99,FALSE)</f>
        <v>境界挑战12</v>
      </c>
      <c r="J162" s="118" t="str">
        <f t="shared" si="64"/>
        <v>无量量劫</v>
      </c>
      <c r="K162" s="118" t="str">
        <f t="shared" si="65"/>
        <v>境界挑战12</v>
      </c>
      <c r="L162" s="7"/>
      <c r="M162" s="119" t="str">
        <f>VLOOKUP(LEFT(RIGHT(B162,5),4),装备!B:CU,20,FALSE)</f>
        <v>ReplaceableTextures\\CommandButtons\\BTNIT12.blp</v>
      </c>
      <c r="N162" s="136" t="s">
        <v>83</v>
      </c>
      <c r="O162" s="119" t="s">
        <v>90</v>
      </c>
      <c r="P162" s="7">
        <v>3</v>
      </c>
      <c r="Q162" s="7">
        <v>1</v>
      </c>
      <c r="R162" s="136" t="s">
        <v>83</v>
      </c>
      <c r="S162" s="136" t="s">
        <v>83</v>
      </c>
      <c r="T162" s="136" t="s">
        <v>83</v>
      </c>
      <c r="U162" s="136" t="s">
        <v>83</v>
      </c>
      <c r="V162" s="7"/>
      <c r="W162" s="7" t="s">
        <v>87</v>
      </c>
      <c r="X162" s="7">
        <v>0</v>
      </c>
      <c r="Y162" s="136" t="s">
        <v>83</v>
      </c>
      <c r="Z162" s="7">
        <v>0</v>
      </c>
      <c r="AA162" s="7">
        <v>0</v>
      </c>
      <c r="AB162" s="7">
        <v>0</v>
      </c>
      <c r="AC162" s="7">
        <v>1</v>
      </c>
      <c r="AD162" s="7">
        <v>1</v>
      </c>
      <c r="AE162" s="136" t="s">
        <v>83</v>
      </c>
      <c r="AF162" s="136" t="s">
        <v>83</v>
      </c>
      <c r="AG162" s="136" t="s">
        <v>83</v>
      </c>
      <c r="AH162" s="136" t="s">
        <v>83</v>
      </c>
      <c r="AI162" s="7">
        <v>1</v>
      </c>
      <c r="AJ162" s="7"/>
      <c r="AK162" s="7">
        <v>1</v>
      </c>
      <c r="AL162" s="7">
        <v>1</v>
      </c>
      <c r="AM162" s="136" t="s">
        <v>83</v>
      </c>
      <c r="AN162" s="7">
        <v>1</v>
      </c>
      <c r="AO162" s="7">
        <v>1</v>
      </c>
      <c r="AP162" s="7">
        <v>1</v>
      </c>
    </row>
    <row r="163" spans="1:42">
      <c r="A163" s="116"/>
      <c r="B163" s="7" t="str">
        <f>装备!B163</f>
        <v>IT13</v>
      </c>
      <c r="C163" s="7" t="s">
        <v>41</v>
      </c>
      <c r="D163" s="7" t="s">
        <v>81</v>
      </c>
      <c r="E163" s="7"/>
      <c r="F163" s="7"/>
      <c r="G163" s="7"/>
      <c r="H163" s="7" t="str">
        <f>VLOOKUP(LEFT(RIGHT(B163,5),4),装备!B:CU,2,FALSE)</f>
        <v>鸿钧对练</v>
      </c>
      <c r="I163" s="7" t="str">
        <f>VLOOKUP(B163,装备!B:CV,99,FALSE)</f>
        <v>境界挑战13</v>
      </c>
      <c r="J163" s="118" t="str">
        <f t="shared" si="64"/>
        <v>鸿钧对练</v>
      </c>
      <c r="K163" s="118" t="str">
        <f t="shared" si="65"/>
        <v>境界挑战13</v>
      </c>
      <c r="L163" s="7"/>
      <c r="M163" s="119" t="str">
        <f>VLOOKUP(LEFT(RIGHT(B163,5),4),装备!B:CU,20,FALSE)</f>
        <v>ReplaceableTextures\\CommandButtons\\BTNIT13.blp</v>
      </c>
      <c r="N163" s="136" t="s">
        <v>83</v>
      </c>
      <c r="O163" s="119" t="s">
        <v>90</v>
      </c>
      <c r="P163" s="7">
        <v>0</v>
      </c>
      <c r="Q163" s="7">
        <v>2</v>
      </c>
      <c r="R163" s="136" t="s">
        <v>83</v>
      </c>
      <c r="S163" s="136" t="s">
        <v>83</v>
      </c>
      <c r="T163" s="136" t="s">
        <v>83</v>
      </c>
      <c r="U163" s="136" t="s">
        <v>83</v>
      </c>
      <c r="V163" s="7"/>
      <c r="W163" s="7" t="s">
        <v>87</v>
      </c>
      <c r="X163" s="7">
        <v>0</v>
      </c>
      <c r="Y163" s="136" t="s">
        <v>83</v>
      </c>
      <c r="Z163" s="7">
        <v>0</v>
      </c>
      <c r="AA163" s="7">
        <v>0</v>
      </c>
      <c r="AB163" s="7">
        <v>0</v>
      </c>
      <c r="AC163" s="7">
        <v>1</v>
      </c>
      <c r="AD163" s="7">
        <v>1</v>
      </c>
      <c r="AE163" s="136" t="s">
        <v>83</v>
      </c>
      <c r="AF163" s="136" t="s">
        <v>83</v>
      </c>
      <c r="AG163" s="136" t="s">
        <v>83</v>
      </c>
      <c r="AH163" s="136" t="s">
        <v>83</v>
      </c>
      <c r="AI163" s="7">
        <v>1</v>
      </c>
      <c r="AJ163" s="7"/>
      <c r="AK163" s="7">
        <v>1</v>
      </c>
      <c r="AL163" s="7">
        <v>1</v>
      </c>
      <c r="AM163" s="136" t="s">
        <v>83</v>
      </c>
      <c r="AN163" s="7">
        <v>1</v>
      </c>
      <c r="AO163" s="7">
        <v>1</v>
      </c>
      <c r="AP163" s="7">
        <v>1</v>
      </c>
    </row>
    <row r="164" spans="1:42">
      <c r="A164" s="116"/>
      <c r="B164" s="7" t="str">
        <f>装备!B164</f>
        <v>IT14</v>
      </c>
      <c r="C164" s="7" t="s">
        <v>41</v>
      </c>
      <c r="D164" s="7" t="s">
        <v>81</v>
      </c>
      <c r="E164" s="7"/>
      <c r="F164" s="7"/>
      <c r="G164" s="7"/>
      <c r="H164" s="7" t="str">
        <f>VLOOKUP(LEFT(RIGHT(B164,5),4),装备!B:CU,2,FALSE)</f>
        <v>境界挑战14</v>
      </c>
      <c r="I164" s="7" t="str">
        <f>VLOOKUP(B164,装备!B:CV,99,FALSE)</f>
        <v>境界挑战14</v>
      </c>
      <c r="J164" s="118" t="str">
        <f t="shared" si="64"/>
        <v>境界挑战14</v>
      </c>
      <c r="K164" s="118" t="str">
        <f t="shared" si="65"/>
        <v>境界挑战14</v>
      </c>
      <c r="L164" s="7"/>
      <c r="M164" s="119" t="str">
        <f>VLOOKUP(LEFT(RIGHT(B164,5),4),装备!B:CU,20,FALSE)</f>
        <v>ReplaceableTextures\\CommandButtons\\BTNIT14.blp</v>
      </c>
      <c r="N164" s="136" t="s">
        <v>83</v>
      </c>
      <c r="O164" s="119" t="s">
        <v>90</v>
      </c>
      <c r="P164" s="7">
        <v>1</v>
      </c>
      <c r="Q164" s="7">
        <v>2</v>
      </c>
      <c r="R164" s="136" t="s">
        <v>83</v>
      </c>
      <c r="S164" s="136" t="s">
        <v>83</v>
      </c>
      <c r="T164" s="136" t="s">
        <v>83</v>
      </c>
      <c r="U164" s="136" t="s">
        <v>83</v>
      </c>
      <c r="V164" s="7"/>
      <c r="W164" s="7" t="s">
        <v>87</v>
      </c>
      <c r="X164" s="7">
        <v>0</v>
      </c>
      <c r="Y164" s="136" t="s">
        <v>83</v>
      </c>
      <c r="Z164" s="7">
        <v>0</v>
      </c>
      <c r="AA164" s="7">
        <v>0</v>
      </c>
      <c r="AB164" s="7">
        <v>0</v>
      </c>
      <c r="AC164" s="7">
        <v>1</v>
      </c>
      <c r="AD164" s="7">
        <v>1</v>
      </c>
      <c r="AE164" s="136" t="s">
        <v>83</v>
      </c>
      <c r="AF164" s="136" t="s">
        <v>83</v>
      </c>
      <c r="AG164" s="136" t="s">
        <v>83</v>
      </c>
      <c r="AH164" s="136" t="s">
        <v>83</v>
      </c>
      <c r="AI164" s="7">
        <v>1</v>
      </c>
      <c r="AJ164" s="7"/>
      <c r="AK164" s="7">
        <v>1</v>
      </c>
      <c r="AL164" s="7">
        <v>1</v>
      </c>
      <c r="AM164" s="136" t="s">
        <v>83</v>
      </c>
      <c r="AN164" s="7">
        <v>1</v>
      </c>
      <c r="AO164" s="7">
        <v>1</v>
      </c>
      <c r="AP164" s="7">
        <v>1</v>
      </c>
    </row>
    <row r="165" spans="1:42">
      <c r="A165" s="116"/>
      <c r="B165" s="7" t="str">
        <f>装备!B165</f>
        <v>IZ01</v>
      </c>
      <c r="C165" s="7" t="s">
        <v>41</v>
      </c>
      <c r="D165" s="7" t="s">
        <v>81</v>
      </c>
      <c r="E165" s="7"/>
      <c r="F165" s="7"/>
      <c r="G165" s="7"/>
      <c r="H165" s="7" t="str">
        <f>VLOOKUP(LEFT(RIGHT(B165,5),4),装备!B:CU,2,FALSE)</f>
        <v>团队副本-万仙阵</v>
      </c>
      <c r="I165" s="7" t="str">
        <f>VLOOKUP(B165,装备!B:CV,99,FALSE)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5" s="118" t="str">
        <f t="shared" ref="J165" si="66">H165</f>
        <v>团队副本-万仙阵</v>
      </c>
      <c r="K165" s="118" t="str">
        <f t="shared" ref="K165" si="67">I165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5" s="7"/>
      <c r="M165" s="119" t="str">
        <f>VLOOKUP(LEFT(RIGHT(B165,5),4),装备!B:CU,20,FALSE)</f>
        <v>ReplaceableTextures\\CommandButtons\\BTNIZ01.blp</v>
      </c>
      <c r="N165" s="136" t="s">
        <v>83</v>
      </c>
      <c r="O165" s="119" t="s">
        <v>90</v>
      </c>
      <c r="P165" s="7">
        <v>1</v>
      </c>
      <c r="Q165" s="7">
        <v>2</v>
      </c>
      <c r="R165" s="136" t="s">
        <v>83</v>
      </c>
      <c r="S165" s="136" t="s">
        <v>83</v>
      </c>
      <c r="T165" s="136" t="s">
        <v>83</v>
      </c>
      <c r="U165" s="136" t="s">
        <v>83</v>
      </c>
      <c r="V165" s="7"/>
      <c r="W165" s="7" t="s">
        <v>87</v>
      </c>
      <c r="X165" s="7">
        <v>0</v>
      </c>
      <c r="Y165" s="136" t="s">
        <v>83</v>
      </c>
      <c r="Z165" s="7">
        <v>0</v>
      </c>
      <c r="AA165" s="7">
        <v>0</v>
      </c>
      <c r="AB165" s="7">
        <v>0</v>
      </c>
      <c r="AC165" s="7">
        <v>1</v>
      </c>
      <c r="AD165" s="7">
        <v>1</v>
      </c>
      <c r="AE165" s="136" t="s">
        <v>83</v>
      </c>
      <c r="AF165" s="136" t="s">
        <v>83</v>
      </c>
      <c r="AG165" s="136" t="s">
        <v>83</v>
      </c>
      <c r="AH165" s="136" t="s">
        <v>83</v>
      </c>
      <c r="AI165" s="7">
        <v>1</v>
      </c>
      <c r="AJ165" s="7"/>
      <c r="AK165" s="7">
        <v>1</v>
      </c>
      <c r="AL165" s="7">
        <v>1</v>
      </c>
      <c r="AM165" s="136" t="s">
        <v>83</v>
      </c>
      <c r="AN165" s="7">
        <v>1</v>
      </c>
      <c r="AO165" s="7">
        <v>1</v>
      </c>
      <c r="AP165" s="7">
        <v>1</v>
      </c>
    </row>
    <row r="166" spans="1:42">
      <c r="A166" s="116"/>
      <c r="B166" s="7" t="str">
        <f>装备!B166</f>
        <v>IS01</v>
      </c>
      <c r="C166" s="7" t="s">
        <v>41</v>
      </c>
      <c r="D166" s="7" t="s">
        <v>81</v>
      </c>
      <c r="E166" s="7"/>
      <c r="F166" s="7"/>
      <c r="G166" s="7"/>
      <c r="H166" s="7" t="str">
        <f>VLOOKUP(LEFT(RIGHT(B166,5),4),装备!B:CU,2,FALSE)</f>
        <v>抽技能Q</v>
      </c>
      <c r="I166" s="7" t="str">
        <f>VLOOKUP(B166,装备!B:CV,99,FALSE)</f>
        <v>抽技能Q</v>
      </c>
      <c r="J166" s="118" t="str">
        <f t="shared" si="64"/>
        <v>抽技能Q</v>
      </c>
      <c r="K166" s="118" t="str">
        <f t="shared" si="65"/>
        <v>抽技能Q</v>
      </c>
      <c r="L166" s="7"/>
      <c r="M166" s="119" t="str">
        <f>VLOOKUP(LEFT(RIGHT(B166,5),4),装备!B:CU,20,FALSE)</f>
        <v>ReplaceableTextures\\CommandButtons\\BTN001.blp</v>
      </c>
      <c r="N166" s="136" t="s">
        <v>83</v>
      </c>
      <c r="O166" s="119" t="s">
        <v>90</v>
      </c>
      <c r="P166" s="7">
        <v>0</v>
      </c>
      <c r="Q166" s="7">
        <v>0</v>
      </c>
      <c r="R166" s="136" t="s">
        <v>83</v>
      </c>
      <c r="S166" s="136" t="s">
        <v>83</v>
      </c>
      <c r="T166" s="136" t="s">
        <v>83</v>
      </c>
      <c r="U166" s="136" t="s">
        <v>83</v>
      </c>
      <c r="V166" s="7"/>
      <c r="W166" s="7" t="s">
        <v>87</v>
      </c>
      <c r="X166" s="7">
        <v>0</v>
      </c>
      <c r="Y166" s="136" t="s">
        <v>83</v>
      </c>
      <c r="Z166" s="7">
        <v>0</v>
      </c>
      <c r="AA166" s="7">
        <v>0</v>
      </c>
      <c r="AB166" s="7">
        <v>0</v>
      </c>
      <c r="AC166" s="7">
        <v>1</v>
      </c>
      <c r="AD166" s="7">
        <v>1</v>
      </c>
      <c r="AE166" s="136" t="s">
        <v>83</v>
      </c>
      <c r="AF166" s="136" t="s">
        <v>83</v>
      </c>
      <c r="AG166" s="136" t="s">
        <v>83</v>
      </c>
      <c r="AH166" s="136" t="s">
        <v>83</v>
      </c>
      <c r="AI166" s="7">
        <v>1</v>
      </c>
      <c r="AJ166" s="7"/>
      <c r="AK166" s="7">
        <v>1</v>
      </c>
      <c r="AL166" s="7">
        <v>1</v>
      </c>
      <c r="AM166" s="136" t="s">
        <v>83</v>
      </c>
      <c r="AN166" s="7">
        <v>1</v>
      </c>
      <c r="AO166" s="7">
        <v>1</v>
      </c>
      <c r="AP166" s="7">
        <v>1</v>
      </c>
    </row>
    <row r="167" spans="1:42">
      <c r="A167" s="116"/>
      <c r="B167" s="7" t="str">
        <f>装备!B167</f>
        <v>IS02</v>
      </c>
      <c r="C167" s="7" t="s">
        <v>41</v>
      </c>
      <c r="D167" s="7" t="s">
        <v>81</v>
      </c>
      <c r="E167" s="7"/>
      <c r="F167" s="7"/>
      <c r="G167" s="7"/>
      <c r="H167" s="7" t="str">
        <f>VLOOKUP(LEFT(RIGHT(B167,5),4),装备!B:CU,2,FALSE)</f>
        <v>抽技能W</v>
      </c>
      <c r="I167" s="7" t="str">
        <f>VLOOKUP(B167,装备!B:CV,99,FALSE)</f>
        <v>抽技能W</v>
      </c>
      <c r="J167" s="118" t="str">
        <f t="shared" si="62"/>
        <v>抽技能W</v>
      </c>
      <c r="K167" s="118" t="str">
        <f t="shared" si="63"/>
        <v>抽技能W</v>
      </c>
      <c r="L167" s="7"/>
      <c r="M167" s="119" t="str">
        <f>VLOOKUP(LEFT(RIGHT(B167,5),4),装备!B:CU,20,FALSE)</f>
        <v>ReplaceableTextures\\CommandButtons\\BTN002.blp</v>
      </c>
      <c r="N167" s="136" t="s">
        <v>83</v>
      </c>
      <c r="O167" s="119" t="s">
        <v>90</v>
      </c>
      <c r="P167" s="7">
        <v>1</v>
      </c>
      <c r="Q167" s="7">
        <v>0</v>
      </c>
      <c r="R167" s="136" t="s">
        <v>83</v>
      </c>
      <c r="S167" s="136" t="s">
        <v>83</v>
      </c>
      <c r="T167" s="136" t="s">
        <v>83</v>
      </c>
      <c r="U167" s="136" t="s">
        <v>83</v>
      </c>
      <c r="V167" s="7"/>
      <c r="W167" s="7" t="s">
        <v>87</v>
      </c>
      <c r="X167" s="7">
        <v>0</v>
      </c>
      <c r="Y167" s="136" t="s">
        <v>83</v>
      </c>
      <c r="Z167" s="7">
        <v>0</v>
      </c>
      <c r="AA167" s="7">
        <v>0</v>
      </c>
      <c r="AB167" s="7">
        <v>0</v>
      </c>
      <c r="AC167" s="7">
        <v>1</v>
      </c>
      <c r="AD167" s="7">
        <v>1</v>
      </c>
      <c r="AE167" s="136" t="s">
        <v>83</v>
      </c>
      <c r="AF167" s="136" t="s">
        <v>83</v>
      </c>
      <c r="AG167" s="136" t="s">
        <v>83</v>
      </c>
      <c r="AH167" s="136" t="s">
        <v>83</v>
      </c>
      <c r="AI167" s="7">
        <v>1</v>
      </c>
      <c r="AJ167" s="7"/>
      <c r="AK167" s="7">
        <v>1</v>
      </c>
      <c r="AL167" s="7">
        <v>1</v>
      </c>
      <c r="AM167" s="136" t="s">
        <v>83</v>
      </c>
      <c r="AN167" s="7">
        <v>1</v>
      </c>
      <c r="AO167" s="7">
        <v>1</v>
      </c>
      <c r="AP167" s="7">
        <v>1</v>
      </c>
    </row>
    <row r="168" spans="1:42">
      <c r="A168" s="116"/>
      <c r="B168" s="7" t="str">
        <f>装备!B168</f>
        <v>IS03</v>
      </c>
      <c r="C168" s="7" t="s">
        <v>41</v>
      </c>
      <c r="D168" s="7" t="s">
        <v>81</v>
      </c>
      <c r="E168" s="7"/>
      <c r="F168" s="7"/>
      <c r="G168" s="7"/>
      <c r="H168" s="7" t="str">
        <f>VLOOKUP(LEFT(RIGHT(B168,5),4),装备!B:CU,2,FALSE)</f>
        <v>抽技能E</v>
      </c>
      <c r="I168" s="7" t="str">
        <f>VLOOKUP(B168,装备!B:CV,99,FALSE)</f>
        <v>抽技能E</v>
      </c>
      <c r="J168" s="118" t="str">
        <f t="shared" si="62"/>
        <v>抽技能E</v>
      </c>
      <c r="K168" s="118" t="str">
        <f t="shared" si="63"/>
        <v>抽技能E</v>
      </c>
      <c r="L168" s="7"/>
      <c r="M168" s="119" t="str">
        <f>VLOOKUP(LEFT(RIGHT(B168,5),4),装备!B:CU,20,FALSE)</f>
        <v>ReplaceableTextures\\CommandButtons\\BTN003.blp</v>
      </c>
      <c r="N168" s="136" t="s">
        <v>83</v>
      </c>
      <c r="O168" s="119" t="s">
        <v>90</v>
      </c>
      <c r="P168" s="7">
        <v>2</v>
      </c>
      <c r="Q168" s="7">
        <v>0</v>
      </c>
      <c r="R168" s="136" t="s">
        <v>83</v>
      </c>
      <c r="S168" s="136" t="s">
        <v>83</v>
      </c>
      <c r="T168" s="136" t="s">
        <v>83</v>
      </c>
      <c r="U168" s="136" t="s">
        <v>83</v>
      </c>
      <c r="V168" s="7"/>
      <c r="W168" s="7" t="s">
        <v>87</v>
      </c>
      <c r="X168" s="7">
        <v>0</v>
      </c>
      <c r="Y168" s="136" t="s">
        <v>83</v>
      </c>
      <c r="Z168" s="7">
        <v>0</v>
      </c>
      <c r="AA168" s="7">
        <v>0</v>
      </c>
      <c r="AB168" s="7">
        <v>0</v>
      </c>
      <c r="AC168" s="7">
        <v>1</v>
      </c>
      <c r="AD168" s="7">
        <v>1</v>
      </c>
      <c r="AE168" s="136" t="s">
        <v>83</v>
      </c>
      <c r="AF168" s="136" t="s">
        <v>83</v>
      </c>
      <c r="AG168" s="136" t="s">
        <v>83</v>
      </c>
      <c r="AH168" s="136" t="s">
        <v>83</v>
      </c>
      <c r="AI168" s="7">
        <v>1</v>
      </c>
      <c r="AJ168" s="7"/>
      <c r="AK168" s="7">
        <v>1</v>
      </c>
      <c r="AL168" s="7">
        <v>1</v>
      </c>
      <c r="AM168" s="136" t="s">
        <v>83</v>
      </c>
      <c r="AN168" s="7">
        <v>1</v>
      </c>
      <c r="AO168" s="7">
        <v>1</v>
      </c>
      <c r="AP168" s="7">
        <v>1</v>
      </c>
    </row>
    <row r="169" spans="1:42">
      <c r="A169" s="116"/>
      <c r="B169" s="7" t="str">
        <f>装备!B169</f>
        <v>IS21</v>
      </c>
      <c r="C169" s="7" t="s">
        <v>41</v>
      </c>
      <c r="D169" s="7" t="s">
        <v>81</v>
      </c>
      <c r="E169" s="7"/>
      <c r="F169" s="7"/>
      <c r="G169" s="7"/>
      <c r="H169" s="7" t="str">
        <f>VLOOKUP(LEFT(RIGHT(B169,5),4),装备!B:CU,2,FALSE)</f>
        <v>Q附魔</v>
      </c>
      <c r="I169" s="7" t="str">
        <f>VLOOKUP(B169,装备!B:CV,99,FALSE)</f>
        <v>Q附魔</v>
      </c>
      <c r="J169" s="118" t="str">
        <f t="shared" si="62"/>
        <v>Q附魔</v>
      </c>
      <c r="K169" s="118" t="str">
        <f t="shared" si="63"/>
        <v>Q附魔</v>
      </c>
      <c r="L169" s="7"/>
      <c r="M169" s="119" t="str">
        <f>VLOOKUP(LEFT(RIGHT(B169,5),4),装备!B:CU,20,FALSE)</f>
        <v>ReplaceableTextures\\CommandButtons\\BTNIN01.blp</v>
      </c>
      <c r="N169" s="136" t="s">
        <v>83</v>
      </c>
      <c r="O169" s="119" t="s">
        <v>90</v>
      </c>
      <c r="P169" s="7">
        <v>0</v>
      </c>
      <c r="Q169" s="7">
        <v>2</v>
      </c>
      <c r="R169" s="136" t="s">
        <v>83</v>
      </c>
      <c r="S169" s="136" t="s">
        <v>83</v>
      </c>
      <c r="T169" s="136" t="s">
        <v>83</v>
      </c>
      <c r="U169" s="136" t="s">
        <v>83</v>
      </c>
      <c r="V169" s="7"/>
      <c r="W169" s="7" t="s">
        <v>87</v>
      </c>
      <c r="X169" s="7">
        <v>0</v>
      </c>
      <c r="Y169" s="136" t="s">
        <v>83</v>
      </c>
      <c r="Z169" s="7">
        <v>360</v>
      </c>
      <c r="AA169" s="7">
        <v>0</v>
      </c>
      <c r="AB169" s="7">
        <v>0</v>
      </c>
      <c r="AC169" s="7">
        <v>1</v>
      </c>
      <c r="AD169" s="7">
        <v>1</v>
      </c>
      <c r="AE169" s="136" t="s">
        <v>83</v>
      </c>
      <c r="AF169" s="136" t="s">
        <v>83</v>
      </c>
      <c r="AG169" s="136" t="s">
        <v>83</v>
      </c>
      <c r="AH169" s="136" t="s">
        <v>83</v>
      </c>
      <c r="AI169" s="7">
        <v>1</v>
      </c>
      <c r="AJ169" s="7"/>
      <c r="AK169" s="7">
        <v>1</v>
      </c>
      <c r="AL169" s="7">
        <v>1</v>
      </c>
      <c r="AM169" s="136" t="s">
        <v>83</v>
      </c>
      <c r="AN169" s="7">
        <v>1</v>
      </c>
      <c r="AO169" s="7">
        <v>1</v>
      </c>
      <c r="AP169" s="7">
        <v>1</v>
      </c>
    </row>
    <row r="170" spans="1:42">
      <c r="A170" s="116"/>
      <c r="B170" s="7" t="str">
        <f>装备!B170</f>
        <v>IS22</v>
      </c>
      <c r="C170" s="7" t="s">
        <v>41</v>
      </c>
      <c r="D170" s="7" t="s">
        <v>81</v>
      </c>
      <c r="E170" s="7"/>
      <c r="F170" s="7"/>
      <c r="G170" s="7"/>
      <c r="H170" s="7" t="str">
        <f>VLOOKUP(LEFT(RIGHT(B170,5),4),装备!B:CU,2,FALSE)</f>
        <v>W附魔</v>
      </c>
      <c r="I170" s="7" t="str">
        <f>VLOOKUP(B170,装备!B:CV,99,FALSE)</f>
        <v>W附魔</v>
      </c>
      <c r="J170" s="118" t="str">
        <f t="shared" ref="J170:J171" si="68">H170</f>
        <v>W附魔</v>
      </c>
      <c r="K170" s="118" t="str">
        <f t="shared" ref="K170:K171" si="69">I170</f>
        <v>W附魔</v>
      </c>
      <c r="L170" s="7"/>
      <c r="M170" s="119" t="str">
        <f>VLOOKUP(LEFT(RIGHT(B170,5),4),装备!B:CU,20,FALSE)</f>
        <v>ReplaceableTextures\\CommandButtons\\BTNIN02.blp</v>
      </c>
      <c r="N170" s="136" t="s">
        <v>83</v>
      </c>
      <c r="O170" s="119" t="s">
        <v>90</v>
      </c>
      <c r="P170" s="7">
        <v>1</v>
      </c>
      <c r="Q170" s="7">
        <v>2</v>
      </c>
      <c r="R170" s="136" t="s">
        <v>83</v>
      </c>
      <c r="S170" s="136" t="s">
        <v>83</v>
      </c>
      <c r="T170" s="136" t="s">
        <v>83</v>
      </c>
      <c r="U170" s="136" t="s">
        <v>83</v>
      </c>
      <c r="V170" s="7"/>
      <c r="W170" s="7" t="s">
        <v>87</v>
      </c>
      <c r="X170" s="7">
        <v>0</v>
      </c>
      <c r="Y170" s="136" t="s">
        <v>83</v>
      </c>
      <c r="Z170" s="7">
        <v>360</v>
      </c>
      <c r="AA170" s="7">
        <v>0</v>
      </c>
      <c r="AB170" s="7">
        <v>0</v>
      </c>
      <c r="AC170" s="7">
        <v>1</v>
      </c>
      <c r="AD170" s="7">
        <v>1</v>
      </c>
      <c r="AE170" s="136" t="s">
        <v>83</v>
      </c>
      <c r="AF170" s="136" t="s">
        <v>83</v>
      </c>
      <c r="AG170" s="136" t="s">
        <v>83</v>
      </c>
      <c r="AH170" s="136" t="s">
        <v>83</v>
      </c>
      <c r="AI170" s="7">
        <v>1</v>
      </c>
      <c r="AJ170" s="7"/>
      <c r="AK170" s="7">
        <v>1</v>
      </c>
      <c r="AL170" s="7">
        <v>1</v>
      </c>
      <c r="AM170" s="136" t="s">
        <v>83</v>
      </c>
      <c r="AN170" s="7">
        <v>1</v>
      </c>
      <c r="AO170" s="7">
        <v>1</v>
      </c>
      <c r="AP170" s="7">
        <v>1</v>
      </c>
    </row>
    <row r="171" spans="1:42">
      <c r="A171" s="116"/>
      <c r="B171" s="7" t="str">
        <f>装备!B171</f>
        <v>IS23</v>
      </c>
      <c r="C171" s="7" t="s">
        <v>41</v>
      </c>
      <c r="D171" s="7" t="s">
        <v>81</v>
      </c>
      <c r="E171" s="7"/>
      <c r="F171" s="7"/>
      <c r="G171" s="7"/>
      <c r="H171" s="7" t="str">
        <f>VLOOKUP(LEFT(RIGHT(B171,5),4),装备!B:CU,2,FALSE)</f>
        <v>E附魔</v>
      </c>
      <c r="I171" s="7" t="str">
        <f>VLOOKUP(B171,装备!B:CV,99,FALSE)</f>
        <v>E附魔</v>
      </c>
      <c r="J171" s="118" t="str">
        <f t="shared" si="68"/>
        <v>E附魔</v>
      </c>
      <c r="K171" s="118" t="str">
        <f t="shared" si="69"/>
        <v>E附魔</v>
      </c>
      <c r="L171" s="7"/>
      <c r="M171" s="119" t="str">
        <f>VLOOKUP(LEFT(RIGHT(B171,5),4),装备!B:CU,20,FALSE)</f>
        <v>ReplaceableTextures\\CommandButtons\\BTNIN03.blp</v>
      </c>
      <c r="N171" s="136" t="s">
        <v>83</v>
      </c>
      <c r="O171" s="119" t="s">
        <v>90</v>
      </c>
      <c r="P171" s="7">
        <v>2</v>
      </c>
      <c r="Q171" s="7">
        <v>2</v>
      </c>
      <c r="R171" s="136" t="s">
        <v>83</v>
      </c>
      <c r="S171" s="136" t="s">
        <v>83</v>
      </c>
      <c r="T171" s="136" t="s">
        <v>83</v>
      </c>
      <c r="U171" s="136" t="s">
        <v>83</v>
      </c>
      <c r="V171" s="7"/>
      <c r="W171" s="7" t="s">
        <v>87</v>
      </c>
      <c r="X171" s="7">
        <v>0</v>
      </c>
      <c r="Y171" s="136" t="s">
        <v>83</v>
      </c>
      <c r="Z171" s="7">
        <v>360</v>
      </c>
      <c r="AA171" s="7">
        <v>0</v>
      </c>
      <c r="AB171" s="7">
        <v>0</v>
      </c>
      <c r="AC171" s="7">
        <v>1</v>
      </c>
      <c r="AD171" s="7">
        <v>1</v>
      </c>
      <c r="AE171" s="136" t="s">
        <v>83</v>
      </c>
      <c r="AF171" s="136" t="s">
        <v>83</v>
      </c>
      <c r="AG171" s="136" t="s">
        <v>83</v>
      </c>
      <c r="AH171" s="136" t="s">
        <v>83</v>
      </c>
      <c r="AI171" s="7">
        <v>1</v>
      </c>
      <c r="AJ171" s="7"/>
      <c r="AK171" s="7">
        <v>1</v>
      </c>
      <c r="AL171" s="7">
        <v>1</v>
      </c>
      <c r="AM171" s="136" t="s">
        <v>83</v>
      </c>
      <c r="AN171" s="7">
        <v>1</v>
      </c>
      <c r="AO171" s="7">
        <v>1</v>
      </c>
      <c r="AP171" s="7">
        <v>1</v>
      </c>
    </row>
    <row r="172" spans="1:42">
      <c r="A172" s="116"/>
      <c r="B172" s="7" t="str">
        <f>装备!B172</f>
        <v>IS11</v>
      </c>
      <c r="C172" s="7" t="s">
        <v>41</v>
      </c>
      <c r="D172" s="7" t="s">
        <v>81</v>
      </c>
      <c r="E172" s="7"/>
      <c r="F172" s="7"/>
      <c r="G172" s="7"/>
      <c r="H172" s="7" t="str">
        <f>VLOOKUP(LEFT(RIGHT(B172,5),4),装备!B:CU,2,FALSE)</f>
        <v>占星</v>
      </c>
      <c r="I172" s="7" t="str">
        <f>VLOOKUP(B172,装备!B:CV,99,FALSE)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2" s="118" t="str">
        <f t="shared" ref="J172" si="70">H172</f>
        <v>占星</v>
      </c>
      <c r="K172" s="118" t="str">
        <f t="shared" ref="K172" si="71">I172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2" s="7"/>
      <c r="M172" s="119" t="str">
        <f>VLOOKUP(LEFT(RIGHT(B172,5),4),装备!B:CU,20,FALSE)</f>
        <v>ReplaceableTextures\\CommandButtons\\BTNIS11.blp</v>
      </c>
      <c r="N172" s="136" t="s">
        <v>83</v>
      </c>
      <c r="O172" s="119" t="s">
        <v>90</v>
      </c>
      <c r="P172" s="7">
        <v>0</v>
      </c>
      <c r="Q172" s="7">
        <v>0</v>
      </c>
      <c r="R172" s="136" t="s">
        <v>83</v>
      </c>
      <c r="S172" s="136" t="s">
        <v>83</v>
      </c>
      <c r="T172" s="136" t="s">
        <v>83</v>
      </c>
      <c r="U172" s="136" t="s">
        <v>83</v>
      </c>
      <c r="V172" s="7"/>
      <c r="W172" s="7" t="s">
        <v>87</v>
      </c>
      <c r="X172" s="7">
        <v>0</v>
      </c>
      <c r="Y172" s="136" t="s">
        <v>83</v>
      </c>
      <c r="Z172" s="7">
        <v>0</v>
      </c>
      <c r="AA172" s="7">
        <v>240</v>
      </c>
      <c r="AB172" s="7">
        <v>0</v>
      </c>
      <c r="AC172" s="7">
        <v>1</v>
      </c>
      <c r="AD172" s="7">
        <v>1</v>
      </c>
      <c r="AE172" s="136" t="s">
        <v>83</v>
      </c>
      <c r="AF172" s="136" t="s">
        <v>83</v>
      </c>
      <c r="AG172" s="136" t="s">
        <v>83</v>
      </c>
      <c r="AH172" s="136" t="s">
        <v>83</v>
      </c>
      <c r="AI172" s="7">
        <v>1</v>
      </c>
      <c r="AJ172" s="7"/>
      <c r="AK172" s="7">
        <v>1</v>
      </c>
      <c r="AL172" s="7">
        <v>1</v>
      </c>
      <c r="AM172" s="136" t="s">
        <v>83</v>
      </c>
      <c r="AN172" s="7">
        <v>1</v>
      </c>
      <c r="AO172" s="7">
        <v>1</v>
      </c>
      <c r="AP172" s="7">
        <v>1</v>
      </c>
    </row>
    <row r="173" spans="1:42">
      <c r="A173" s="116"/>
      <c r="B173" s="7" t="str">
        <f>装备!B173</f>
        <v>IH00</v>
      </c>
      <c r="C173" s="7" t="s">
        <v>41</v>
      </c>
      <c r="D173" s="7" t="s">
        <v>81</v>
      </c>
      <c r="E173" s="7"/>
      <c r="F173" s="7"/>
      <c r="G173" s="7"/>
      <c r="H173" s="7" t="str">
        <f>VLOOKUP(LEFT(RIGHT(B173,5),4),装备!B:CU,2,FALSE)</f>
        <v>觉醒兽魂</v>
      </c>
      <c r="I173" s="7" t="str">
        <f>VLOOKUP(B173,装备!B:CV,99,FALSE)</f>
        <v>抽中所有兽魂后觉醒|Cffff0000神兽神通（R）|r。|n|n|Cff00ff7f觉醒时将根据你抽中的兽魂，随机领悟对应的神兽神通。|r</v>
      </c>
      <c r="J173" s="118" t="str">
        <f t="shared" si="62"/>
        <v>觉醒兽魂</v>
      </c>
      <c r="K173" s="118" t="str">
        <f t="shared" si="63"/>
        <v>抽中所有兽魂后觉醒|Cffff0000神兽神通（R）|r。|n|n|Cff00ff7f觉醒时将根据你抽中的兽魂，随机领悟对应的神兽神通。|r</v>
      </c>
      <c r="L173" s="7"/>
      <c r="M173" s="119" t="str">
        <f>VLOOKUP(LEFT(RIGHT(B173,5),4),装备!B:CU,20,FALSE)</f>
        <v>ReplaceableTextures\\CommandButtons\\BTNIH00.blp</v>
      </c>
      <c r="N173" s="136" t="s">
        <v>83</v>
      </c>
      <c r="O173" s="119" t="s">
        <v>90</v>
      </c>
      <c r="P173" s="7">
        <v>3</v>
      </c>
      <c r="Q173" s="7">
        <v>2</v>
      </c>
      <c r="R173" s="136" t="s">
        <v>83</v>
      </c>
      <c r="S173" s="136" t="s">
        <v>83</v>
      </c>
      <c r="T173" s="136" t="s">
        <v>83</v>
      </c>
      <c r="U173" s="136" t="s">
        <v>83</v>
      </c>
      <c r="V173" s="7"/>
      <c r="W173" s="7" t="s">
        <v>87</v>
      </c>
      <c r="X173" s="7">
        <v>0</v>
      </c>
      <c r="Y173" s="136" t="s">
        <v>83</v>
      </c>
      <c r="Z173" s="7">
        <v>0</v>
      </c>
      <c r="AA173" s="7">
        <v>0</v>
      </c>
      <c r="AB173" s="7">
        <v>0</v>
      </c>
      <c r="AC173" s="7">
        <v>1</v>
      </c>
      <c r="AD173" s="7">
        <v>1</v>
      </c>
      <c r="AE173" s="136" t="s">
        <v>83</v>
      </c>
      <c r="AF173" s="136" t="s">
        <v>83</v>
      </c>
      <c r="AG173" s="136" t="s">
        <v>83</v>
      </c>
      <c r="AH173" s="136" t="s">
        <v>83</v>
      </c>
      <c r="AI173" s="7">
        <v>1</v>
      </c>
      <c r="AJ173" s="7"/>
      <c r="AK173" s="7">
        <v>1</v>
      </c>
      <c r="AL173" s="7">
        <v>1</v>
      </c>
      <c r="AM173" s="136" t="s">
        <v>83</v>
      </c>
      <c r="AN173" s="7">
        <v>1</v>
      </c>
      <c r="AO173" s="7">
        <v>1</v>
      </c>
      <c r="AP173" s="7">
        <v>1</v>
      </c>
    </row>
    <row r="174" spans="1:42">
      <c r="A174" s="116"/>
      <c r="B174" s="7" t="str">
        <f>装备!B174</f>
        <v>IH01</v>
      </c>
      <c r="C174" s="7" t="s">
        <v>41</v>
      </c>
      <c r="D174" s="7" t="s">
        <v>81</v>
      </c>
      <c r="E174" s="7"/>
      <c r="F174" s="7"/>
      <c r="G174" s="7"/>
      <c r="H174" s="7" t="str">
        <f>VLOOKUP(LEFT(RIGHT(B174,5),4),装备!B:CU,2,FALSE)</f>
        <v>|CffFF0000陛犴之魂|r</v>
      </c>
      <c r="I174" s="7" t="str">
        <f>VLOOKUP(B174,装备!B:CV,99,FALSE)</f>
        <v>|Cff999999基础属性：|n|r攻击+20%|n|n|Cff999999神通传承：|n|r|Cffff0000血之裂痕|r</v>
      </c>
      <c r="J174" s="118" t="str">
        <f t="shared" si="62"/>
        <v>|CffFF0000陛犴之魂|r</v>
      </c>
      <c r="K174" s="118" t="str">
        <f t="shared" si="63"/>
        <v>|Cff999999基础属性：|n|r攻击+20%|n|n|Cff999999神通传承：|n|r|Cffff0000血之裂痕|r</v>
      </c>
      <c r="L174" s="7"/>
      <c r="M174" s="119" t="str">
        <f>VLOOKUP(LEFT(RIGHT(B174,5),4),装备!B:CU,20,FALSE)</f>
        <v>ReplaceableTextures\\CommandButtons\\BTNIH01.blp</v>
      </c>
      <c r="N174" s="136" t="s">
        <v>83</v>
      </c>
      <c r="O174" s="119" t="s">
        <v>90</v>
      </c>
      <c r="P174" s="7">
        <v>0</v>
      </c>
      <c r="Q174" s="7">
        <v>0</v>
      </c>
      <c r="R174" s="136" t="s">
        <v>83</v>
      </c>
      <c r="S174" s="136" t="s">
        <v>83</v>
      </c>
      <c r="T174" s="136" t="s">
        <v>83</v>
      </c>
      <c r="U174" s="136" t="s">
        <v>83</v>
      </c>
      <c r="V174" s="7"/>
      <c r="W174" s="7" t="s">
        <v>87</v>
      </c>
      <c r="X174" s="7">
        <v>0</v>
      </c>
      <c r="Y174" s="136" t="s">
        <v>83</v>
      </c>
      <c r="Z174" s="7">
        <v>0</v>
      </c>
      <c r="AA174" s="7">
        <v>0</v>
      </c>
      <c r="AB174" s="7">
        <v>0</v>
      </c>
      <c r="AC174" s="7">
        <v>1</v>
      </c>
      <c r="AD174" s="7">
        <v>1</v>
      </c>
      <c r="AE174" s="136" t="s">
        <v>83</v>
      </c>
      <c r="AF174" s="136" t="s">
        <v>83</v>
      </c>
      <c r="AG174" s="136" t="s">
        <v>83</v>
      </c>
      <c r="AH174" s="136" t="s">
        <v>83</v>
      </c>
      <c r="AI174" s="7">
        <v>1</v>
      </c>
      <c r="AJ174" s="7"/>
      <c r="AK174" s="7">
        <v>1</v>
      </c>
      <c r="AL174" s="7">
        <v>1</v>
      </c>
      <c r="AM174" s="136" t="s">
        <v>83</v>
      </c>
      <c r="AN174" s="7">
        <v>1</v>
      </c>
      <c r="AO174" s="7">
        <v>1</v>
      </c>
      <c r="AP174" s="7">
        <v>1</v>
      </c>
    </row>
    <row r="175" spans="1:42">
      <c r="A175" s="116"/>
      <c r="B175" s="7" t="str">
        <f>装备!B175</f>
        <v>IH02</v>
      </c>
      <c r="C175" s="7" t="s">
        <v>41</v>
      </c>
      <c r="D175" s="7" t="s">
        <v>81</v>
      </c>
      <c r="E175" s="7"/>
      <c r="F175" s="7"/>
      <c r="G175" s="7"/>
      <c r="H175" s="7" t="str">
        <f>VLOOKUP(LEFT(RIGHT(B175,5),4),装备!B:CU,2,FALSE)</f>
        <v>|CffFF0000奎牛之魂|r</v>
      </c>
      <c r="I175" s="7" t="str">
        <f>VLOOKUP(B175,装备!B:CV,99,FALSE)</f>
        <v>|Cff999999基础属性：|n|r法强+20%|n|n|Cff999999神通传承：|n|r|Cffff0000十绝阵|r</v>
      </c>
      <c r="J175" s="118" t="str">
        <f t="shared" si="62"/>
        <v>|CffFF0000奎牛之魂|r</v>
      </c>
      <c r="K175" s="118" t="str">
        <f t="shared" si="63"/>
        <v>|Cff999999基础属性：|n|r法强+20%|n|n|Cff999999神通传承：|n|r|Cffff0000十绝阵|r</v>
      </c>
      <c r="L175" s="7"/>
      <c r="M175" s="119" t="str">
        <f>VLOOKUP(LEFT(RIGHT(B175,5),4),装备!B:CU,20,FALSE)</f>
        <v>ReplaceableTextures\\CommandButtons\\BTNIH02.blp</v>
      </c>
      <c r="N175" s="136" t="s">
        <v>83</v>
      </c>
      <c r="O175" s="119" t="s">
        <v>90</v>
      </c>
      <c r="P175" s="7">
        <v>1</v>
      </c>
      <c r="Q175" s="7">
        <v>0</v>
      </c>
      <c r="R175" s="136" t="s">
        <v>83</v>
      </c>
      <c r="S175" s="136" t="s">
        <v>83</v>
      </c>
      <c r="T175" s="136" t="s">
        <v>83</v>
      </c>
      <c r="U175" s="136" t="s">
        <v>83</v>
      </c>
      <c r="V175" s="7"/>
      <c r="W175" s="7" t="s">
        <v>87</v>
      </c>
      <c r="X175" s="7">
        <v>0</v>
      </c>
      <c r="Y175" s="136" t="s">
        <v>83</v>
      </c>
      <c r="Z175" s="7">
        <v>0</v>
      </c>
      <c r="AA175" s="7">
        <v>0</v>
      </c>
      <c r="AB175" s="7">
        <v>0</v>
      </c>
      <c r="AC175" s="7">
        <v>1</v>
      </c>
      <c r="AD175" s="7">
        <v>1</v>
      </c>
      <c r="AE175" s="136" t="s">
        <v>83</v>
      </c>
      <c r="AF175" s="136" t="s">
        <v>83</v>
      </c>
      <c r="AG175" s="136" t="s">
        <v>83</v>
      </c>
      <c r="AH175" s="136" t="s">
        <v>83</v>
      </c>
      <c r="AI175" s="7">
        <v>1</v>
      </c>
      <c r="AJ175" s="7"/>
      <c r="AK175" s="7">
        <v>1</v>
      </c>
      <c r="AL175" s="7">
        <v>1</v>
      </c>
      <c r="AM175" s="136" t="s">
        <v>83</v>
      </c>
      <c r="AN175" s="7">
        <v>1</v>
      </c>
      <c r="AO175" s="7">
        <v>1</v>
      </c>
      <c r="AP175" s="7">
        <v>1</v>
      </c>
    </row>
    <row r="176" spans="1:42">
      <c r="A176" s="116"/>
      <c r="B176" s="7" t="str">
        <f>装备!B176</f>
        <v>IH03</v>
      </c>
      <c r="C176" s="7" t="s">
        <v>41</v>
      </c>
      <c r="D176" s="7" t="s">
        <v>81</v>
      </c>
      <c r="E176" s="7"/>
      <c r="F176" s="7"/>
      <c r="G176" s="7"/>
      <c r="H176" s="7" t="str">
        <f>VLOOKUP(LEFT(RIGHT(B176,5),4),装备!B:CU,2,FALSE)</f>
        <v>|CffFF0000墨麒麟之魂|r</v>
      </c>
      <c r="I176" s="7" t="str">
        <f>VLOOKUP(B176,装备!B:CV,99,FALSE)</f>
        <v>|Cff999999基础属性：|n|r生命+40%|n|n|Cff999999神通传承：|n|r|Cffff0000八荒斗神|r</v>
      </c>
      <c r="J176" s="118" t="str">
        <f t="shared" si="62"/>
        <v>|CffFF0000墨麒麟之魂|r</v>
      </c>
      <c r="K176" s="118" t="str">
        <f t="shared" si="63"/>
        <v>|Cff999999基础属性：|n|r生命+40%|n|n|Cff999999神通传承：|n|r|Cffff0000八荒斗神|r</v>
      </c>
      <c r="L176" s="7"/>
      <c r="M176" s="119" t="str">
        <f>VLOOKUP(LEFT(RIGHT(B176,5),4),装备!B:CU,20,FALSE)</f>
        <v>ReplaceableTextures\\CommandButtons\\BTNIH03.blp</v>
      </c>
      <c r="N176" s="136" t="s">
        <v>83</v>
      </c>
      <c r="O176" s="119" t="s">
        <v>90</v>
      </c>
      <c r="P176" s="7">
        <v>2</v>
      </c>
      <c r="Q176" s="7">
        <v>0</v>
      </c>
      <c r="R176" s="136" t="s">
        <v>83</v>
      </c>
      <c r="S176" s="136" t="s">
        <v>83</v>
      </c>
      <c r="T176" s="136" t="s">
        <v>83</v>
      </c>
      <c r="U176" s="136" t="s">
        <v>83</v>
      </c>
      <c r="V176" s="7"/>
      <c r="W176" s="7" t="s">
        <v>87</v>
      </c>
      <c r="X176" s="7">
        <v>0</v>
      </c>
      <c r="Y176" s="136" t="s">
        <v>83</v>
      </c>
      <c r="Z176" s="7">
        <v>0</v>
      </c>
      <c r="AA176" s="7">
        <v>0</v>
      </c>
      <c r="AB176" s="7">
        <v>0</v>
      </c>
      <c r="AC176" s="7">
        <v>1</v>
      </c>
      <c r="AD176" s="7">
        <v>1</v>
      </c>
      <c r="AE176" s="136" t="s">
        <v>83</v>
      </c>
      <c r="AF176" s="136" t="s">
        <v>83</v>
      </c>
      <c r="AG176" s="136" t="s">
        <v>83</v>
      </c>
      <c r="AH176" s="136" t="s">
        <v>83</v>
      </c>
      <c r="AI176" s="7">
        <v>1</v>
      </c>
      <c r="AJ176" s="7"/>
      <c r="AK176" s="7">
        <v>1</v>
      </c>
      <c r="AL176" s="7">
        <v>1</v>
      </c>
      <c r="AM176" s="136" t="s">
        <v>83</v>
      </c>
      <c r="AN176" s="7">
        <v>1</v>
      </c>
      <c r="AO176" s="7">
        <v>1</v>
      </c>
      <c r="AP176" s="7">
        <v>1</v>
      </c>
    </row>
    <row r="177" spans="1:42">
      <c r="A177" s="116"/>
      <c r="B177" s="7" t="str">
        <f>装备!B177</f>
        <v>IH04</v>
      </c>
      <c r="C177" s="7" t="s">
        <v>41</v>
      </c>
      <c r="D177" s="7" t="s">
        <v>81</v>
      </c>
      <c r="E177" s="7"/>
      <c r="F177" s="7"/>
      <c r="G177" s="7"/>
      <c r="H177" s="7" t="str">
        <f>VLOOKUP(LEFT(RIGHT(B177,5),4),装备!B:CU,2,FALSE)</f>
        <v>|CffFF0000狻猊之魂|r</v>
      </c>
      <c r="I177" s="7" t="str">
        <f>VLOOKUP(B177,装备!B:CV,99,FALSE)</f>
        <v>|Cff999999基础属性：|n|r物穿+10%|n|n|Cff999999神通传承：|n|r|Cffff0000冰封之域|r</v>
      </c>
      <c r="J177" s="118" t="str">
        <f t="shared" si="62"/>
        <v>|CffFF0000狻猊之魂|r</v>
      </c>
      <c r="K177" s="118" t="str">
        <f t="shared" si="63"/>
        <v>|Cff999999基础属性：|n|r物穿+10%|n|n|Cff999999神通传承：|n|r|Cffff0000冰封之域|r</v>
      </c>
      <c r="L177" s="7"/>
      <c r="M177" s="119" t="str">
        <f>VLOOKUP(LEFT(RIGHT(B177,5),4),装备!B:CU,20,FALSE)</f>
        <v>ReplaceableTextures\\CommandButtons\\BTNIH04.blp</v>
      </c>
      <c r="N177" s="136" t="s">
        <v>83</v>
      </c>
      <c r="O177" s="119" t="s">
        <v>90</v>
      </c>
      <c r="P177" s="7">
        <v>3</v>
      </c>
      <c r="Q177" s="7">
        <v>0</v>
      </c>
      <c r="R177" s="136" t="s">
        <v>83</v>
      </c>
      <c r="S177" s="136" t="s">
        <v>83</v>
      </c>
      <c r="T177" s="136" t="s">
        <v>83</v>
      </c>
      <c r="U177" s="136" t="s">
        <v>83</v>
      </c>
      <c r="V177" s="7"/>
      <c r="W177" s="7" t="s">
        <v>87</v>
      </c>
      <c r="X177" s="7">
        <v>0</v>
      </c>
      <c r="Y177" s="136" t="s">
        <v>83</v>
      </c>
      <c r="Z177" s="7">
        <v>0</v>
      </c>
      <c r="AA177" s="7">
        <v>0</v>
      </c>
      <c r="AB177" s="7">
        <v>0</v>
      </c>
      <c r="AC177" s="7">
        <v>1</v>
      </c>
      <c r="AD177" s="7">
        <v>1</v>
      </c>
      <c r="AE177" s="136" t="s">
        <v>83</v>
      </c>
      <c r="AF177" s="136" t="s">
        <v>83</v>
      </c>
      <c r="AG177" s="136" t="s">
        <v>83</v>
      </c>
      <c r="AH177" s="136" t="s">
        <v>83</v>
      </c>
      <c r="AI177" s="7">
        <v>1</v>
      </c>
      <c r="AJ177" s="7"/>
      <c r="AK177" s="7">
        <v>1</v>
      </c>
      <c r="AL177" s="7">
        <v>1</v>
      </c>
      <c r="AM177" s="136" t="s">
        <v>83</v>
      </c>
      <c r="AN177" s="7">
        <v>1</v>
      </c>
      <c r="AO177" s="7">
        <v>1</v>
      </c>
      <c r="AP177" s="7">
        <v>1</v>
      </c>
    </row>
    <row r="178" spans="1:42">
      <c r="A178" s="116"/>
      <c r="B178" s="7" t="str">
        <f>装备!B178</f>
        <v>IH05</v>
      </c>
      <c r="C178" s="7" t="s">
        <v>41</v>
      </c>
      <c r="D178" s="7" t="s">
        <v>81</v>
      </c>
      <c r="E178" s="7"/>
      <c r="F178" s="7"/>
      <c r="G178" s="7"/>
      <c r="H178" s="7" t="str">
        <f>VLOOKUP(LEFT(RIGHT(B178,5),4),装备!B:CU,2,FALSE)</f>
        <v>|CffFF0000青鸾之魂|r</v>
      </c>
      <c r="I178" s="7" t="str">
        <f>VLOOKUP(B178,装备!B:CV,99,FALSE)</f>
        <v>|Cff999999基础属性：|n|r法穿+10%|n|n|Cff999999神通传承：|n|r|Cffff0000离魂秘术|r</v>
      </c>
      <c r="J178" s="118" t="str">
        <f t="shared" si="62"/>
        <v>|CffFF0000青鸾之魂|r</v>
      </c>
      <c r="K178" s="118" t="str">
        <f t="shared" si="63"/>
        <v>|Cff999999基础属性：|n|r法穿+10%|n|n|Cff999999神通传承：|n|r|Cffff0000离魂秘术|r</v>
      </c>
      <c r="L178" s="7"/>
      <c r="M178" s="119" t="str">
        <f>VLOOKUP(LEFT(RIGHT(B178,5),4),装备!B:CU,20,FALSE)</f>
        <v>ReplaceableTextures\\CommandButtons\\BTNIH05.blp</v>
      </c>
      <c r="N178" s="136" t="s">
        <v>83</v>
      </c>
      <c r="O178" s="119" t="s">
        <v>90</v>
      </c>
      <c r="P178" s="7">
        <v>0</v>
      </c>
      <c r="Q178" s="7">
        <v>1</v>
      </c>
      <c r="R178" s="136" t="s">
        <v>83</v>
      </c>
      <c r="S178" s="136" t="s">
        <v>83</v>
      </c>
      <c r="T178" s="136" t="s">
        <v>83</v>
      </c>
      <c r="U178" s="136" t="s">
        <v>83</v>
      </c>
      <c r="V178" s="7"/>
      <c r="W178" s="7" t="s">
        <v>87</v>
      </c>
      <c r="X178" s="7">
        <v>0</v>
      </c>
      <c r="Y178" s="136" t="s">
        <v>83</v>
      </c>
      <c r="Z178" s="7">
        <v>0</v>
      </c>
      <c r="AA178" s="7">
        <v>0</v>
      </c>
      <c r="AB178" s="7">
        <v>0</v>
      </c>
      <c r="AC178" s="7">
        <v>1</v>
      </c>
      <c r="AD178" s="7">
        <v>1</v>
      </c>
      <c r="AE178" s="136" t="s">
        <v>83</v>
      </c>
      <c r="AF178" s="136" t="s">
        <v>83</v>
      </c>
      <c r="AG178" s="136" t="s">
        <v>83</v>
      </c>
      <c r="AH178" s="136" t="s">
        <v>83</v>
      </c>
      <c r="AI178" s="7">
        <v>1</v>
      </c>
      <c r="AJ178" s="7"/>
      <c r="AK178" s="7">
        <v>1</v>
      </c>
      <c r="AL178" s="7">
        <v>1</v>
      </c>
      <c r="AM178" s="136" t="s">
        <v>83</v>
      </c>
      <c r="AN178" s="7">
        <v>1</v>
      </c>
      <c r="AO178" s="7">
        <v>1</v>
      </c>
      <c r="AP178" s="7">
        <v>1</v>
      </c>
    </row>
    <row r="179" spans="1:42">
      <c r="A179" s="116"/>
      <c r="B179" s="7" t="str">
        <f>装备!B179</f>
        <v>IH06</v>
      </c>
      <c r="C179" s="7" t="s">
        <v>41</v>
      </c>
      <c r="D179" s="7" t="s">
        <v>81</v>
      </c>
      <c r="E179" s="7"/>
      <c r="F179" s="7"/>
      <c r="G179" s="7"/>
      <c r="H179" s="7" t="str">
        <f>VLOOKUP(LEFT(RIGHT(B179,5),4),装备!B:CU,2,FALSE)</f>
        <v>|CffFF0000狰狞之魂|r</v>
      </c>
      <c r="I179" s="7" t="str">
        <f>VLOOKUP(B179,装备!B:CV,99,FALSE)</f>
        <v>|Cff999999基础属性：|n|r暴击+5%，爆伤+50%|n|n|Cff999999神通传承：|n|r|Cffff0000修罗之怒|r</v>
      </c>
      <c r="J179" s="118" t="str">
        <f t="shared" si="62"/>
        <v>|CffFF0000狰狞之魂|r</v>
      </c>
      <c r="K179" s="118" t="str">
        <f t="shared" si="63"/>
        <v>|Cff999999基础属性：|n|r暴击+5%，爆伤+50%|n|n|Cff999999神通传承：|n|r|Cffff0000修罗之怒|r</v>
      </c>
      <c r="L179" s="7"/>
      <c r="M179" s="119" t="str">
        <f>VLOOKUP(LEFT(RIGHT(B179,5),4),装备!B:CU,20,FALSE)</f>
        <v>ReplaceableTextures\\CommandButtons\\BTNIH06.blp</v>
      </c>
      <c r="N179" s="136" t="s">
        <v>83</v>
      </c>
      <c r="O179" s="119" t="s">
        <v>90</v>
      </c>
      <c r="P179" s="7">
        <v>1</v>
      </c>
      <c r="Q179" s="7">
        <v>1</v>
      </c>
      <c r="R179" s="136" t="s">
        <v>83</v>
      </c>
      <c r="S179" s="136" t="s">
        <v>83</v>
      </c>
      <c r="T179" s="136" t="s">
        <v>83</v>
      </c>
      <c r="U179" s="136" t="s">
        <v>83</v>
      </c>
      <c r="V179" s="7"/>
      <c r="W179" s="7" t="s">
        <v>87</v>
      </c>
      <c r="X179" s="7">
        <v>0</v>
      </c>
      <c r="Y179" s="136" t="s">
        <v>83</v>
      </c>
      <c r="Z179" s="7">
        <v>0</v>
      </c>
      <c r="AA179" s="7">
        <v>0</v>
      </c>
      <c r="AB179" s="7">
        <v>0</v>
      </c>
      <c r="AC179" s="7">
        <v>1</v>
      </c>
      <c r="AD179" s="7">
        <v>1</v>
      </c>
      <c r="AE179" s="136" t="s">
        <v>83</v>
      </c>
      <c r="AF179" s="136" t="s">
        <v>83</v>
      </c>
      <c r="AG179" s="136" t="s">
        <v>83</v>
      </c>
      <c r="AH179" s="136" t="s">
        <v>83</v>
      </c>
      <c r="AI179" s="7">
        <v>1</v>
      </c>
      <c r="AJ179" s="7"/>
      <c r="AK179" s="7">
        <v>1</v>
      </c>
      <c r="AL179" s="7">
        <v>1</v>
      </c>
      <c r="AM179" s="136" t="s">
        <v>83</v>
      </c>
      <c r="AN179" s="7">
        <v>1</v>
      </c>
      <c r="AO179" s="7">
        <v>1</v>
      </c>
      <c r="AP179" s="7">
        <v>1</v>
      </c>
    </row>
    <row r="180" spans="1:42">
      <c r="A180" s="116"/>
      <c r="B180" s="7" t="str">
        <f>装备!B180</f>
        <v>IH07</v>
      </c>
      <c r="C180" s="7" t="s">
        <v>41</v>
      </c>
      <c r="D180" s="7" t="s">
        <v>81</v>
      </c>
      <c r="E180" s="7"/>
      <c r="F180" s="7"/>
      <c r="G180" s="7"/>
      <c r="H180" s="7" t="str">
        <f>VLOOKUP(LEFT(RIGHT(B180,5),4),装备!B:CU,2,FALSE)</f>
        <v>|CffFF0000神威黑虎之魂|r</v>
      </c>
      <c r="I180" s="7" t="str">
        <f>VLOOKUP(B180,装备!B:CV,99,FALSE)</f>
        <v>|Cff999999基础属性：|n|r攻速+50%|n|n|Cff999999神通传承：|n|r|Cffff0000神威一击|r</v>
      </c>
      <c r="J180" s="118" t="str">
        <f t="shared" si="62"/>
        <v>|CffFF0000神威黑虎之魂|r</v>
      </c>
      <c r="K180" s="118" t="str">
        <f t="shared" si="63"/>
        <v>|Cff999999基础属性：|n|r攻速+50%|n|n|Cff999999神通传承：|n|r|Cffff0000神威一击|r</v>
      </c>
      <c r="L180" s="7"/>
      <c r="M180" s="119" t="str">
        <f>VLOOKUP(LEFT(RIGHT(B180,5),4),装备!B:CU,20,FALSE)</f>
        <v>ReplaceableTextures\\CommandButtons\\BTNIH07.blp</v>
      </c>
      <c r="N180" s="136" t="s">
        <v>83</v>
      </c>
      <c r="O180" s="119" t="s">
        <v>90</v>
      </c>
      <c r="P180" s="7">
        <v>2</v>
      </c>
      <c r="Q180" s="7">
        <v>1</v>
      </c>
      <c r="R180" s="136" t="s">
        <v>83</v>
      </c>
      <c r="S180" s="136" t="s">
        <v>83</v>
      </c>
      <c r="T180" s="136" t="s">
        <v>83</v>
      </c>
      <c r="U180" s="136" t="s">
        <v>83</v>
      </c>
      <c r="V180" s="7"/>
      <c r="W180" s="7" t="s">
        <v>87</v>
      </c>
      <c r="X180" s="7">
        <v>0</v>
      </c>
      <c r="Y180" s="136" t="s">
        <v>83</v>
      </c>
      <c r="Z180" s="7">
        <v>0</v>
      </c>
      <c r="AA180" s="7">
        <v>0</v>
      </c>
      <c r="AB180" s="7">
        <v>0</v>
      </c>
      <c r="AC180" s="7">
        <v>1</v>
      </c>
      <c r="AD180" s="7">
        <v>1</v>
      </c>
      <c r="AE180" s="136" t="s">
        <v>83</v>
      </c>
      <c r="AF180" s="136" t="s">
        <v>83</v>
      </c>
      <c r="AG180" s="136" t="s">
        <v>83</v>
      </c>
      <c r="AH180" s="136" t="s">
        <v>83</v>
      </c>
      <c r="AI180" s="7">
        <v>1</v>
      </c>
      <c r="AJ180" s="7"/>
      <c r="AK180" s="7">
        <v>1</v>
      </c>
      <c r="AL180" s="7">
        <v>1</v>
      </c>
      <c r="AM180" s="136" t="s">
        <v>83</v>
      </c>
      <c r="AN180" s="7">
        <v>1</v>
      </c>
      <c r="AO180" s="7">
        <v>1</v>
      </c>
      <c r="AP180" s="7">
        <v>1</v>
      </c>
    </row>
    <row r="181" spans="1:42">
      <c r="A181" s="116"/>
      <c r="B181" s="7" t="str">
        <f>装备!B181</f>
        <v>IH08</v>
      </c>
      <c r="C181" s="7" t="s">
        <v>41</v>
      </c>
      <c r="D181" s="7" t="s">
        <v>81</v>
      </c>
      <c r="E181" s="7"/>
      <c r="F181" s="7"/>
      <c r="G181" s="7"/>
      <c r="H181" s="7" t="str">
        <f>VLOOKUP(LEFT(RIGHT(B181,5),4),装备!B:CU,2,FALSE)</f>
        <v>|CffFF0000孔雀之魂|r</v>
      </c>
      <c r="I181" s="7" t="str">
        <f>VLOOKUP(B181,装备!B:CV,99,FALSE)</f>
        <v>|Cff999999基础属性：|n|r冷却+10%|n|n|Cff999999神通传承：|n|r|Cffff0000道法自然|r</v>
      </c>
      <c r="J181" s="118" t="str">
        <f t="shared" si="62"/>
        <v>|CffFF0000孔雀之魂|r</v>
      </c>
      <c r="K181" s="118" t="str">
        <f t="shared" si="63"/>
        <v>|Cff999999基础属性：|n|r冷却+10%|n|n|Cff999999神通传承：|n|r|Cffff0000道法自然|r</v>
      </c>
      <c r="L181" s="7"/>
      <c r="M181" s="119" t="str">
        <f>VLOOKUP(LEFT(RIGHT(B181,5),4),装备!B:CU,20,FALSE)</f>
        <v>ReplaceableTextures\\CommandButtons\\BTNIH08.blp</v>
      </c>
      <c r="N181" s="136" t="s">
        <v>83</v>
      </c>
      <c r="O181" s="119" t="s">
        <v>90</v>
      </c>
      <c r="P181" s="7">
        <v>3</v>
      </c>
      <c r="Q181" s="7">
        <v>1</v>
      </c>
      <c r="R181" s="136" t="s">
        <v>83</v>
      </c>
      <c r="S181" s="136" t="s">
        <v>83</v>
      </c>
      <c r="T181" s="136" t="s">
        <v>83</v>
      </c>
      <c r="U181" s="136" t="s">
        <v>83</v>
      </c>
      <c r="V181" s="7"/>
      <c r="W181" s="7" t="s">
        <v>87</v>
      </c>
      <c r="X181" s="7">
        <v>0</v>
      </c>
      <c r="Y181" s="136" t="s">
        <v>83</v>
      </c>
      <c r="Z181" s="7">
        <v>0</v>
      </c>
      <c r="AA181" s="7">
        <v>0</v>
      </c>
      <c r="AB181" s="7">
        <v>0</v>
      </c>
      <c r="AC181" s="7">
        <v>1</v>
      </c>
      <c r="AD181" s="7">
        <v>1</v>
      </c>
      <c r="AE181" s="136" t="s">
        <v>83</v>
      </c>
      <c r="AF181" s="136" t="s">
        <v>83</v>
      </c>
      <c r="AG181" s="136" t="s">
        <v>83</v>
      </c>
      <c r="AH181" s="136" t="s">
        <v>83</v>
      </c>
      <c r="AI181" s="7">
        <v>1</v>
      </c>
      <c r="AJ181" s="7"/>
      <c r="AK181" s="7">
        <v>1</v>
      </c>
      <c r="AL181" s="7">
        <v>1</v>
      </c>
      <c r="AM181" s="136" t="s">
        <v>83</v>
      </c>
      <c r="AN181" s="7">
        <v>1</v>
      </c>
      <c r="AO181" s="7">
        <v>1</v>
      </c>
      <c r="AP181" s="7">
        <v>1</v>
      </c>
    </row>
    <row r="182" spans="1:42">
      <c r="A182" s="116"/>
      <c r="B182" s="7" t="str">
        <f>装备!B182</f>
        <v>IB01</v>
      </c>
      <c r="C182" s="7" t="s">
        <v>41</v>
      </c>
      <c r="D182" s="7" t="s">
        <v>81</v>
      </c>
      <c r="E182" s="7"/>
      <c r="F182" s="7"/>
      <c r="G182" s="7"/>
      <c r="H182" s="7" t="str">
        <f>VLOOKUP(LEFT(RIGHT(B182,5),4),装备!B:CU,2,FALSE)</f>
        <v>公众号礼包</v>
      </c>
      <c r="I182" s="7" t="str">
        <f>VLOOKUP(B182,装备!B:CV,99,FALSE)</f>
        <v>公众号礼包</v>
      </c>
      <c r="J182" s="118" t="str">
        <f t="shared" si="62"/>
        <v>公众号礼包</v>
      </c>
      <c r="K182" s="118" t="str">
        <f t="shared" si="63"/>
        <v>公众号礼包</v>
      </c>
      <c r="L182" s="7"/>
      <c r="M182" s="119" t="str">
        <f>VLOOKUP(LEFT(RIGHT(B182,5),4),装备!B:CU,20,FALSE)</f>
        <v>ReplaceableTextures\\CommandButtons\\BTNIB01.blp</v>
      </c>
      <c r="N182" s="136" t="s">
        <v>83</v>
      </c>
      <c r="O182" s="119" t="s">
        <v>90</v>
      </c>
      <c r="P182" s="7">
        <v>0</v>
      </c>
      <c r="Q182" s="7">
        <v>0</v>
      </c>
      <c r="R182" s="136" t="s">
        <v>83</v>
      </c>
      <c r="S182" s="136" t="s">
        <v>83</v>
      </c>
      <c r="T182" s="136" t="s">
        <v>83</v>
      </c>
      <c r="U182" s="136" t="s">
        <v>83</v>
      </c>
      <c r="V182" s="7"/>
      <c r="W182" s="7" t="s">
        <v>87</v>
      </c>
      <c r="X182" s="7">
        <v>0</v>
      </c>
      <c r="Y182" s="136" t="s">
        <v>83</v>
      </c>
      <c r="Z182" s="7">
        <v>0</v>
      </c>
      <c r="AA182" s="7">
        <v>0</v>
      </c>
      <c r="AB182" s="7">
        <v>0</v>
      </c>
      <c r="AC182" s="7">
        <v>1</v>
      </c>
      <c r="AD182" s="7">
        <v>1</v>
      </c>
      <c r="AE182" s="136" t="s">
        <v>83</v>
      </c>
      <c r="AF182" s="136" t="s">
        <v>83</v>
      </c>
      <c r="AG182" s="136" t="s">
        <v>83</v>
      </c>
      <c r="AH182" s="136" t="s">
        <v>83</v>
      </c>
      <c r="AI182" s="7">
        <v>1</v>
      </c>
      <c r="AJ182" s="7"/>
      <c r="AK182" s="7">
        <v>1</v>
      </c>
      <c r="AL182" s="7">
        <v>1</v>
      </c>
      <c r="AM182" s="136" t="s">
        <v>83</v>
      </c>
      <c r="AN182" s="7">
        <v>1</v>
      </c>
      <c r="AO182" s="7">
        <v>1</v>
      </c>
      <c r="AP182" s="7">
        <v>1</v>
      </c>
    </row>
    <row r="183" spans="1:42">
      <c r="A183" s="116"/>
      <c r="B183" s="7" t="str">
        <f>装备!B183</f>
        <v>IB02</v>
      </c>
      <c r="C183" s="7" t="s">
        <v>41</v>
      </c>
      <c r="D183" s="7" t="s">
        <v>81</v>
      </c>
      <c r="E183" s="7"/>
      <c r="F183" s="7"/>
      <c r="G183" s="7"/>
      <c r="H183" s="7" t="str">
        <f>VLOOKUP(LEFT(RIGHT(B183,5),4),装备!B:CU,2,FALSE)</f>
        <v>入群礼包</v>
      </c>
      <c r="I183" s="7" t="str">
        <f>VLOOKUP(B183,装备!B:CV,99,FALSE)</f>
        <v>入群礼包</v>
      </c>
      <c r="J183" s="118" t="str">
        <f t="shared" si="62"/>
        <v>入群礼包</v>
      </c>
      <c r="K183" s="118" t="str">
        <f t="shared" si="63"/>
        <v>入群礼包</v>
      </c>
      <c r="L183" s="7"/>
      <c r="M183" s="119" t="str">
        <f>VLOOKUP(LEFT(RIGHT(B183,5),4),装备!B:CU,20,FALSE)</f>
        <v>ReplaceableTextures\\CommandButtons\\BTNIB02.blp</v>
      </c>
      <c r="N183" s="136" t="s">
        <v>83</v>
      </c>
      <c r="O183" s="119" t="s">
        <v>90</v>
      </c>
      <c r="P183" s="7">
        <v>1</v>
      </c>
      <c r="Q183" s="7">
        <v>0</v>
      </c>
      <c r="R183" s="136" t="s">
        <v>83</v>
      </c>
      <c r="S183" s="136" t="s">
        <v>83</v>
      </c>
      <c r="T183" s="136" t="s">
        <v>83</v>
      </c>
      <c r="U183" s="136" t="s">
        <v>83</v>
      </c>
      <c r="V183" s="7"/>
      <c r="W183" s="7" t="s">
        <v>87</v>
      </c>
      <c r="X183" s="7">
        <v>0</v>
      </c>
      <c r="Y183" s="136" t="s">
        <v>83</v>
      </c>
      <c r="Z183" s="7">
        <v>0</v>
      </c>
      <c r="AA183" s="7">
        <v>0</v>
      </c>
      <c r="AB183" s="7">
        <v>0</v>
      </c>
      <c r="AC183" s="7">
        <v>1</v>
      </c>
      <c r="AD183" s="7">
        <v>1</v>
      </c>
      <c r="AE183" s="136" t="s">
        <v>83</v>
      </c>
      <c r="AF183" s="136" t="s">
        <v>83</v>
      </c>
      <c r="AG183" s="136" t="s">
        <v>83</v>
      </c>
      <c r="AH183" s="136" t="s">
        <v>83</v>
      </c>
      <c r="AI183" s="7">
        <v>1</v>
      </c>
      <c r="AJ183" s="7"/>
      <c r="AK183" s="7">
        <v>1</v>
      </c>
      <c r="AL183" s="7">
        <v>1</v>
      </c>
      <c r="AM183" s="136" t="s">
        <v>83</v>
      </c>
      <c r="AN183" s="7">
        <v>1</v>
      </c>
      <c r="AO183" s="7">
        <v>1</v>
      </c>
      <c r="AP183" s="7">
        <v>1</v>
      </c>
    </row>
    <row r="184" spans="1:42">
      <c r="A184" s="116"/>
      <c r="B184" s="7" t="str">
        <f>装备!B184</f>
        <v>IB03</v>
      </c>
      <c r="C184" s="7" t="s">
        <v>41</v>
      </c>
      <c r="D184" s="7" t="s">
        <v>81</v>
      </c>
      <c r="E184" s="7"/>
      <c r="F184" s="7"/>
      <c r="G184" s="7"/>
      <c r="H184" s="7" t="str">
        <f>VLOOKUP(LEFT(RIGHT(B184,5),4),装备!B:CU,2,FALSE)</f>
        <v>拜年礼包</v>
      </c>
      <c r="I184" s="7" t="str">
        <f>VLOOKUP(B184,装备!B:CV,99,FALSE)</f>
        <v>拜年礼包</v>
      </c>
      <c r="J184" s="118" t="str">
        <f t="shared" si="62"/>
        <v>拜年礼包</v>
      </c>
      <c r="K184" s="118" t="str">
        <f t="shared" si="63"/>
        <v>拜年礼包</v>
      </c>
      <c r="L184" s="7"/>
      <c r="M184" s="119" t="str">
        <f>VLOOKUP(LEFT(RIGHT(B184,5),4),装备!B:CU,20,FALSE)</f>
        <v>ReplaceableTextures\\CommandButtons\\BTNIB03.blp</v>
      </c>
      <c r="N184" s="136" t="s">
        <v>83</v>
      </c>
      <c r="O184" s="119" t="s">
        <v>90</v>
      </c>
      <c r="P184" s="7">
        <v>2</v>
      </c>
      <c r="Q184" s="7">
        <v>0</v>
      </c>
      <c r="R184" s="136" t="s">
        <v>83</v>
      </c>
      <c r="S184" s="136" t="s">
        <v>83</v>
      </c>
      <c r="T184" s="136" t="s">
        <v>83</v>
      </c>
      <c r="U184" s="136" t="s">
        <v>83</v>
      </c>
      <c r="V184" s="7"/>
      <c r="W184" s="7" t="s">
        <v>87</v>
      </c>
      <c r="X184" s="7">
        <v>0</v>
      </c>
      <c r="Y184" s="136" t="s">
        <v>83</v>
      </c>
      <c r="Z184" s="7">
        <v>0</v>
      </c>
      <c r="AA184" s="7">
        <v>0</v>
      </c>
      <c r="AB184" s="7">
        <v>0</v>
      </c>
      <c r="AC184" s="7">
        <v>1</v>
      </c>
      <c r="AD184" s="7">
        <v>1</v>
      </c>
      <c r="AE184" s="136" t="s">
        <v>83</v>
      </c>
      <c r="AF184" s="136" t="s">
        <v>83</v>
      </c>
      <c r="AG184" s="136" t="s">
        <v>83</v>
      </c>
      <c r="AH184" s="136" t="s">
        <v>83</v>
      </c>
      <c r="AI184" s="7">
        <v>1</v>
      </c>
      <c r="AJ184" s="7"/>
      <c r="AK184" s="7">
        <v>1</v>
      </c>
      <c r="AL184" s="7">
        <v>1</v>
      </c>
      <c r="AM184" s="136" t="s">
        <v>83</v>
      </c>
      <c r="AN184" s="7">
        <v>1</v>
      </c>
      <c r="AO184" s="7">
        <v>1</v>
      </c>
      <c r="AP184" s="7">
        <v>1</v>
      </c>
    </row>
    <row r="185" spans="1:42">
      <c r="A185" s="116"/>
      <c r="B185" s="7" t="str">
        <f>装备!B185</f>
        <v>IB04</v>
      </c>
      <c r="C185" s="7" t="s">
        <v>41</v>
      </c>
      <c r="D185" s="7" t="s">
        <v>81</v>
      </c>
      <c r="E185" s="7"/>
      <c r="F185" s="7"/>
      <c r="G185" s="7"/>
      <c r="H185" s="7" t="str">
        <f>VLOOKUP(LEFT(RIGHT(B185,5),4),装备!B:CU,2,FALSE)</f>
        <v>收藏礼包</v>
      </c>
      <c r="I185" s="7" t="str">
        <f>VLOOKUP(B185,装备!B:CV,99,FALSE)</f>
        <v>收藏礼包</v>
      </c>
      <c r="J185" s="118" t="str">
        <f t="shared" si="62"/>
        <v>收藏礼包</v>
      </c>
      <c r="K185" s="118" t="str">
        <f t="shared" si="63"/>
        <v>收藏礼包</v>
      </c>
      <c r="L185" s="7"/>
      <c r="M185" s="119" t="str">
        <f>VLOOKUP(LEFT(RIGHT(B185,5),4),装备!B:CU,20,FALSE)</f>
        <v>ReplaceableTextures\\CommandButtons\\BTNIB04.blp</v>
      </c>
      <c r="N185" s="136" t="s">
        <v>83</v>
      </c>
      <c r="O185" s="119" t="s">
        <v>90</v>
      </c>
      <c r="P185" s="7">
        <v>3</v>
      </c>
      <c r="Q185" s="7">
        <v>0</v>
      </c>
      <c r="R185" s="136" t="s">
        <v>83</v>
      </c>
      <c r="S185" s="136" t="s">
        <v>83</v>
      </c>
      <c r="T185" s="136" t="s">
        <v>83</v>
      </c>
      <c r="U185" s="136" t="s">
        <v>83</v>
      </c>
      <c r="V185" s="7"/>
      <c r="W185" s="7" t="s">
        <v>87</v>
      </c>
      <c r="X185" s="7">
        <v>0</v>
      </c>
      <c r="Y185" s="136" t="s">
        <v>83</v>
      </c>
      <c r="Z185" s="7">
        <v>0</v>
      </c>
      <c r="AA185" s="7">
        <v>0</v>
      </c>
      <c r="AB185" s="7">
        <v>0</v>
      </c>
      <c r="AC185" s="7">
        <v>1</v>
      </c>
      <c r="AD185" s="7">
        <v>1</v>
      </c>
      <c r="AE185" s="136" t="s">
        <v>83</v>
      </c>
      <c r="AF185" s="136" t="s">
        <v>83</v>
      </c>
      <c r="AG185" s="136" t="s">
        <v>83</v>
      </c>
      <c r="AH185" s="136" t="s">
        <v>83</v>
      </c>
      <c r="AI185" s="7">
        <v>1</v>
      </c>
      <c r="AJ185" s="7"/>
      <c r="AK185" s="7">
        <v>1</v>
      </c>
      <c r="AL185" s="7">
        <v>1</v>
      </c>
      <c r="AM185" s="136" t="s">
        <v>83</v>
      </c>
      <c r="AN185" s="7">
        <v>1</v>
      </c>
      <c r="AO185" s="7">
        <v>1</v>
      </c>
      <c r="AP185" s="7">
        <v>1</v>
      </c>
    </row>
    <row r="186" spans="1:42">
      <c r="A186" s="116"/>
      <c r="B186" s="7" t="str">
        <f>装备!B186</f>
        <v>IB05</v>
      </c>
      <c r="C186" s="7" t="s">
        <v>41</v>
      </c>
      <c r="D186" s="7" t="s">
        <v>81</v>
      </c>
      <c r="E186" s="7"/>
      <c r="F186" s="7"/>
      <c r="G186" s="7"/>
      <c r="H186" s="7" t="str">
        <f>VLOOKUP(LEFT(RIGHT(B186,5),4),装备!B:CU,2,FALSE)</f>
        <v>重置版礼包</v>
      </c>
      <c r="I186" s="7" t="str">
        <f>VLOOKUP(B186,装备!B:CV,99,FALSE)</f>
        <v>重置版礼包</v>
      </c>
      <c r="J186" s="118" t="str">
        <f t="shared" si="62"/>
        <v>重置版礼包</v>
      </c>
      <c r="K186" s="118" t="str">
        <f t="shared" si="63"/>
        <v>重置版礼包</v>
      </c>
      <c r="L186" s="7"/>
      <c r="M186" s="119" t="str">
        <f>VLOOKUP(LEFT(RIGHT(B186,5),4),装备!B:CU,20,FALSE)</f>
        <v>ReplaceableTextures\\CommandButtons\\BTNIB05.blp</v>
      </c>
      <c r="N186" s="136" t="s">
        <v>83</v>
      </c>
      <c r="O186" s="119" t="s">
        <v>90</v>
      </c>
      <c r="P186" s="7">
        <v>0</v>
      </c>
      <c r="Q186" s="7">
        <v>1</v>
      </c>
      <c r="R186" s="136" t="s">
        <v>83</v>
      </c>
      <c r="S186" s="136" t="s">
        <v>83</v>
      </c>
      <c r="T186" s="136" t="s">
        <v>83</v>
      </c>
      <c r="U186" s="136" t="s">
        <v>83</v>
      </c>
      <c r="V186" s="7"/>
      <c r="W186" s="7" t="s">
        <v>87</v>
      </c>
      <c r="X186" s="7">
        <v>0</v>
      </c>
      <c r="Y186" s="136" t="s">
        <v>83</v>
      </c>
      <c r="Z186" s="7">
        <v>0</v>
      </c>
      <c r="AA186" s="7">
        <v>0</v>
      </c>
      <c r="AB186" s="7">
        <v>0</v>
      </c>
      <c r="AC186" s="7">
        <v>1</v>
      </c>
      <c r="AD186" s="7">
        <v>1</v>
      </c>
      <c r="AE186" s="136" t="s">
        <v>83</v>
      </c>
      <c r="AF186" s="136" t="s">
        <v>83</v>
      </c>
      <c r="AG186" s="136" t="s">
        <v>83</v>
      </c>
      <c r="AH186" s="136" t="s">
        <v>83</v>
      </c>
      <c r="AI186" s="7">
        <v>1</v>
      </c>
      <c r="AJ186" s="7"/>
      <c r="AK186" s="7">
        <v>1</v>
      </c>
      <c r="AL186" s="7">
        <v>1</v>
      </c>
      <c r="AM186" s="136" t="s">
        <v>83</v>
      </c>
      <c r="AN186" s="7">
        <v>1</v>
      </c>
      <c r="AO186" s="7">
        <v>1</v>
      </c>
      <c r="AP186" s="7">
        <v>1</v>
      </c>
    </row>
    <row r="187" spans="1:42">
      <c r="A187" s="116"/>
      <c r="B187" s="7" t="str">
        <f>装备!B187</f>
        <v>IB06</v>
      </c>
      <c r="C187" s="7" t="s">
        <v>41</v>
      </c>
      <c r="D187" s="7" t="s">
        <v>81</v>
      </c>
      <c r="E187" s="7"/>
      <c r="F187" s="7"/>
      <c r="G187" s="7"/>
      <c r="H187" s="7" t="str">
        <f>VLOOKUP(LEFT(RIGHT(B187,5),4),装备!B:CU,2,FALSE)</f>
        <v>公会福利</v>
      </c>
      <c r="I187" s="7" t="str">
        <f>VLOOKUP(B187,装备!B:CV,99,FALSE)</f>
        <v>公会福利</v>
      </c>
      <c r="J187" s="118" t="str">
        <f t="shared" ref="J187:J190" si="72">H187</f>
        <v>公会福利</v>
      </c>
      <c r="K187" s="118" t="str">
        <f t="shared" ref="K187:K190" si="73">I187</f>
        <v>公会福利</v>
      </c>
      <c r="L187" s="7"/>
      <c r="M187" s="119" t="str">
        <f>VLOOKUP(LEFT(RIGHT(B187,5),4),装备!B:CU,20,FALSE)</f>
        <v>ReplaceableTextures\\CommandButtons\\BTNIB06.blp</v>
      </c>
      <c r="N187" s="136" t="s">
        <v>83</v>
      </c>
      <c r="O187" s="119" t="s">
        <v>90</v>
      </c>
      <c r="P187" s="7">
        <v>1</v>
      </c>
      <c r="Q187" s="7">
        <v>1</v>
      </c>
      <c r="R187" s="136" t="s">
        <v>83</v>
      </c>
      <c r="S187" s="136" t="s">
        <v>83</v>
      </c>
      <c r="T187" s="136" t="s">
        <v>83</v>
      </c>
      <c r="U187" s="136" t="s">
        <v>83</v>
      </c>
      <c r="V187" s="7"/>
      <c r="W187" s="7" t="s">
        <v>87</v>
      </c>
      <c r="X187" s="7">
        <v>0</v>
      </c>
      <c r="Y187" s="136" t="s">
        <v>83</v>
      </c>
      <c r="Z187" s="7">
        <v>0</v>
      </c>
      <c r="AA187" s="7">
        <v>0</v>
      </c>
      <c r="AB187" s="7">
        <v>0</v>
      </c>
      <c r="AC187" s="7">
        <v>1</v>
      </c>
      <c r="AD187" s="7">
        <v>1</v>
      </c>
      <c r="AE187" s="136" t="s">
        <v>83</v>
      </c>
      <c r="AF187" s="136" t="s">
        <v>83</v>
      </c>
      <c r="AG187" s="136" t="s">
        <v>83</v>
      </c>
      <c r="AH187" s="136" t="s">
        <v>83</v>
      </c>
      <c r="AI187" s="7">
        <v>1</v>
      </c>
      <c r="AJ187" s="7"/>
      <c r="AK187" s="7">
        <v>1</v>
      </c>
      <c r="AL187" s="7">
        <v>1</v>
      </c>
      <c r="AM187" s="136" t="s">
        <v>83</v>
      </c>
      <c r="AN187" s="7">
        <v>1</v>
      </c>
      <c r="AO187" s="7">
        <v>1</v>
      </c>
      <c r="AP187" s="7">
        <v>1</v>
      </c>
    </row>
    <row r="188" spans="1:42">
      <c r="A188" s="116"/>
      <c r="B188" s="7" t="str">
        <f>装备!B188</f>
        <v>IB07</v>
      </c>
      <c r="C188" s="7" t="s">
        <v>41</v>
      </c>
      <c r="D188" s="7" t="s">
        <v>81</v>
      </c>
      <c r="E188" s="7"/>
      <c r="F188" s="7"/>
      <c r="G188" s="7"/>
      <c r="H188" s="7" t="str">
        <f>VLOOKUP(LEFT(RIGHT(B188,5),4),装备!B:CU,2,FALSE)</f>
        <v>星耀礼包</v>
      </c>
      <c r="I188" s="7" t="str">
        <f>VLOOKUP(B188,装备!B:CV,99,FALSE)</f>
        <v>星耀礼包</v>
      </c>
      <c r="J188" s="118" t="str">
        <f t="shared" si="72"/>
        <v>星耀礼包</v>
      </c>
      <c r="K188" s="118" t="str">
        <f t="shared" si="73"/>
        <v>星耀礼包</v>
      </c>
      <c r="L188" s="7"/>
      <c r="M188" s="119" t="str">
        <f>VLOOKUP(LEFT(RIGHT(B188,5),4),装备!B:CU,20,FALSE)</f>
        <v>ReplaceableTextures\\CommandButtons\\BTNIB07.blp</v>
      </c>
      <c r="N188" s="136" t="s">
        <v>83</v>
      </c>
      <c r="O188" s="119" t="s">
        <v>90</v>
      </c>
      <c r="P188" s="7">
        <v>2</v>
      </c>
      <c r="Q188" s="7">
        <v>1</v>
      </c>
      <c r="R188" s="136" t="s">
        <v>83</v>
      </c>
      <c r="S188" s="136" t="s">
        <v>83</v>
      </c>
      <c r="T188" s="136" t="s">
        <v>83</v>
      </c>
      <c r="U188" s="136" t="s">
        <v>83</v>
      </c>
      <c r="V188" s="7"/>
      <c r="W188" s="7" t="s">
        <v>87</v>
      </c>
      <c r="X188" s="7">
        <v>0</v>
      </c>
      <c r="Y188" s="136" t="s">
        <v>83</v>
      </c>
      <c r="Z188" s="7">
        <v>0</v>
      </c>
      <c r="AA188" s="7">
        <v>0</v>
      </c>
      <c r="AB188" s="7">
        <v>0</v>
      </c>
      <c r="AC188" s="7">
        <v>1</v>
      </c>
      <c r="AD188" s="7">
        <v>1</v>
      </c>
      <c r="AE188" s="136" t="s">
        <v>83</v>
      </c>
      <c r="AF188" s="136" t="s">
        <v>83</v>
      </c>
      <c r="AG188" s="136" t="s">
        <v>83</v>
      </c>
      <c r="AH188" s="136" t="s">
        <v>83</v>
      </c>
      <c r="AI188" s="7">
        <v>1</v>
      </c>
      <c r="AJ188" s="7"/>
      <c r="AK188" s="7">
        <v>1</v>
      </c>
      <c r="AL188" s="7">
        <v>1</v>
      </c>
      <c r="AM188" s="136" t="s">
        <v>83</v>
      </c>
      <c r="AN188" s="7">
        <v>1</v>
      </c>
      <c r="AO188" s="7">
        <v>1</v>
      </c>
      <c r="AP188" s="7">
        <v>1</v>
      </c>
    </row>
    <row r="189" spans="1:42">
      <c r="A189" s="116"/>
      <c r="B189" s="7" t="str">
        <f>装备!B189</f>
        <v>IB08</v>
      </c>
      <c r="C189" s="7" t="s">
        <v>41</v>
      </c>
      <c r="D189" s="7" t="s">
        <v>81</v>
      </c>
      <c r="E189" s="7"/>
      <c r="F189" s="7"/>
      <c r="G189" s="7"/>
      <c r="H189" s="7" t="str">
        <f>VLOOKUP(LEFT(RIGHT(B189,5),4),装备!B:CU,2,FALSE)</f>
        <v>魔芝RPG礼包</v>
      </c>
      <c r="I189" s="7" t="str">
        <f>VLOOKUP(B189,装备!B:CV,99,FALSE)</f>
        <v>魔芝RPG礼包</v>
      </c>
      <c r="J189" s="118" t="str">
        <f t="shared" si="72"/>
        <v>魔芝RPG礼包</v>
      </c>
      <c r="K189" s="118" t="str">
        <f t="shared" si="73"/>
        <v>魔芝RPG礼包</v>
      </c>
      <c r="L189" s="7"/>
      <c r="M189" s="119" t="str">
        <f>VLOOKUP(LEFT(RIGHT(B189,5),4),装备!B:CU,20,FALSE)</f>
        <v>ReplaceableTextures\\CommandButtons\\BTNIB08.blp</v>
      </c>
      <c r="N189" s="136" t="s">
        <v>83</v>
      </c>
      <c r="O189" s="119" t="s">
        <v>90</v>
      </c>
      <c r="P189" s="7">
        <v>3</v>
      </c>
      <c r="Q189" s="7">
        <v>1</v>
      </c>
      <c r="R189" s="136" t="s">
        <v>83</v>
      </c>
      <c r="S189" s="136" t="s">
        <v>83</v>
      </c>
      <c r="T189" s="136" t="s">
        <v>83</v>
      </c>
      <c r="U189" s="136" t="s">
        <v>83</v>
      </c>
      <c r="V189" s="7"/>
      <c r="W189" s="7" t="s">
        <v>87</v>
      </c>
      <c r="X189" s="7">
        <v>0</v>
      </c>
      <c r="Y189" s="136" t="s">
        <v>83</v>
      </c>
      <c r="Z189" s="7">
        <v>0</v>
      </c>
      <c r="AA189" s="7">
        <v>0</v>
      </c>
      <c r="AB189" s="7">
        <v>0</v>
      </c>
      <c r="AC189" s="7">
        <v>1</v>
      </c>
      <c r="AD189" s="7">
        <v>1</v>
      </c>
      <c r="AE189" s="136" t="s">
        <v>83</v>
      </c>
      <c r="AF189" s="136" t="s">
        <v>83</v>
      </c>
      <c r="AG189" s="136" t="s">
        <v>83</v>
      </c>
      <c r="AH189" s="136" t="s">
        <v>83</v>
      </c>
      <c r="AI189" s="7">
        <v>1</v>
      </c>
      <c r="AJ189" s="7"/>
      <c r="AK189" s="7">
        <v>1</v>
      </c>
      <c r="AL189" s="7">
        <v>1</v>
      </c>
      <c r="AM189" s="136" t="s">
        <v>83</v>
      </c>
      <c r="AN189" s="7">
        <v>1</v>
      </c>
      <c r="AO189" s="7">
        <v>1</v>
      </c>
      <c r="AP189" s="7">
        <v>1</v>
      </c>
    </row>
    <row r="190" s="3" customFormat="1" spans="1:42">
      <c r="A190" s="116"/>
      <c r="B190" s="7" t="str">
        <f>装备!B190</f>
        <v>IB09</v>
      </c>
      <c r="C190" s="7" t="s">
        <v>41</v>
      </c>
      <c r="D190" s="7" t="s">
        <v>81</v>
      </c>
      <c r="E190" s="7"/>
      <c r="F190" s="7"/>
      <c r="G190" s="7"/>
      <c r="H190" s="7" t="str">
        <f>VLOOKUP(LEFT(RIGHT(B190,5),4),装备!B:CU,2,FALSE)</f>
        <v>老铁礼包</v>
      </c>
      <c r="I190" s="7" t="str">
        <f>VLOOKUP(B190,装备!B:CV,99,FALSE)</f>
        <v>老铁礼包</v>
      </c>
      <c r="J190" s="118" t="str">
        <f t="shared" si="72"/>
        <v>老铁礼包</v>
      </c>
      <c r="K190" s="118" t="str">
        <f t="shared" si="73"/>
        <v>老铁礼包</v>
      </c>
      <c r="L190" s="7"/>
      <c r="M190" s="119" t="str">
        <f>VLOOKUP(LEFT(RIGHT(B190,5),4),装备!B:CU,20,FALSE)</f>
        <v>ReplaceableTextures\\CommandButtons\\BTNIB09.blp</v>
      </c>
      <c r="N190" s="136" t="s">
        <v>83</v>
      </c>
      <c r="O190" s="119" t="s">
        <v>90</v>
      </c>
      <c r="P190" s="7">
        <v>0</v>
      </c>
      <c r="Q190" s="7">
        <v>0</v>
      </c>
      <c r="R190" s="136" t="s">
        <v>83</v>
      </c>
      <c r="S190" s="136" t="s">
        <v>83</v>
      </c>
      <c r="T190" s="136" t="s">
        <v>83</v>
      </c>
      <c r="U190" s="136" t="s">
        <v>83</v>
      </c>
      <c r="V190" s="7"/>
      <c r="W190" s="7" t="s">
        <v>87</v>
      </c>
      <c r="X190" s="7">
        <v>0</v>
      </c>
      <c r="Y190" s="136" t="s">
        <v>83</v>
      </c>
      <c r="Z190" s="7">
        <v>0</v>
      </c>
      <c r="AA190" s="7">
        <v>0</v>
      </c>
      <c r="AB190" s="7">
        <v>0</v>
      </c>
      <c r="AC190" s="7">
        <v>1</v>
      </c>
      <c r="AD190" s="7">
        <v>1</v>
      </c>
      <c r="AE190" s="136" t="s">
        <v>83</v>
      </c>
      <c r="AF190" s="136" t="s">
        <v>83</v>
      </c>
      <c r="AG190" s="136" t="s">
        <v>83</v>
      </c>
      <c r="AH190" s="136" t="s">
        <v>83</v>
      </c>
      <c r="AI190" s="7">
        <v>1</v>
      </c>
      <c r="AJ190" s="7"/>
      <c r="AK190" s="7">
        <v>1</v>
      </c>
      <c r="AL190" s="7">
        <v>1</v>
      </c>
      <c r="AM190" s="136" t="s">
        <v>83</v>
      </c>
      <c r="AN190" s="7">
        <v>1</v>
      </c>
      <c r="AO190" s="7">
        <v>1</v>
      </c>
      <c r="AP190" s="7">
        <v>1</v>
      </c>
    </row>
    <row r="191" spans="1:42">
      <c r="A191" s="116"/>
      <c r="B191" s="7" t="str">
        <f>装备!B191</f>
        <v>IB51</v>
      </c>
      <c r="C191" s="7" t="s">
        <v>41</v>
      </c>
      <c r="D191" s="7" t="s">
        <v>81</v>
      </c>
      <c r="E191" s="7"/>
      <c r="F191" s="7"/>
      <c r="G191" s="7"/>
      <c r="H191" s="7" t="str">
        <f>VLOOKUP(LEFT(RIGHT(B191,5),4),装备!B:CU,2,FALSE)</f>
        <v>已领取公众号礼包</v>
      </c>
      <c r="I191" s="7" t="str">
        <f>VLOOKUP(B191,装备!B:CV,99,FALSE)</f>
        <v>已领取公众号礼包</v>
      </c>
      <c r="J191" s="118" t="str">
        <f>H191</f>
        <v>已领取公众号礼包</v>
      </c>
      <c r="K191" s="118" t="str">
        <f>I191</f>
        <v>已领取公众号礼包</v>
      </c>
      <c r="L191" s="7"/>
      <c r="M191" s="119" t="str">
        <f>VLOOKUP(LEFT(RIGHT(B191,5),4),装备!B:CU,20,FALSE)</f>
        <v>ReplaceableTextures\\CommandButtons\\BTNIB51.blp</v>
      </c>
      <c r="N191" s="136" t="s">
        <v>83</v>
      </c>
      <c r="O191" s="119" t="s">
        <v>90</v>
      </c>
      <c r="P191" s="7">
        <v>0</v>
      </c>
      <c r="Q191" s="7">
        <v>0</v>
      </c>
      <c r="R191" s="136" t="s">
        <v>83</v>
      </c>
      <c r="S191" s="136" t="s">
        <v>83</v>
      </c>
      <c r="T191" s="136" t="s">
        <v>83</v>
      </c>
      <c r="U191" s="136" t="s">
        <v>83</v>
      </c>
      <c r="V191" s="7"/>
      <c r="W191" s="7" t="s">
        <v>87</v>
      </c>
      <c r="X191" s="7">
        <v>0</v>
      </c>
      <c r="Y191" s="136" t="s">
        <v>83</v>
      </c>
      <c r="Z191" s="7">
        <v>0</v>
      </c>
      <c r="AA191" s="7">
        <v>0</v>
      </c>
      <c r="AB191" s="7">
        <v>0</v>
      </c>
      <c r="AC191" s="7">
        <v>0</v>
      </c>
      <c r="AD191" s="7">
        <v>1</v>
      </c>
      <c r="AE191" s="136" t="s">
        <v>83</v>
      </c>
      <c r="AF191" s="136" t="s">
        <v>83</v>
      </c>
      <c r="AG191" s="136" t="s">
        <v>83</v>
      </c>
      <c r="AH191" s="136" t="s">
        <v>83</v>
      </c>
      <c r="AI191" s="7">
        <v>1</v>
      </c>
      <c r="AJ191" s="7"/>
      <c r="AK191" s="7">
        <v>1</v>
      </c>
      <c r="AL191" s="7">
        <v>1</v>
      </c>
      <c r="AM191" s="136" t="s">
        <v>83</v>
      </c>
      <c r="AN191" s="7">
        <v>1</v>
      </c>
      <c r="AO191" s="7">
        <v>1</v>
      </c>
      <c r="AP191" s="7">
        <v>1</v>
      </c>
    </row>
    <row r="192" spans="1:42">
      <c r="A192" s="116"/>
      <c r="B192" s="7" t="str">
        <f>装备!B192</f>
        <v>IB52</v>
      </c>
      <c r="C192" s="7" t="s">
        <v>41</v>
      </c>
      <c r="D192" s="7" t="s">
        <v>81</v>
      </c>
      <c r="E192" s="7"/>
      <c r="F192" s="7"/>
      <c r="G192" s="7"/>
      <c r="H192" s="7" t="str">
        <f>VLOOKUP(LEFT(RIGHT(B192,5),4),装备!B:CU,2,FALSE)</f>
        <v>已领取入群礼包</v>
      </c>
      <c r="I192" s="7" t="str">
        <f>VLOOKUP(B192,装备!B:CV,99,FALSE)</f>
        <v>已领取入群礼包</v>
      </c>
      <c r="J192" s="118" t="str">
        <f t="shared" ref="J192:J197" si="74">H192</f>
        <v>已领取入群礼包</v>
      </c>
      <c r="K192" s="118" t="str">
        <f t="shared" ref="K192:K197" si="75">I192</f>
        <v>已领取入群礼包</v>
      </c>
      <c r="L192" s="7"/>
      <c r="M192" s="119" t="str">
        <f>VLOOKUP(LEFT(RIGHT(B192,5),4),装备!B:CU,20,FALSE)</f>
        <v>ReplaceableTextures\\CommandButtons\\BTNIB52.blp</v>
      </c>
      <c r="N192" s="136" t="s">
        <v>83</v>
      </c>
      <c r="O192" s="119" t="s">
        <v>90</v>
      </c>
      <c r="P192" s="7">
        <v>1</v>
      </c>
      <c r="Q192" s="7">
        <v>0</v>
      </c>
      <c r="R192" s="136" t="s">
        <v>83</v>
      </c>
      <c r="S192" s="136" t="s">
        <v>83</v>
      </c>
      <c r="T192" s="136" t="s">
        <v>83</v>
      </c>
      <c r="U192" s="136" t="s">
        <v>83</v>
      </c>
      <c r="V192" s="7"/>
      <c r="W192" s="7" t="s">
        <v>87</v>
      </c>
      <c r="X192" s="7">
        <v>0</v>
      </c>
      <c r="Y192" s="136" t="s">
        <v>83</v>
      </c>
      <c r="Z192" s="7">
        <v>0</v>
      </c>
      <c r="AA192" s="7">
        <v>0</v>
      </c>
      <c r="AB192" s="7">
        <v>0</v>
      </c>
      <c r="AC192" s="7">
        <v>0</v>
      </c>
      <c r="AD192" s="7">
        <v>1</v>
      </c>
      <c r="AE192" s="136" t="s">
        <v>83</v>
      </c>
      <c r="AF192" s="136" t="s">
        <v>83</v>
      </c>
      <c r="AG192" s="136" t="s">
        <v>83</v>
      </c>
      <c r="AH192" s="136" t="s">
        <v>83</v>
      </c>
      <c r="AI192" s="7">
        <v>1</v>
      </c>
      <c r="AJ192" s="7"/>
      <c r="AK192" s="7">
        <v>1</v>
      </c>
      <c r="AL192" s="7">
        <v>1</v>
      </c>
      <c r="AM192" s="136" t="s">
        <v>83</v>
      </c>
      <c r="AN192" s="7">
        <v>1</v>
      </c>
      <c r="AO192" s="7">
        <v>1</v>
      </c>
      <c r="AP192" s="7">
        <v>1</v>
      </c>
    </row>
    <row r="193" spans="1:42">
      <c r="A193" s="116"/>
      <c r="B193" s="7" t="str">
        <f>装备!B193</f>
        <v>IB53</v>
      </c>
      <c r="C193" s="7" t="s">
        <v>41</v>
      </c>
      <c r="D193" s="7" t="s">
        <v>81</v>
      </c>
      <c r="E193" s="7"/>
      <c r="F193" s="7"/>
      <c r="G193" s="7"/>
      <c r="H193" s="7" t="str">
        <f>VLOOKUP(LEFT(RIGHT(B193,5),4),装备!B:CU,2,FALSE)</f>
        <v>已领取拜年礼包</v>
      </c>
      <c r="I193" s="7" t="str">
        <f>VLOOKUP(B193,装备!B:CV,99,FALSE)</f>
        <v>已领取拜年礼包</v>
      </c>
      <c r="J193" s="118" t="str">
        <f t="shared" si="74"/>
        <v>已领取拜年礼包</v>
      </c>
      <c r="K193" s="118" t="str">
        <f t="shared" si="75"/>
        <v>已领取拜年礼包</v>
      </c>
      <c r="L193" s="7"/>
      <c r="M193" s="119" t="str">
        <f>VLOOKUP(LEFT(RIGHT(B193,5),4),装备!B:CU,20,FALSE)</f>
        <v>ReplaceableTextures\\CommandButtons\\BTNIB53.blp</v>
      </c>
      <c r="N193" s="136" t="s">
        <v>83</v>
      </c>
      <c r="O193" s="119" t="s">
        <v>90</v>
      </c>
      <c r="P193" s="7">
        <v>2</v>
      </c>
      <c r="Q193" s="7">
        <v>0</v>
      </c>
      <c r="R193" s="136" t="s">
        <v>83</v>
      </c>
      <c r="S193" s="136" t="s">
        <v>83</v>
      </c>
      <c r="T193" s="136" t="s">
        <v>83</v>
      </c>
      <c r="U193" s="136" t="s">
        <v>83</v>
      </c>
      <c r="V193" s="7"/>
      <c r="W193" s="7" t="s">
        <v>87</v>
      </c>
      <c r="X193" s="7">
        <v>0</v>
      </c>
      <c r="Y193" s="136" t="s">
        <v>83</v>
      </c>
      <c r="Z193" s="7">
        <v>0</v>
      </c>
      <c r="AA193" s="7">
        <v>0</v>
      </c>
      <c r="AB193" s="7">
        <v>0</v>
      </c>
      <c r="AC193" s="7">
        <v>0</v>
      </c>
      <c r="AD193" s="7">
        <v>1</v>
      </c>
      <c r="AE193" s="136" t="s">
        <v>83</v>
      </c>
      <c r="AF193" s="136" t="s">
        <v>83</v>
      </c>
      <c r="AG193" s="136" t="s">
        <v>83</v>
      </c>
      <c r="AH193" s="136" t="s">
        <v>83</v>
      </c>
      <c r="AI193" s="7">
        <v>1</v>
      </c>
      <c r="AJ193" s="7"/>
      <c r="AK193" s="7">
        <v>1</v>
      </c>
      <c r="AL193" s="7">
        <v>1</v>
      </c>
      <c r="AM193" s="136" t="s">
        <v>83</v>
      </c>
      <c r="AN193" s="7">
        <v>1</v>
      </c>
      <c r="AO193" s="7">
        <v>1</v>
      </c>
      <c r="AP193" s="7">
        <v>1</v>
      </c>
    </row>
    <row r="194" spans="1:42">
      <c r="A194" s="116"/>
      <c r="B194" s="7" t="str">
        <f>装备!B194</f>
        <v>IB54</v>
      </c>
      <c r="C194" s="7" t="s">
        <v>41</v>
      </c>
      <c r="D194" s="7" t="s">
        <v>81</v>
      </c>
      <c r="E194" s="7"/>
      <c r="F194" s="7"/>
      <c r="G194" s="7"/>
      <c r="H194" s="7" t="str">
        <f>VLOOKUP(LEFT(RIGHT(B194,5),4),装备!B:CU,2,FALSE)</f>
        <v>已领取收藏礼包</v>
      </c>
      <c r="I194" s="7" t="str">
        <f>VLOOKUP(B194,装备!B:CV,99,FALSE)</f>
        <v>已领取收藏礼包</v>
      </c>
      <c r="J194" s="118" t="str">
        <f t="shared" si="74"/>
        <v>已领取收藏礼包</v>
      </c>
      <c r="K194" s="118" t="str">
        <f t="shared" si="75"/>
        <v>已领取收藏礼包</v>
      </c>
      <c r="L194" s="7"/>
      <c r="M194" s="119" t="str">
        <f>VLOOKUP(LEFT(RIGHT(B194,5),4),装备!B:CU,20,FALSE)</f>
        <v>ReplaceableTextures\\CommandButtons\\BTNIB54.blp</v>
      </c>
      <c r="N194" s="136" t="s">
        <v>83</v>
      </c>
      <c r="O194" s="119" t="s">
        <v>90</v>
      </c>
      <c r="P194" s="7">
        <v>3</v>
      </c>
      <c r="Q194" s="7">
        <v>0</v>
      </c>
      <c r="R194" s="136" t="s">
        <v>83</v>
      </c>
      <c r="S194" s="136" t="s">
        <v>83</v>
      </c>
      <c r="T194" s="136" t="s">
        <v>83</v>
      </c>
      <c r="U194" s="136" t="s">
        <v>83</v>
      </c>
      <c r="V194" s="7"/>
      <c r="W194" s="7" t="s">
        <v>87</v>
      </c>
      <c r="X194" s="7">
        <v>0</v>
      </c>
      <c r="Y194" s="136" t="s">
        <v>83</v>
      </c>
      <c r="Z194" s="7">
        <v>0</v>
      </c>
      <c r="AA194" s="7">
        <v>0</v>
      </c>
      <c r="AB194" s="7">
        <v>0</v>
      </c>
      <c r="AC194" s="7">
        <v>0</v>
      </c>
      <c r="AD194" s="7">
        <v>1</v>
      </c>
      <c r="AE194" s="136" t="s">
        <v>83</v>
      </c>
      <c r="AF194" s="136" t="s">
        <v>83</v>
      </c>
      <c r="AG194" s="136" t="s">
        <v>83</v>
      </c>
      <c r="AH194" s="136" t="s">
        <v>83</v>
      </c>
      <c r="AI194" s="7">
        <v>1</v>
      </c>
      <c r="AJ194" s="7"/>
      <c r="AK194" s="7">
        <v>1</v>
      </c>
      <c r="AL194" s="7">
        <v>1</v>
      </c>
      <c r="AM194" s="136" t="s">
        <v>83</v>
      </c>
      <c r="AN194" s="7">
        <v>1</v>
      </c>
      <c r="AO194" s="7">
        <v>1</v>
      </c>
      <c r="AP194" s="7">
        <v>1</v>
      </c>
    </row>
    <row r="195" spans="1:42">
      <c r="A195" s="116"/>
      <c r="B195" s="7" t="str">
        <f>装备!B195</f>
        <v>IB55</v>
      </c>
      <c r="C195" s="7" t="s">
        <v>41</v>
      </c>
      <c r="D195" s="7" t="s">
        <v>81</v>
      </c>
      <c r="E195" s="7"/>
      <c r="F195" s="7"/>
      <c r="G195" s="7"/>
      <c r="H195" s="7" t="str">
        <f>VLOOKUP(LEFT(RIGHT(B195,5),4),装备!B:CU,2,FALSE)</f>
        <v>已领取重置版礼包</v>
      </c>
      <c r="I195" s="7" t="str">
        <f>VLOOKUP(B195,装备!B:CV,99,FALSE)</f>
        <v>已领取重置版礼包</v>
      </c>
      <c r="J195" s="118" t="str">
        <f t="shared" si="74"/>
        <v>已领取重置版礼包</v>
      </c>
      <c r="K195" s="118" t="str">
        <f t="shared" si="75"/>
        <v>已领取重置版礼包</v>
      </c>
      <c r="L195" s="7"/>
      <c r="M195" s="119" t="str">
        <f>VLOOKUP(LEFT(RIGHT(B195,5),4),装备!B:CU,20,FALSE)</f>
        <v>ReplaceableTextures\\CommandButtons\\BTNIB55.blp</v>
      </c>
      <c r="N195" s="136" t="s">
        <v>83</v>
      </c>
      <c r="O195" s="119" t="s">
        <v>90</v>
      </c>
      <c r="P195" s="7">
        <v>0</v>
      </c>
      <c r="Q195" s="7">
        <v>1</v>
      </c>
      <c r="R195" s="136" t="s">
        <v>83</v>
      </c>
      <c r="S195" s="136" t="s">
        <v>83</v>
      </c>
      <c r="T195" s="136" t="s">
        <v>83</v>
      </c>
      <c r="U195" s="136" t="s">
        <v>83</v>
      </c>
      <c r="V195" s="7"/>
      <c r="W195" s="7" t="s">
        <v>87</v>
      </c>
      <c r="X195" s="7">
        <v>0</v>
      </c>
      <c r="Y195" s="136" t="s">
        <v>83</v>
      </c>
      <c r="Z195" s="7">
        <v>0</v>
      </c>
      <c r="AA195" s="7">
        <v>0</v>
      </c>
      <c r="AB195" s="7">
        <v>0</v>
      </c>
      <c r="AC195" s="7">
        <v>0</v>
      </c>
      <c r="AD195" s="7">
        <v>1</v>
      </c>
      <c r="AE195" s="136" t="s">
        <v>83</v>
      </c>
      <c r="AF195" s="136" t="s">
        <v>83</v>
      </c>
      <c r="AG195" s="136" t="s">
        <v>83</v>
      </c>
      <c r="AH195" s="136" t="s">
        <v>83</v>
      </c>
      <c r="AI195" s="7">
        <v>1</v>
      </c>
      <c r="AJ195" s="7"/>
      <c r="AK195" s="7">
        <v>1</v>
      </c>
      <c r="AL195" s="7">
        <v>1</v>
      </c>
      <c r="AM195" s="136" t="s">
        <v>83</v>
      </c>
      <c r="AN195" s="7">
        <v>1</v>
      </c>
      <c r="AO195" s="7">
        <v>1</v>
      </c>
      <c r="AP195" s="7">
        <v>1</v>
      </c>
    </row>
    <row r="196" spans="1:42">
      <c r="A196" s="116"/>
      <c r="B196" s="7" t="str">
        <f>装备!B196</f>
        <v>IB56</v>
      </c>
      <c r="C196" s="7" t="s">
        <v>41</v>
      </c>
      <c r="D196" s="7" t="s">
        <v>81</v>
      </c>
      <c r="E196" s="7"/>
      <c r="F196" s="7"/>
      <c r="G196" s="7"/>
      <c r="H196" s="7" t="str">
        <f>VLOOKUP(LEFT(RIGHT(B196,5),4),装备!B:CU,2,FALSE)</f>
        <v>已领取公会福利</v>
      </c>
      <c r="I196" s="7" t="str">
        <f>VLOOKUP(B196,装备!B:CV,99,FALSE)</f>
        <v>已领取公会福利</v>
      </c>
      <c r="J196" s="118" t="str">
        <f t="shared" si="74"/>
        <v>已领取公会福利</v>
      </c>
      <c r="K196" s="118" t="str">
        <f t="shared" si="75"/>
        <v>已领取公会福利</v>
      </c>
      <c r="L196" s="7"/>
      <c r="M196" s="119" t="str">
        <f>VLOOKUP(LEFT(RIGHT(B196,5),4),装备!B:CU,20,FALSE)</f>
        <v>ReplaceableTextures\\CommandButtons\\BTNIB56.blp</v>
      </c>
      <c r="N196" s="136" t="s">
        <v>83</v>
      </c>
      <c r="O196" s="119" t="s">
        <v>90</v>
      </c>
      <c r="P196" s="7">
        <v>1</v>
      </c>
      <c r="Q196" s="7">
        <v>1</v>
      </c>
      <c r="R196" s="136" t="s">
        <v>83</v>
      </c>
      <c r="S196" s="136" t="s">
        <v>83</v>
      </c>
      <c r="T196" s="136" t="s">
        <v>83</v>
      </c>
      <c r="U196" s="136" t="s">
        <v>83</v>
      </c>
      <c r="V196" s="7"/>
      <c r="W196" s="7" t="s">
        <v>87</v>
      </c>
      <c r="X196" s="7">
        <v>0</v>
      </c>
      <c r="Y196" s="136" t="s">
        <v>83</v>
      </c>
      <c r="Z196" s="7">
        <v>0</v>
      </c>
      <c r="AA196" s="7">
        <v>0</v>
      </c>
      <c r="AB196" s="7">
        <v>0</v>
      </c>
      <c r="AC196" s="7">
        <v>0</v>
      </c>
      <c r="AD196" s="7">
        <v>1</v>
      </c>
      <c r="AE196" s="136" t="s">
        <v>83</v>
      </c>
      <c r="AF196" s="136" t="s">
        <v>83</v>
      </c>
      <c r="AG196" s="136" t="s">
        <v>83</v>
      </c>
      <c r="AH196" s="136" t="s">
        <v>83</v>
      </c>
      <c r="AI196" s="7">
        <v>1</v>
      </c>
      <c r="AJ196" s="7"/>
      <c r="AK196" s="7">
        <v>1</v>
      </c>
      <c r="AL196" s="7">
        <v>1</v>
      </c>
      <c r="AM196" s="136" t="s">
        <v>83</v>
      </c>
      <c r="AN196" s="7">
        <v>1</v>
      </c>
      <c r="AO196" s="7">
        <v>1</v>
      </c>
      <c r="AP196" s="7">
        <v>1</v>
      </c>
    </row>
    <row r="197" s="3" customFormat="1" spans="1:42">
      <c r="A197" s="116"/>
      <c r="B197" s="7" t="str">
        <f>装备!B197</f>
        <v>IB57</v>
      </c>
      <c r="C197" s="7" t="s">
        <v>41</v>
      </c>
      <c r="D197" s="7" t="s">
        <v>81</v>
      </c>
      <c r="E197" s="7"/>
      <c r="F197" s="7"/>
      <c r="G197" s="7"/>
      <c r="H197" s="7" t="str">
        <f>VLOOKUP(LEFT(RIGHT(B197,5),4),装备!B:CU,2,FALSE)</f>
        <v>已领取星耀礼包</v>
      </c>
      <c r="I197" s="7" t="str">
        <f>VLOOKUP(B197,装备!B:CV,99,FALSE)</f>
        <v>已领取星耀礼包</v>
      </c>
      <c r="J197" s="118" t="str">
        <f t="shared" si="74"/>
        <v>已领取星耀礼包</v>
      </c>
      <c r="K197" s="118" t="str">
        <f t="shared" si="75"/>
        <v>已领取星耀礼包</v>
      </c>
      <c r="L197" s="7"/>
      <c r="M197" s="119" t="str">
        <f>VLOOKUP(LEFT(RIGHT(B197,5),4),装备!B:CU,20,FALSE)</f>
        <v>ReplaceableTextures\\CommandButtons\\BTNIB57.blp</v>
      </c>
      <c r="N197" s="136" t="s">
        <v>83</v>
      </c>
      <c r="O197" s="119" t="s">
        <v>90</v>
      </c>
      <c r="P197" s="7">
        <v>2</v>
      </c>
      <c r="Q197" s="7">
        <v>1</v>
      </c>
      <c r="R197" s="136" t="s">
        <v>83</v>
      </c>
      <c r="S197" s="136" t="s">
        <v>83</v>
      </c>
      <c r="T197" s="136" t="s">
        <v>83</v>
      </c>
      <c r="U197" s="136" t="s">
        <v>83</v>
      </c>
      <c r="V197" s="7"/>
      <c r="W197" s="7" t="s">
        <v>87</v>
      </c>
      <c r="X197" s="7">
        <v>0</v>
      </c>
      <c r="Y197" s="136" t="s">
        <v>83</v>
      </c>
      <c r="Z197" s="7">
        <v>0</v>
      </c>
      <c r="AA197" s="7">
        <v>0</v>
      </c>
      <c r="AB197" s="7">
        <v>0</v>
      </c>
      <c r="AC197" s="7">
        <v>0</v>
      </c>
      <c r="AD197" s="7">
        <v>1</v>
      </c>
      <c r="AE197" s="136" t="s">
        <v>83</v>
      </c>
      <c r="AF197" s="136" t="s">
        <v>83</v>
      </c>
      <c r="AG197" s="136" t="s">
        <v>83</v>
      </c>
      <c r="AH197" s="136" t="s">
        <v>83</v>
      </c>
      <c r="AI197" s="7">
        <v>1</v>
      </c>
      <c r="AJ197" s="7"/>
      <c r="AK197" s="7">
        <v>1</v>
      </c>
      <c r="AL197" s="7">
        <v>1</v>
      </c>
      <c r="AM197" s="136" t="s">
        <v>83</v>
      </c>
      <c r="AN197" s="7">
        <v>1</v>
      </c>
      <c r="AO197" s="7">
        <v>1</v>
      </c>
      <c r="AP197" s="7">
        <v>1</v>
      </c>
    </row>
    <row r="198" spans="1:42">
      <c r="A198" s="116"/>
      <c r="B198" s="7" t="str">
        <f>装备!B198</f>
        <v>IB58</v>
      </c>
      <c r="C198" s="7" t="s">
        <v>41</v>
      </c>
      <c r="D198" s="7" t="s">
        <v>81</v>
      </c>
      <c r="E198" s="7"/>
      <c r="F198" s="7"/>
      <c r="G198" s="7"/>
      <c r="H198" s="7" t="str">
        <f>VLOOKUP(LEFT(RIGHT(B198,5),4),装备!B:CU,2,FALSE)</f>
        <v>已领取魔芝RPG礼包</v>
      </c>
      <c r="I198" s="7" t="str">
        <f>VLOOKUP(B198,装备!B:CV,99,FALSE)</f>
        <v>已领取魔芝RPG礼包</v>
      </c>
      <c r="J198" s="118" t="str">
        <f>H198</f>
        <v>已领取魔芝RPG礼包</v>
      </c>
      <c r="K198" s="118" t="str">
        <f>I198</f>
        <v>已领取魔芝RPG礼包</v>
      </c>
      <c r="L198" s="7"/>
      <c r="M198" s="119" t="str">
        <f>VLOOKUP(LEFT(RIGHT(B198,5),4),装备!B:CU,20,FALSE)</f>
        <v>ReplaceableTextures\\CommandButtons\\BTNIB58.blp</v>
      </c>
      <c r="N198" s="136" t="s">
        <v>83</v>
      </c>
      <c r="O198" s="119" t="s">
        <v>90</v>
      </c>
      <c r="P198" s="7">
        <v>3</v>
      </c>
      <c r="Q198" s="7">
        <v>1</v>
      </c>
      <c r="R198" s="136" t="s">
        <v>83</v>
      </c>
      <c r="S198" s="136" t="s">
        <v>83</v>
      </c>
      <c r="T198" s="136" t="s">
        <v>83</v>
      </c>
      <c r="U198" s="136" t="s">
        <v>83</v>
      </c>
      <c r="V198" s="7"/>
      <c r="W198" s="7" t="s">
        <v>87</v>
      </c>
      <c r="X198" s="7">
        <v>0</v>
      </c>
      <c r="Y198" s="136" t="s">
        <v>83</v>
      </c>
      <c r="Z198" s="7">
        <v>0</v>
      </c>
      <c r="AA198" s="7">
        <v>0</v>
      </c>
      <c r="AB198" s="7">
        <v>0</v>
      </c>
      <c r="AC198" s="7">
        <v>0</v>
      </c>
      <c r="AD198" s="7">
        <v>1</v>
      </c>
      <c r="AE198" s="136" t="s">
        <v>83</v>
      </c>
      <c r="AF198" s="136" t="s">
        <v>83</v>
      </c>
      <c r="AG198" s="136" t="s">
        <v>83</v>
      </c>
      <c r="AH198" s="136" t="s">
        <v>83</v>
      </c>
      <c r="AI198" s="7">
        <v>1</v>
      </c>
      <c r="AJ198" s="7"/>
      <c r="AK198" s="7">
        <v>1</v>
      </c>
      <c r="AL198" s="7">
        <v>1</v>
      </c>
      <c r="AM198" s="136" t="s">
        <v>83</v>
      </c>
      <c r="AN198" s="7">
        <v>1</v>
      </c>
      <c r="AO198" s="7">
        <v>1</v>
      </c>
      <c r="AP198" s="7">
        <v>1</v>
      </c>
    </row>
    <row r="199" spans="1:42">
      <c r="A199" s="116"/>
      <c r="B199" s="7" t="str">
        <f>装备!B199</f>
        <v>IB59</v>
      </c>
      <c r="C199" s="7" t="s">
        <v>41</v>
      </c>
      <c r="D199" s="7" t="s">
        <v>81</v>
      </c>
      <c r="E199" s="7"/>
      <c r="F199" s="7"/>
      <c r="G199" s="7"/>
      <c r="H199" s="7" t="str">
        <f>VLOOKUP(LEFT(RIGHT(B199,5),4),装备!B:CU,2,FALSE)</f>
        <v>已领取老铁礼包</v>
      </c>
      <c r="I199" s="7" t="str">
        <f>VLOOKUP(B199,装备!B:CV,99,FALSE)</f>
        <v>已领取老铁礼包</v>
      </c>
      <c r="J199" s="118" t="str">
        <f>H199</f>
        <v>已领取老铁礼包</v>
      </c>
      <c r="K199" s="118" t="str">
        <f>I199</f>
        <v>已领取老铁礼包</v>
      </c>
      <c r="L199" s="7"/>
      <c r="M199" s="119" t="str">
        <f>VLOOKUP(LEFT(RIGHT(B199,5),4),装备!B:CU,20,FALSE)</f>
        <v>ReplaceableTextures\\CommandButtons\\BTNIB59.blp</v>
      </c>
      <c r="N199" s="136" t="s">
        <v>83</v>
      </c>
      <c r="O199" s="119" t="s">
        <v>90</v>
      </c>
      <c r="P199" s="7">
        <v>0</v>
      </c>
      <c r="Q199" s="7">
        <v>0</v>
      </c>
      <c r="R199" s="136" t="s">
        <v>83</v>
      </c>
      <c r="S199" s="136" t="s">
        <v>83</v>
      </c>
      <c r="T199" s="136" t="s">
        <v>83</v>
      </c>
      <c r="U199" s="136" t="s">
        <v>83</v>
      </c>
      <c r="V199" s="7"/>
      <c r="W199" s="7" t="s">
        <v>87</v>
      </c>
      <c r="X199" s="7">
        <v>0</v>
      </c>
      <c r="Y199" s="136" t="s">
        <v>83</v>
      </c>
      <c r="Z199" s="7">
        <v>0</v>
      </c>
      <c r="AA199" s="7">
        <v>0</v>
      </c>
      <c r="AB199" s="7">
        <v>0</v>
      </c>
      <c r="AC199" s="7">
        <v>0</v>
      </c>
      <c r="AD199" s="7">
        <v>1</v>
      </c>
      <c r="AE199" s="136" t="s">
        <v>83</v>
      </c>
      <c r="AF199" s="136" t="s">
        <v>83</v>
      </c>
      <c r="AG199" s="136" t="s">
        <v>83</v>
      </c>
      <c r="AH199" s="136" t="s">
        <v>83</v>
      </c>
      <c r="AI199" s="7">
        <v>1</v>
      </c>
      <c r="AJ199" s="7"/>
      <c r="AK199" s="7">
        <v>1</v>
      </c>
      <c r="AL199" s="7">
        <v>1</v>
      </c>
      <c r="AM199" s="136" t="s">
        <v>83</v>
      </c>
      <c r="AN199" s="7">
        <v>1</v>
      </c>
      <c r="AO199" s="7">
        <v>1</v>
      </c>
      <c r="AP199" s="7">
        <v>1</v>
      </c>
    </row>
    <row r="200" spans="1:42">
      <c r="A200" s="116"/>
      <c r="B200" s="7" t="str">
        <f>装备!B200</f>
        <v>IF01</v>
      </c>
      <c r="C200" s="7" t="s">
        <v>41</v>
      </c>
      <c r="D200" s="7" t="s">
        <v>81</v>
      </c>
      <c r="E200" s="7"/>
      <c r="F200" s="7"/>
      <c r="G200" s="7"/>
      <c r="H200" s="7" t="str">
        <f>VLOOKUP(LEFT(RIGHT(B200,5),4),装备!B:CU,2,FALSE)</f>
        <v>攻击</v>
      </c>
      <c r="I200" s="7">
        <f>VLOOKUP(B200,装备!B:CV,99,FALSE)</f>
        <v>0</v>
      </c>
      <c r="J200" s="118" t="str">
        <f t="shared" ref="J200" si="76">H200</f>
        <v>攻击</v>
      </c>
      <c r="K200" s="118">
        <f t="shared" ref="K200" si="77">I200</f>
        <v>0</v>
      </c>
      <c r="L200" s="7"/>
      <c r="M200" s="119" t="str">
        <f>VLOOKUP(LEFT(RIGHT(B200,5),4),装备!B:CU,20,FALSE)</f>
        <v>ReplaceableTextures\\CommandButtons\\BTNIF01.blp</v>
      </c>
      <c r="N200" s="136" t="s">
        <v>83</v>
      </c>
      <c r="O200" s="119" t="s">
        <v>90</v>
      </c>
      <c r="P200" s="7">
        <v>0</v>
      </c>
      <c r="Q200" s="7">
        <v>0</v>
      </c>
      <c r="R200" s="136" t="s">
        <v>83</v>
      </c>
      <c r="S200" s="136" t="s">
        <v>83</v>
      </c>
      <c r="T200" s="136" t="s">
        <v>83</v>
      </c>
      <c r="U200" s="136" t="s">
        <v>83</v>
      </c>
      <c r="V200" s="7"/>
      <c r="W200" s="7" t="s">
        <v>87</v>
      </c>
      <c r="X200" s="7">
        <v>0</v>
      </c>
      <c r="Y200" s="136" t="s">
        <v>83</v>
      </c>
      <c r="Z200" s="7">
        <v>0</v>
      </c>
      <c r="AA200" s="7">
        <v>0</v>
      </c>
      <c r="AB200" s="7">
        <v>0</v>
      </c>
      <c r="AC200" s="7">
        <v>1</v>
      </c>
      <c r="AD200" s="7">
        <v>1</v>
      </c>
      <c r="AE200" s="136" t="s">
        <v>83</v>
      </c>
      <c r="AF200" s="136" t="s">
        <v>83</v>
      </c>
      <c r="AG200" s="136" t="s">
        <v>83</v>
      </c>
      <c r="AH200" s="136" t="s">
        <v>83</v>
      </c>
      <c r="AI200" s="7">
        <v>1</v>
      </c>
      <c r="AJ200" s="7"/>
      <c r="AK200" s="7">
        <v>1</v>
      </c>
      <c r="AL200" s="7">
        <v>1</v>
      </c>
      <c r="AM200" s="136" t="s">
        <v>83</v>
      </c>
      <c r="AN200" s="7">
        <v>1</v>
      </c>
      <c r="AO200" s="7">
        <v>1</v>
      </c>
      <c r="AP200" s="7">
        <v>1</v>
      </c>
    </row>
    <row r="201" spans="1:42">
      <c r="A201" s="116"/>
      <c r="B201" s="7" t="str">
        <f>装备!B201</f>
        <v>IF02</v>
      </c>
      <c r="C201" s="7" t="s">
        <v>41</v>
      </c>
      <c r="D201" s="7" t="s">
        <v>81</v>
      </c>
      <c r="E201" s="7"/>
      <c r="F201" s="7"/>
      <c r="G201" s="7"/>
      <c r="H201" s="7" t="str">
        <f>VLOOKUP(LEFT(RIGHT(B201,5),4),装备!B:CU,2,FALSE)</f>
        <v>法强</v>
      </c>
      <c r="I201" s="7">
        <f>VLOOKUP(B201,装备!B:CV,99,FALSE)</f>
        <v>0</v>
      </c>
      <c r="J201" s="118" t="str">
        <f t="shared" ref="J201:J226" si="78">H201</f>
        <v>法强</v>
      </c>
      <c r="K201" s="118">
        <f t="shared" ref="K201:K226" si="79">I201</f>
        <v>0</v>
      </c>
      <c r="L201" s="7"/>
      <c r="M201" s="119">
        <f>VLOOKUP(LEFT(RIGHT(B201,5),4),装备!B:CU,20,FALSE)</f>
        <v>0</v>
      </c>
      <c r="N201" s="136" t="s">
        <v>83</v>
      </c>
      <c r="O201" s="119" t="s">
        <v>90</v>
      </c>
      <c r="P201" s="7">
        <v>0</v>
      </c>
      <c r="Q201" s="7">
        <v>0</v>
      </c>
      <c r="R201" s="136" t="s">
        <v>83</v>
      </c>
      <c r="S201" s="136" t="s">
        <v>83</v>
      </c>
      <c r="T201" s="136" t="s">
        <v>83</v>
      </c>
      <c r="U201" s="136" t="s">
        <v>83</v>
      </c>
      <c r="V201" s="7"/>
      <c r="W201" s="7" t="s">
        <v>87</v>
      </c>
      <c r="X201" s="7">
        <v>0</v>
      </c>
      <c r="Y201" s="136" t="s">
        <v>83</v>
      </c>
      <c r="Z201" s="7">
        <v>0</v>
      </c>
      <c r="AA201" s="7">
        <v>0</v>
      </c>
      <c r="AB201" s="7">
        <v>0</v>
      </c>
      <c r="AC201" s="7">
        <v>1</v>
      </c>
      <c r="AD201" s="7">
        <v>1</v>
      </c>
      <c r="AE201" s="136" t="s">
        <v>83</v>
      </c>
      <c r="AF201" s="136" t="s">
        <v>83</v>
      </c>
      <c r="AG201" s="136" t="s">
        <v>83</v>
      </c>
      <c r="AH201" s="136" t="s">
        <v>83</v>
      </c>
      <c r="AI201" s="7">
        <v>1</v>
      </c>
      <c r="AJ201" s="7"/>
      <c r="AK201" s="7">
        <v>1</v>
      </c>
      <c r="AL201" s="7">
        <v>1</v>
      </c>
      <c r="AM201" s="136" t="s">
        <v>83</v>
      </c>
      <c r="AN201" s="7">
        <v>1</v>
      </c>
      <c r="AO201" s="7">
        <v>1</v>
      </c>
      <c r="AP201" s="7">
        <v>1</v>
      </c>
    </row>
    <row r="202" spans="1:42">
      <c r="A202" s="116"/>
      <c r="B202" s="7" t="str">
        <f>装备!B202</f>
        <v>IF03</v>
      </c>
      <c r="C202" s="7" t="s">
        <v>41</v>
      </c>
      <c r="D202" s="7" t="s">
        <v>81</v>
      </c>
      <c r="E202" s="7"/>
      <c r="F202" s="7"/>
      <c r="G202" s="7"/>
      <c r="H202" s="7" t="str">
        <f>VLOOKUP(LEFT(RIGHT(B202,5),4),装备!B:CU,2,FALSE)</f>
        <v>攻击</v>
      </c>
      <c r="I202" s="7">
        <f>VLOOKUP(B202,装备!B:CV,99,FALSE)</f>
        <v>0</v>
      </c>
      <c r="J202" s="118" t="str">
        <f t="shared" si="78"/>
        <v>攻击</v>
      </c>
      <c r="K202" s="118">
        <f t="shared" si="79"/>
        <v>0</v>
      </c>
      <c r="L202" s="7"/>
      <c r="M202" s="119">
        <f>VLOOKUP(LEFT(RIGHT(B202,5),4),装备!B:CU,20,FALSE)</f>
        <v>0</v>
      </c>
      <c r="N202" s="136" t="s">
        <v>83</v>
      </c>
      <c r="O202" s="119" t="s">
        <v>90</v>
      </c>
      <c r="P202" s="7">
        <v>0</v>
      </c>
      <c r="Q202" s="7">
        <v>0</v>
      </c>
      <c r="R202" s="136" t="s">
        <v>83</v>
      </c>
      <c r="S202" s="136" t="s">
        <v>83</v>
      </c>
      <c r="T202" s="136" t="s">
        <v>83</v>
      </c>
      <c r="U202" s="136" t="s">
        <v>83</v>
      </c>
      <c r="V202" s="7"/>
      <c r="W202" s="7" t="s">
        <v>87</v>
      </c>
      <c r="X202" s="7">
        <v>0</v>
      </c>
      <c r="Y202" s="136" t="s">
        <v>83</v>
      </c>
      <c r="Z202" s="7">
        <v>0</v>
      </c>
      <c r="AA202" s="7">
        <v>0</v>
      </c>
      <c r="AB202" s="7">
        <v>0</v>
      </c>
      <c r="AC202" s="7">
        <v>1</v>
      </c>
      <c r="AD202" s="7">
        <v>1</v>
      </c>
      <c r="AE202" s="136" t="s">
        <v>83</v>
      </c>
      <c r="AF202" s="136" t="s">
        <v>83</v>
      </c>
      <c r="AG202" s="136" t="s">
        <v>83</v>
      </c>
      <c r="AH202" s="136" t="s">
        <v>83</v>
      </c>
      <c r="AI202" s="7">
        <v>1</v>
      </c>
      <c r="AJ202" s="7"/>
      <c r="AK202" s="7">
        <v>1</v>
      </c>
      <c r="AL202" s="7">
        <v>1</v>
      </c>
      <c r="AM202" s="136" t="s">
        <v>83</v>
      </c>
      <c r="AN202" s="7">
        <v>1</v>
      </c>
      <c r="AO202" s="7">
        <v>1</v>
      </c>
      <c r="AP202" s="7">
        <v>1</v>
      </c>
    </row>
    <row r="203" spans="1:42">
      <c r="A203" s="116"/>
      <c r="B203" s="7" t="str">
        <f>装备!B203</f>
        <v>IF04</v>
      </c>
      <c r="C203" s="7" t="s">
        <v>41</v>
      </c>
      <c r="D203" s="7" t="s">
        <v>81</v>
      </c>
      <c r="E203" s="7"/>
      <c r="F203" s="7"/>
      <c r="G203" s="7"/>
      <c r="H203" s="7" t="str">
        <f>VLOOKUP(LEFT(RIGHT(B203,5),4),装备!B:CU,2,FALSE)</f>
        <v>法强</v>
      </c>
      <c r="I203" s="7">
        <f>VLOOKUP(B203,装备!B:CV,99,FALSE)</f>
        <v>0</v>
      </c>
      <c r="J203" s="118" t="str">
        <f t="shared" si="78"/>
        <v>法强</v>
      </c>
      <c r="K203" s="118">
        <f t="shared" si="79"/>
        <v>0</v>
      </c>
      <c r="L203" s="7"/>
      <c r="M203" s="119">
        <f>VLOOKUP(LEFT(RIGHT(B203,5),4),装备!B:CU,20,FALSE)</f>
        <v>0</v>
      </c>
      <c r="N203" s="136" t="s">
        <v>83</v>
      </c>
      <c r="O203" s="119" t="s">
        <v>90</v>
      </c>
      <c r="P203" s="7">
        <v>0</v>
      </c>
      <c r="Q203" s="7">
        <v>0</v>
      </c>
      <c r="R203" s="136" t="s">
        <v>83</v>
      </c>
      <c r="S203" s="136" t="s">
        <v>83</v>
      </c>
      <c r="T203" s="136" t="s">
        <v>83</v>
      </c>
      <c r="U203" s="136" t="s">
        <v>83</v>
      </c>
      <c r="V203" s="7"/>
      <c r="W203" s="7" t="s">
        <v>87</v>
      </c>
      <c r="X203" s="7">
        <v>0</v>
      </c>
      <c r="Y203" s="136" t="s">
        <v>83</v>
      </c>
      <c r="Z203" s="7">
        <v>0</v>
      </c>
      <c r="AA203" s="7">
        <v>0</v>
      </c>
      <c r="AB203" s="7">
        <v>0</v>
      </c>
      <c r="AC203" s="7">
        <v>1</v>
      </c>
      <c r="AD203" s="7">
        <v>1</v>
      </c>
      <c r="AE203" s="136" t="s">
        <v>83</v>
      </c>
      <c r="AF203" s="136" t="s">
        <v>83</v>
      </c>
      <c r="AG203" s="136" t="s">
        <v>83</v>
      </c>
      <c r="AH203" s="136" t="s">
        <v>83</v>
      </c>
      <c r="AI203" s="7">
        <v>1</v>
      </c>
      <c r="AJ203" s="7"/>
      <c r="AK203" s="7">
        <v>1</v>
      </c>
      <c r="AL203" s="7">
        <v>1</v>
      </c>
      <c r="AM203" s="136" t="s">
        <v>83</v>
      </c>
      <c r="AN203" s="7">
        <v>1</v>
      </c>
      <c r="AO203" s="7">
        <v>1</v>
      </c>
      <c r="AP203" s="7">
        <v>1</v>
      </c>
    </row>
    <row r="204" spans="1:42">
      <c r="A204" s="116"/>
      <c r="B204" s="7" t="str">
        <f>装备!B204</f>
        <v>IF05</v>
      </c>
      <c r="C204" s="7" t="s">
        <v>41</v>
      </c>
      <c r="D204" s="7" t="s">
        <v>81</v>
      </c>
      <c r="E204" s="7"/>
      <c r="F204" s="7"/>
      <c r="G204" s="7"/>
      <c r="H204" s="7" t="str">
        <f>VLOOKUP(LEFT(RIGHT(B204,5),4),装备!B:CU,2,FALSE)</f>
        <v>攻击</v>
      </c>
      <c r="I204" s="7">
        <f>VLOOKUP(B204,装备!B:CV,99,FALSE)</f>
        <v>0</v>
      </c>
      <c r="J204" s="118" t="str">
        <f t="shared" si="78"/>
        <v>攻击</v>
      </c>
      <c r="K204" s="118">
        <f t="shared" si="79"/>
        <v>0</v>
      </c>
      <c r="L204" s="7"/>
      <c r="M204" s="119">
        <f>VLOOKUP(LEFT(RIGHT(B204,5),4),装备!B:CU,20,FALSE)</f>
        <v>0</v>
      </c>
      <c r="N204" s="136" t="s">
        <v>83</v>
      </c>
      <c r="O204" s="119" t="s">
        <v>90</v>
      </c>
      <c r="P204" s="7">
        <v>0</v>
      </c>
      <c r="Q204" s="7">
        <v>0</v>
      </c>
      <c r="R204" s="136" t="s">
        <v>83</v>
      </c>
      <c r="S204" s="136" t="s">
        <v>83</v>
      </c>
      <c r="T204" s="136" t="s">
        <v>83</v>
      </c>
      <c r="U204" s="136" t="s">
        <v>83</v>
      </c>
      <c r="V204" s="7"/>
      <c r="W204" s="7" t="s">
        <v>87</v>
      </c>
      <c r="X204" s="7">
        <v>0</v>
      </c>
      <c r="Y204" s="136" t="s">
        <v>83</v>
      </c>
      <c r="Z204" s="7">
        <v>0</v>
      </c>
      <c r="AA204" s="7">
        <v>0</v>
      </c>
      <c r="AB204" s="7">
        <v>0</v>
      </c>
      <c r="AC204" s="7">
        <v>1</v>
      </c>
      <c r="AD204" s="7">
        <v>1</v>
      </c>
      <c r="AE204" s="136" t="s">
        <v>83</v>
      </c>
      <c r="AF204" s="136" t="s">
        <v>83</v>
      </c>
      <c r="AG204" s="136" t="s">
        <v>83</v>
      </c>
      <c r="AH204" s="136" t="s">
        <v>83</v>
      </c>
      <c r="AI204" s="7">
        <v>1</v>
      </c>
      <c r="AJ204" s="7"/>
      <c r="AK204" s="7">
        <v>1</v>
      </c>
      <c r="AL204" s="7">
        <v>1</v>
      </c>
      <c r="AM204" s="136" t="s">
        <v>83</v>
      </c>
      <c r="AN204" s="7">
        <v>1</v>
      </c>
      <c r="AO204" s="7">
        <v>1</v>
      </c>
      <c r="AP204" s="7">
        <v>1</v>
      </c>
    </row>
    <row r="205" spans="1:42">
      <c r="A205" s="116"/>
      <c r="B205" s="7" t="str">
        <f>装备!B205</f>
        <v>IF06</v>
      </c>
      <c r="C205" s="7" t="s">
        <v>41</v>
      </c>
      <c r="D205" s="7" t="s">
        <v>81</v>
      </c>
      <c r="E205" s="7"/>
      <c r="F205" s="7"/>
      <c r="G205" s="7"/>
      <c r="H205" s="7" t="str">
        <f>VLOOKUP(LEFT(RIGHT(B205,5),4),装备!B:CU,2,FALSE)</f>
        <v>法强</v>
      </c>
      <c r="I205" s="7">
        <f>VLOOKUP(B205,装备!B:CV,99,FALSE)</f>
        <v>0</v>
      </c>
      <c r="J205" s="118" t="str">
        <f t="shared" si="78"/>
        <v>法强</v>
      </c>
      <c r="K205" s="118">
        <f t="shared" si="79"/>
        <v>0</v>
      </c>
      <c r="L205" s="7"/>
      <c r="M205" s="119">
        <f>VLOOKUP(LEFT(RIGHT(B205,5),4),装备!B:CU,20,FALSE)</f>
        <v>0</v>
      </c>
      <c r="N205" s="136" t="s">
        <v>83</v>
      </c>
      <c r="O205" s="119" t="s">
        <v>90</v>
      </c>
      <c r="P205" s="7">
        <v>0</v>
      </c>
      <c r="Q205" s="7">
        <v>0</v>
      </c>
      <c r="R205" s="136" t="s">
        <v>83</v>
      </c>
      <c r="S205" s="136" t="s">
        <v>83</v>
      </c>
      <c r="T205" s="136" t="s">
        <v>83</v>
      </c>
      <c r="U205" s="136" t="s">
        <v>83</v>
      </c>
      <c r="V205" s="7"/>
      <c r="W205" s="7" t="s">
        <v>87</v>
      </c>
      <c r="X205" s="7">
        <v>0</v>
      </c>
      <c r="Y205" s="136" t="s">
        <v>83</v>
      </c>
      <c r="Z205" s="7">
        <v>0</v>
      </c>
      <c r="AA205" s="7">
        <v>0</v>
      </c>
      <c r="AB205" s="7">
        <v>0</v>
      </c>
      <c r="AC205" s="7">
        <v>1</v>
      </c>
      <c r="AD205" s="7">
        <v>1</v>
      </c>
      <c r="AE205" s="136" t="s">
        <v>83</v>
      </c>
      <c r="AF205" s="136" t="s">
        <v>83</v>
      </c>
      <c r="AG205" s="136" t="s">
        <v>83</v>
      </c>
      <c r="AH205" s="136" t="s">
        <v>83</v>
      </c>
      <c r="AI205" s="7">
        <v>1</v>
      </c>
      <c r="AJ205" s="7"/>
      <c r="AK205" s="7">
        <v>1</v>
      </c>
      <c r="AL205" s="7">
        <v>1</v>
      </c>
      <c r="AM205" s="136" t="s">
        <v>83</v>
      </c>
      <c r="AN205" s="7">
        <v>1</v>
      </c>
      <c r="AO205" s="7">
        <v>1</v>
      </c>
      <c r="AP205" s="7">
        <v>1</v>
      </c>
    </row>
    <row r="206" spans="1:42">
      <c r="A206" s="116"/>
      <c r="B206" s="7" t="str">
        <f>装备!B206</f>
        <v>IF07</v>
      </c>
      <c r="C206" s="7" t="s">
        <v>41</v>
      </c>
      <c r="D206" s="7" t="s">
        <v>81</v>
      </c>
      <c r="E206" s="7"/>
      <c r="F206" s="7"/>
      <c r="G206" s="7"/>
      <c r="H206" s="7" t="str">
        <f>VLOOKUP(LEFT(RIGHT(B206,5),4),装备!B:CU,2,FALSE)</f>
        <v>攻击</v>
      </c>
      <c r="I206" s="7">
        <f>VLOOKUP(B206,装备!B:CV,99,FALSE)</f>
        <v>0</v>
      </c>
      <c r="J206" s="118" t="str">
        <f t="shared" si="78"/>
        <v>攻击</v>
      </c>
      <c r="K206" s="118">
        <f t="shared" si="79"/>
        <v>0</v>
      </c>
      <c r="L206" s="7"/>
      <c r="M206" s="119">
        <f>VLOOKUP(LEFT(RIGHT(B206,5),4),装备!B:CU,20,FALSE)</f>
        <v>0</v>
      </c>
      <c r="N206" s="136" t="s">
        <v>83</v>
      </c>
      <c r="O206" s="119" t="s">
        <v>90</v>
      </c>
      <c r="P206" s="7">
        <v>0</v>
      </c>
      <c r="Q206" s="7">
        <v>0</v>
      </c>
      <c r="R206" s="136" t="s">
        <v>83</v>
      </c>
      <c r="S206" s="136" t="s">
        <v>83</v>
      </c>
      <c r="T206" s="136" t="s">
        <v>83</v>
      </c>
      <c r="U206" s="136" t="s">
        <v>83</v>
      </c>
      <c r="V206" s="7"/>
      <c r="W206" s="7" t="s">
        <v>87</v>
      </c>
      <c r="X206" s="7">
        <v>0</v>
      </c>
      <c r="Y206" s="136" t="s">
        <v>83</v>
      </c>
      <c r="Z206" s="7">
        <v>0</v>
      </c>
      <c r="AA206" s="7">
        <v>0</v>
      </c>
      <c r="AB206" s="7">
        <v>0</v>
      </c>
      <c r="AC206" s="7">
        <v>1</v>
      </c>
      <c r="AD206" s="7">
        <v>1</v>
      </c>
      <c r="AE206" s="136" t="s">
        <v>83</v>
      </c>
      <c r="AF206" s="136" t="s">
        <v>83</v>
      </c>
      <c r="AG206" s="136" t="s">
        <v>83</v>
      </c>
      <c r="AH206" s="136" t="s">
        <v>83</v>
      </c>
      <c r="AI206" s="7">
        <v>1</v>
      </c>
      <c r="AJ206" s="7"/>
      <c r="AK206" s="7">
        <v>1</v>
      </c>
      <c r="AL206" s="7">
        <v>1</v>
      </c>
      <c r="AM206" s="136" t="s">
        <v>83</v>
      </c>
      <c r="AN206" s="7">
        <v>1</v>
      </c>
      <c r="AO206" s="7">
        <v>1</v>
      </c>
      <c r="AP206" s="7">
        <v>1</v>
      </c>
    </row>
    <row r="207" spans="1:42">
      <c r="A207" s="116"/>
      <c r="B207" s="7" t="str">
        <f>装备!B207</f>
        <v>IF08</v>
      </c>
      <c r="C207" s="7" t="s">
        <v>41</v>
      </c>
      <c r="D207" s="7" t="s">
        <v>81</v>
      </c>
      <c r="E207" s="7"/>
      <c r="F207" s="7"/>
      <c r="G207" s="7"/>
      <c r="H207" s="7" t="str">
        <f>VLOOKUP(LEFT(RIGHT(B207,5),4),装备!B:CU,2,FALSE)</f>
        <v>法强</v>
      </c>
      <c r="I207" s="7">
        <f>VLOOKUP(B207,装备!B:CV,99,FALSE)</f>
        <v>0</v>
      </c>
      <c r="J207" s="118" t="str">
        <f t="shared" si="78"/>
        <v>法强</v>
      </c>
      <c r="K207" s="118">
        <f t="shared" si="79"/>
        <v>0</v>
      </c>
      <c r="L207" s="7"/>
      <c r="M207" s="119">
        <f>VLOOKUP(LEFT(RIGHT(B207,5),4),装备!B:CU,20,FALSE)</f>
        <v>0</v>
      </c>
      <c r="N207" s="136" t="s">
        <v>83</v>
      </c>
      <c r="O207" s="119" t="s">
        <v>90</v>
      </c>
      <c r="P207" s="7">
        <v>0</v>
      </c>
      <c r="Q207" s="7">
        <v>0</v>
      </c>
      <c r="R207" s="136" t="s">
        <v>83</v>
      </c>
      <c r="S207" s="136" t="s">
        <v>83</v>
      </c>
      <c r="T207" s="136" t="s">
        <v>83</v>
      </c>
      <c r="U207" s="136" t="s">
        <v>83</v>
      </c>
      <c r="V207" s="7"/>
      <c r="W207" s="7" t="s">
        <v>87</v>
      </c>
      <c r="X207" s="7">
        <v>0</v>
      </c>
      <c r="Y207" s="136" t="s">
        <v>83</v>
      </c>
      <c r="Z207" s="7">
        <v>0</v>
      </c>
      <c r="AA207" s="7">
        <v>0</v>
      </c>
      <c r="AB207" s="7">
        <v>0</v>
      </c>
      <c r="AC207" s="7">
        <v>1</v>
      </c>
      <c r="AD207" s="7">
        <v>1</v>
      </c>
      <c r="AE207" s="136" t="s">
        <v>83</v>
      </c>
      <c r="AF207" s="136" t="s">
        <v>83</v>
      </c>
      <c r="AG207" s="136" t="s">
        <v>83</v>
      </c>
      <c r="AH207" s="136" t="s">
        <v>83</v>
      </c>
      <c r="AI207" s="7">
        <v>1</v>
      </c>
      <c r="AJ207" s="7"/>
      <c r="AK207" s="7">
        <v>1</v>
      </c>
      <c r="AL207" s="7">
        <v>1</v>
      </c>
      <c r="AM207" s="136" t="s">
        <v>83</v>
      </c>
      <c r="AN207" s="7">
        <v>1</v>
      </c>
      <c r="AO207" s="7">
        <v>1</v>
      </c>
      <c r="AP207" s="7">
        <v>1</v>
      </c>
    </row>
    <row r="208" spans="1:42">
      <c r="A208" s="116"/>
      <c r="B208" s="7" t="str">
        <f>装备!B208</f>
        <v>IF09</v>
      </c>
      <c r="C208" s="7" t="s">
        <v>41</v>
      </c>
      <c r="D208" s="7" t="s">
        <v>81</v>
      </c>
      <c r="E208" s="7"/>
      <c r="F208" s="7"/>
      <c r="G208" s="7"/>
      <c r="H208" s="7" t="str">
        <f>VLOOKUP(LEFT(RIGHT(B208,5),4),装备!B:CU,2,FALSE)</f>
        <v>攻击</v>
      </c>
      <c r="I208" s="7">
        <f>VLOOKUP(B208,装备!B:CV,99,FALSE)</f>
        <v>0</v>
      </c>
      <c r="J208" s="118" t="str">
        <f t="shared" si="78"/>
        <v>攻击</v>
      </c>
      <c r="K208" s="118">
        <f t="shared" si="79"/>
        <v>0</v>
      </c>
      <c r="L208" s="7"/>
      <c r="M208" s="119">
        <f>VLOOKUP(LEFT(RIGHT(B208,5),4),装备!B:CU,20,FALSE)</f>
        <v>0</v>
      </c>
      <c r="N208" s="136" t="s">
        <v>83</v>
      </c>
      <c r="O208" s="119" t="s">
        <v>90</v>
      </c>
      <c r="P208" s="7">
        <v>0</v>
      </c>
      <c r="Q208" s="7">
        <v>0</v>
      </c>
      <c r="R208" s="136" t="s">
        <v>83</v>
      </c>
      <c r="S208" s="136" t="s">
        <v>83</v>
      </c>
      <c r="T208" s="136" t="s">
        <v>83</v>
      </c>
      <c r="U208" s="136" t="s">
        <v>83</v>
      </c>
      <c r="V208" s="7"/>
      <c r="W208" s="7" t="s">
        <v>87</v>
      </c>
      <c r="X208" s="7">
        <v>0</v>
      </c>
      <c r="Y208" s="136" t="s">
        <v>83</v>
      </c>
      <c r="Z208" s="7">
        <v>0</v>
      </c>
      <c r="AA208" s="7">
        <v>0</v>
      </c>
      <c r="AB208" s="7">
        <v>0</v>
      </c>
      <c r="AC208" s="7">
        <v>1</v>
      </c>
      <c r="AD208" s="7">
        <v>1</v>
      </c>
      <c r="AE208" s="136" t="s">
        <v>83</v>
      </c>
      <c r="AF208" s="136" t="s">
        <v>83</v>
      </c>
      <c r="AG208" s="136" t="s">
        <v>83</v>
      </c>
      <c r="AH208" s="136" t="s">
        <v>83</v>
      </c>
      <c r="AI208" s="7">
        <v>1</v>
      </c>
      <c r="AJ208" s="7"/>
      <c r="AK208" s="7">
        <v>1</v>
      </c>
      <c r="AL208" s="7">
        <v>1</v>
      </c>
      <c r="AM208" s="136" t="s">
        <v>83</v>
      </c>
      <c r="AN208" s="7">
        <v>1</v>
      </c>
      <c r="AO208" s="7">
        <v>1</v>
      </c>
      <c r="AP208" s="7">
        <v>1</v>
      </c>
    </row>
    <row r="209" spans="1:42">
      <c r="A209" s="116"/>
      <c r="B209" s="7" t="str">
        <f>装备!B209</f>
        <v>IF10</v>
      </c>
      <c r="C209" s="7" t="s">
        <v>41</v>
      </c>
      <c r="D209" s="7" t="s">
        <v>81</v>
      </c>
      <c r="E209" s="7"/>
      <c r="F209" s="7"/>
      <c r="G209" s="7"/>
      <c r="H209" s="7" t="str">
        <f>VLOOKUP(LEFT(RIGHT(B209,5),4),装备!B:CU,2,FALSE)</f>
        <v>法强</v>
      </c>
      <c r="I209" s="7">
        <f>VLOOKUP(B209,装备!B:CV,99,FALSE)</f>
        <v>0</v>
      </c>
      <c r="J209" s="118" t="str">
        <f t="shared" si="78"/>
        <v>法强</v>
      </c>
      <c r="K209" s="118">
        <f t="shared" si="79"/>
        <v>0</v>
      </c>
      <c r="L209" s="7"/>
      <c r="M209" s="119">
        <f>VLOOKUP(LEFT(RIGHT(B209,5),4),装备!B:CU,20,FALSE)</f>
        <v>0</v>
      </c>
      <c r="N209" s="136" t="s">
        <v>83</v>
      </c>
      <c r="O209" s="119" t="s">
        <v>90</v>
      </c>
      <c r="P209" s="7">
        <v>0</v>
      </c>
      <c r="Q209" s="7">
        <v>0</v>
      </c>
      <c r="R209" s="136" t="s">
        <v>83</v>
      </c>
      <c r="S209" s="136" t="s">
        <v>83</v>
      </c>
      <c r="T209" s="136" t="s">
        <v>83</v>
      </c>
      <c r="U209" s="136" t="s">
        <v>83</v>
      </c>
      <c r="V209" s="7"/>
      <c r="W209" s="7" t="s">
        <v>87</v>
      </c>
      <c r="X209" s="7">
        <v>0</v>
      </c>
      <c r="Y209" s="136" t="s">
        <v>83</v>
      </c>
      <c r="Z209" s="7">
        <v>0</v>
      </c>
      <c r="AA209" s="7">
        <v>0</v>
      </c>
      <c r="AB209" s="7">
        <v>0</v>
      </c>
      <c r="AC209" s="7">
        <v>1</v>
      </c>
      <c r="AD209" s="7">
        <v>1</v>
      </c>
      <c r="AE209" s="136" t="s">
        <v>83</v>
      </c>
      <c r="AF209" s="136" t="s">
        <v>83</v>
      </c>
      <c r="AG209" s="136" t="s">
        <v>83</v>
      </c>
      <c r="AH209" s="136" t="s">
        <v>83</v>
      </c>
      <c r="AI209" s="7">
        <v>1</v>
      </c>
      <c r="AJ209" s="7"/>
      <c r="AK209" s="7">
        <v>1</v>
      </c>
      <c r="AL209" s="7">
        <v>1</v>
      </c>
      <c r="AM209" s="136" t="s">
        <v>83</v>
      </c>
      <c r="AN209" s="7">
        <v>1</v>
      </c>
      <c r="AO209" s="7">
        <v>1</v>
      </c>
      <c r="AP209" s="7">
        <v>1</v>
      </c>
    </row>
    <row r="210" spans="1:42">
      <c r="A210" s="116"/>
      <c r="B210" s="7" t="str">
        <f>装备!B210</f>
        <v>IF11</v>
      </c>
      <c r="C210" s="7" t="s">
        <v>41</v>
      </c>
      <c r="D210" s="7" t="s">
        <v>81</v>
      </c>
      <c r="E210" s="7"/>
      <c r="F210" s="7"/>
      <c r="G210" s="7"/>
      <c r="H210" s="7" t="str">
        <f>VLOOKUP(LEFT(RIGHT(B210,5),4),装备!B:CU,2,FALSE)</f>
        <v>攻击和法强</v>
      </c>
      <c r="I210" s="7">
        <f>VLOOKUP(B210,装备!B:CV,99,FALSE)</f>
        <v>0</v>
      </c>
      <c r="J210" s="118" t="str">
        <f t="shared" si="78"/>
        <v>攻击和法强</v>
      </c>
      <c r="K210" s="118">
        <f t="shared" si="79"/>
        <v>0</v>
      </c>
      <c r="L210" s="7"/>
      <c r="M210" s="119">
        <f>VLOOKUP(LEFT(RIGHT(B210,5),4),装备!B:CU,20,FALSE)</f>
        <v>0</v>
      </c>
      <c r="N210" s="136" t="s">
        <v>83</v>
      </c>
      <c r="O210" s="119" t="s">
        <v>90</v>
      </c>
      <c r="P210" s="7">
        <v>0</v>
      </c>
      <c r="Q210" s="7">
        <v>0</v>
      </c>
      <c r="R210" s="136" t="s">
        <v>83</v>
      </c>
      <c r="S210" s="136" t="s">
        <v>83</v>
      </c>
      <c r="T210" s="136" t="s">
        <v>83</v>
      </c>
      <c r="U210" s="136" t="s">
        <v>83</v>
      </c>
      <c r="V210" s="7"/>
      <c r="W210" s="7" t="s">
        <v>87</v>
      </c>
      <c r="X210" s="7">
        <v>0</v>
      </c>
      <c r="Y210" s="136" t="s">
        <v>83</v>
      </c>
      <c r="Z210" s="7">
        <v>0</v>
      </c>
      <c r="AA210" s="7">
        <v>0</v>
      </c>
      <c r="AB210" s="7">
        <v>0</v>
      </c>
      <c r="AC210" s="7">
        <v>1</v>
      </c>
      <c r="AD210" s="7">
        <v>1</v>
      </c>
      <c r="AE210" s="136" t="s">
        <v>83</v>
      </c>
      <c r="AF210" s="136" t="s">
        <v>83</v>
      </c>
      <c r="AG210" s="136" t="s">
        <v>83</v>
      </c>
      <c r="AH210" s="136" t="s">
        <v>83</v>
      </c>
      <c r="AI210" s="7">
        <v>1</v>
      </c>
      <c r="AJ210" s="7"/>
      <c r="AK210" s="7">
        <v>1</v>
      </c>
      <c r="AL210" s="7">
        <v>1</v>
      </c>
      <c r="AM210" s="136" t="s">
        <v>83</v>
      </c>
      <c r="AN210" s="7">
        <v>1</v>
      </c>
      <c r="AO210" s="7">
        <v>1</v>
      </c>
      <c r="AP210" s="7">
        <v>1</v>
      </c>
    </row>
    <row r="211" spans="1:42">
      <c r="A211" s="116"/>
      <c r="B211" s="7" t="str">
        <f>装备!B211</f>
        <v>IF12</v>
      </c>
      <c r="C211" s="7" t="s">
        <v>41</v>
      </c>
      <c r="D211" s="7" t="s">
        <v>81</v>
      </c>
      <c r="E211" s="7"/>
      <c r="F211" s="7"/>
      <c r="G211" s="7"/>
      <c r="H211" s="7" t="str">
        <f>VLOOKUP(LEFT(RIGHT(B211,5),4),装备!B:CU,2,FALSE)</f>
        <v>暴击</v>
      </c>
      <c r="I211" s="7">
        <f>VLOOKUP(B211,装备!B:CV,99,FALSE)</f>
        <v>0</v>
      </c>
      <c r="J211" s="118" t="str">
        <f t="shared" si="78"/>
        <v>暴击</v>
      </c>
      <c r="K211" s="118">
        <f t="shared" si="79"/>
        <v>0</v>
      </c>
      <c r="L211" s="7"/>
      <c r="M211" s="119">
        <f>VLOOKUP(LEFT(RIGHT(B211,5),4),装备!B:CU,20,FALSE)</f>
        <v>0</v>
      </c>
      <c r="N211" s="136" t="s">
        <v>83</v>
      </c>
      <c r="O211" s="119" t="s">
        <v>90</v>
      </c>
      <c r="P211" s="7">
        <v>0</v>
      </c>
      <c r="Q211" s="7">
        <v>0</v>
      </c>
      <c r="R211" s="136" t="s">
        <v>83</v>
      </c>
      <c r="S211" s="136" t="s">
        <v>83</v>
      </c>
      <c r="T211" s="136" t="s">
        <v>83</v>
      </c>
      <c r="U211" s="136" t="s">
        <v>83</v>
      </c>
      <c r="V211" s="7"/>
      <c r="W211" s="7" t="s">
        <v>87</v>
      </c>
      <c r="X211" s="7">
        <v>0</v>
      </c>
      <c r="Y211" s="136" t="s">
        <v>83</v>
      </c>
      <c r="Z211" s="7">
        <v>0</v>
      </c>
      <c r="AA211" s="7">
        <v>0</v>
      </c>
      <c r="AB211" s="7">
        <v>0</v>
      </c>
      <c r="AC211" s="7">
        <v>1</v>
      </c>
      <c r="AD211" s="7">
        <v>1</v>
      </c>
      <c r="AE211" s="136" t="s">
        <v>83</v>
      </c>
      <c r="AF211" s="136" t="s">
        <v>83</v>
      </c>
      <c r="AG211" s="136" t="s">
        <v>83</v>
      </c>
      <c r="AH211" s="136" t="s">
        <v>83</v>
      </c>
      <c r="AI211" s="7">
        <v>1</v>
      </c>
      <c r="AJ211" s="7"/>
      <c r="AK211" s="7">
        <v>1</v>
      </c>
      <c r="AL211" s="7">
        <v>1</v>
      </c>
      <c r="AM211" s="136" t="s">
        <v>83</v>
      </c>
      <c r="AN211" s="7">
        <v>1</v>
      </c>
      <c r="AO211" s="7">
        <v>1</v>
      </c>
      <c r="AP211" s="7">
        <v>1</v>
      </c>
    </row>
    <row r="212" spans="1:42">
      <c r="A212" s="116"/>
      <c r="B212" s="7" t="str">
        <f>装备!B212</f>
        <v>IF13</v>
      </c>
      <c r="C212" s="7" t="s">
        <v>41</v>
      </c>
      <c r="D212" s="7" t="s">
        <v>81</v>
      </c>
      <c r="E212" s="7"/>
      <c r="F212" s="7"/>
      <c r="G212" s="7"/>
      <c r="H212" s="7" t="str">
        <f>VLOOKUP(LEFT(RIGHT(B212,5),4),装备!B:CU,2,FALSE)</f>
        <v>爆伤</v>
      </c>
      <c r="I212" s="7">
        <f>VLOOKUP(B212,装备!B:CV,99,FALSE)</f>
        <v>0</v>
      </c>
      <c r="J212" s="118" t="str">
        <f t="shared" si="78"/>
        <v>爆伤</v>
      </c>
      <c r="K212" s="118">
        <f t="shared" si="79"/>
        <v>0</v>
      </c>
      <c r="L212" s="7"/>
      <c r="M212" s="119">
        <f>VLOOKUP(LEFT(RIGHT(B212,5),4),装备!B:CU,20,FALSE)</f>
        <v>0</v>
      </c>
      <c r="N212" s="136" t="s">
        <v>83</v>
      </c>
      <c r="O212" s="119" t="s">
        <v>90</v>
      </c>
      <c r="P212" s="7">
        <v>0</v>
      </c>
      <c r="Q212" s="7">
        <v>0</v>
      </c>
      <c r="R212" s="136" t="s">
        <v>83</v>
      </c>
      <c r="S212" s="136" t="s">
        <v>83</v>
      </c>
      <c r="T212" s="136" t="s">
        <v>83</v>
      </c>
      <c r="U212" s="136" t="s">
        <v>83</v>
      </c>
      <c r="V212" s="7"/>
      <c r="W212" s="7" t="s">
        <v>87</v>
      </c>
      <c r="X212" s="7">
        <v>0</v>
      </c>
      <c r="Y212" s="136" t="s">
        <v>83</v>
      </c>
      <c r="Z212" s="7">
        <v>0</v>
      </c>
      <c r="AA212" s="7">
        <v>0</v>
      </c>
      <c r="AB212" s="7">
        <v>0</v>
      </c>
      <c r="AC212" s="7">
        <v>1</v>
      </c>
      <c r="AD212" s="7">
        <v>1</v>
      </c>
      <c r="AE212" s="136" t="s">
        <v>83</v>
      </c>
      <c r="AF212" s="136" t="s">
        <v>83</v>
      </c>
      <c r="AG212" s="136" t="s">
        <v>83</v>
      </c>
      <c r="AH212" s="136" t="s">
        <v>83</v>
      </c>
      <c r="AI212" s="7">
        <v>1</v>
      </c>
      <c r="AJ212" s="7"/>
      <c r="AK212" s="7">
        <v>1</v>
      </c>
      <c r="AL212" s="7">
        <v>1</v>
      </c>
      <c r="AM212" s="136" t="s">
        <v>83</v>
      </c>
      <c r="AN212" s="7">
        <v>1</v>
      </c>
      <c r="AO212" s="7">
        <v>1</v>
      </c>
      <c r="AP212" s="7">
        <v>1</v>
      </c>
    </row>
    <row r="213" spans="1:42">
      <c r="A213" s="116"/>
      <c r="B213" s="7" t="str">
        <f>装备!B213</f>
        <v>IF14</v>
      </c>
      <c r="C213" s="7" t="s">
        <v>41</v>
      </c>
      <c r="D213" s="7" t="s">
        <v>81</v>
      </c>
      <c r="E213" s="7"/>
      <c r="F213" s="7"/>
      <c r="G213" s="7"/>
      <c r="H213" s="7" t="str">
        <f>VLOOKUP(LEFT(RIGHT(B213,5),4),装备!B:CU,2,FALSE)</f>
        <v>爆伤</v>
      </c>
      <c r="I213" s="7">
        <f>VLOOKUP(B213,装备!B:CV,99,FALSE)</f>
        <v>0</v>
      </c>
      <c r="J213" s="118" t="str">
        <f t="shared" si="78"/>
        <v>爆伤</v>
      </c>
      <c r="K213" s="118">
        <f t="shared" si="79"/>
        <v>0</v>
      </c>
      <c r="L213" s="7"/>
      <c r="M213" s="119">
        <f>VLOOKUP(LEFT(RIGHT(B213,5),4),装备!B:CU,20,FALSE)</f>
        <v>0</v>
      </c>
      <c r="N213" s="136" t="s">
        <v>83</v>
      </c>
      <c r="O213" s="119" t="s">
        <v>90</v>
      </c>
      <c r="P213" s="7">
        <v>0</v>
      </c>
      <c r="Q213" s="7">
        <v>0</v>
      </c>
      <c r="R213" s="136" t="s">
        <v>83</v>
      </c>
      <c r="S213" s="136" t="s">
        <v>83</v>
      </c>
      <c r="T213" s="136" t="s">
        <v>83</v>
      </c>
      <c r="U213" s="136" t="s">
        <v>83</v>
      </c>
      <c r="V213" s="7"/>
      <c r="W213" s="7" t="s">
        <v>87</v>
      </c>
      <c r="X213" s="7">
        <v>0</v>
      </c>
      <c r="Y213" s="136" t="s">
        <v>83</v>
      </c>
      <c r="Z213" s="7">
        <v>0</v>
      </c>
      <c r="AA213" s="7">
        <v>0</v>
      </c>
      <c r="AB213" s="7">
        <v>0</v>
      </c>
      <c r="AC213" s="7">
        <v>1</v>
      </c>
      <c r="AD213" s="7">
        <v>1</v>
      </c>
      <c r="AE213" s="136" t="s">
        <v>83</v>
      </c>
      <c r="AF213" s="136" t="s">
        <v>83</v>
      </c>
      <c r="AG213" s="136" t="s">
        <v>83</v>
      </c>
      <c r="AH213" s="136" t="s">
        <v>83</v>
      </c>
      <c r="AI213" s="7">
        <v>1</v>
      </c>
      <c r="AJ213" s="7"/>
      <c r="AK213" s="7">
        <v>1</v>
      </c>
      <c r="AL213" s="7">
        <v>1</v>
      </c>
      <c r="AM213" s="136" t="s">
        <v>83</v>
      </c>
      <c r="AN213" s="7">
        <v>1</v>
      </c>
      <c r="AO213" s="7">
        <v>1</v>
      </c>
      <c r="AP213" s="7">
        <v>1</v>
      </c>
    </row>
    <row r="214" spans="1:42">
      <c r="A214" s="116"/>
      <c r="B214" s="7" t="str">
        <f>装备!B214</f>
        <v>IF15</v>
      </c>
      <c r="C214" s="7" t="s">
        <v>41</v>
      </c>
      <c r="D214" s="7" t="s">
        <v>81</v>
      </c>
      <c r="E214" s="7"/>
      <c r="F214" s="7"/>
      <c r="G214" s="7"/>
      <c r="H214" s="7" t="str">
        <f>VLOOKUP(LEFT(RIGHT(B214,5),4),装备!B:CU,2,FALSE)</f>
        <v>爆伤</v>
      </c>
      <c r="I214" s="7">
        <f>VLOOKUP(B214,装备!B:CV,99,FALSE)</f>
        <v>0</v>
      </c>
      <c r="J214" s="118" t="str">
        <f t="shared" si="78"/>
        <v>爆伤</v>
      </c>
      <c r="K214" s="118">
        <f t="shared" si="79"/>
        <v>0</v>
      </c>
      <c r="L214" s="7"/>
      <c r="M214" s="119">
        <f>VLOOKUP(LEFT(RIGHT(B214,5),4),装备!B:CU,20,FALSE)</f>
        <v>0</v>
      </c>
      <c r="N214" s="136" t="s">
        <v>83</v>
      </c>
      <c r="O214" s="119" t="s">
        <v>90</v>
      </c>
      <c r="P214" s="7">
        <v>0</v>
      </c>
      <c r="Q214" s="7">
        <v>0</v>
      </c>
      <c r="R214" s="136" t="s">
        <v>83</v>
      </c>
      <c r="S214" s="136" t="s">
        <v>83</v>
      </c>
      <c r="T214" s="136" t="s">
        <v>83</v>
      </c>
      <c r="U214" s="136" t="s">
        <v>83</v>
      </c>
      <c r="V214" s="7"/>
      <c r="W214" s="7" t="s">
        <v>87</v>
      </c>
      <c r="X214" s="7">
        <v>0</v>
      </c>
      <c r="Y214" s="136" t="s">
        <v>83</v>
      </c>
      <c r="Z214" s="7">
        <v>0</v>
      </c>
      <c r="AA214" s="7">
        <v>0</v>
      </c>
      <c r="AB214" s="7">
        <v>0</v>
      </c>
      <c r="AC214" s="7">
        <v>1</v>
      </c>
      <c r="AD214" s="7">
        <v>1</v>
      </c>
      <c r="AE214" s="136" t="s">
        <v>83</v>
      </c>
      <c r="AF214" s="136" t="s">
        <v>83</v>
      </c>
      <c r="AG214" s="136" t="s">
        <v>83</v>
      </c>
      <c r="AH214" s="136" t="s">
        <v>83</v>
      </c>
      <c r="AI214" s="7">
        <v>1</v>
      </c>
      <c r="AJ214" s="7"/>
      <c r="AK214" s="7">
        <v>1</v>
      </c>
      <c r="AL214" s="7">
        <v>1</v>
      </c>
      <c r="AM214" s="136" t="s">
        <v>83</v>
      </c>
      <c r="AN214" s="7">
        <v>1</v>
      </c>
      <c r="AO214" s="7">
        <v>1</v>
      </c>
      <c r="AP214" s="7">
        <v>1</v>
      </c>
    </row>
    <row r="215" spans="1:42">
      <c r="A215" s="116"/>
      <c r="B215" s="7" t="str">
        <f>装备!B215</f>
        <v>IF16</v>
      </c>
      <c r="C215" s="7" t="s">
        <v>41</v>
      </c>
      <c r="D215" s="7" t="s">
        <v>81</v>
      </c>
      <c r="E215" s="7"/>
      <c r="F215" s="7"/>
      <c r="G215" s="7"/>
      <c r="H215" s="7" t="str">
        <f>VLOOKUP(LEFT(RIGHT(B215,5),4),装备!B:CU,2,FALSE)</f>
        <v>冷却缩减</v>
      </c>
      <c r="I215" s="7">
        <f>VLOOKUP(B215,装备!B:CV,99,FALSE)</f>
        <v>0</v>
      </c>
      <c r="J215" s="118" t="str">
        <f t="shared" si="78"/>
        <v>冷却缩减</v>
      </c>
      <c r="K215" s="118">
        <f t="shared" si="79"/>
        <v>0</v>
      </c>
      <c r="L215" s="7"/>
      <c r="M215" s="119">
        <f>VLOOKUP(LEFT(RIGHT(B215,5),4),装备!B:CU,20,FALSE)</f>
        <v>0</v>
      </c>
      <c r="N215" s="136" t="s">
        <v>83</v>
      </c>
      <c r="O215" s="119" t="s">
        <v>90</v>
      </c>
      <c r="P215" s="7">
        <v>0</v>
      </c>
      <c r="Q215" s="7">
        <v>0</v>
      </c>
      <c r="R215" s="136" t="s">
        <v>83</v>
      </c>
      <c r="S215" s="136" t="s">
        <v>83</v>
      </c>
      <c r="T215" s="136" t="s">
        <v>83</v>
      </c>
      <c r="U215" s="136" t="s">
        <v>83</v>
      </c>
      <c r="V215" s="7"/>
      <c r="W215" s="7" t="s">
        <v>87</v>
      </c>
      <c r="X215" s="7">
        <v>0</v>
      </c>
      <c r="Y215" s="136" t="s">
        <v>83</v>
      </c>
      <c r="Z215" s="7">
        <v>0</v>
      </c>
      <c r="AA215" s="7">
        <v>0</v>
      </c>
      <c r="AB215" s="7">
        <v>0</v>
      </c>
      <c r="AC215" s="7">
        <v>1</v>
      </c>
      <c r="AD215" s="7">
        <v>1</v>
      </c>
      <c r="AE215" s="136" t="s">
        <v>83</v>
      </c>
      <c r="AF215" s="136" t="s">
        <v>83</v>
      </c>
      <c r="AG215" s="136" t="s">
        <v>83</v>
      </c>
      <c r="AH215" s="136" t="s">
        <v>83</v>
      </c>
      <c r="AI215" s="7">
        <v>1</v>
      </c>
      <c r="AJ215" s="7"/>
      <c r="AK215" s="7">
        <v>1</v>
      </c>
      <c r="AL215" s="7">
        <v>1</v>
      </c>
      <c r="AM215" s="136" t="s">
        <v>83</v>
      </c>
      <c r="AN215" s="7">
        <v>1</v>
      </c>
      <c r="AO215" s="7">
        <v>1</v>
      </c>
      <c r="AP215" s="7">
        <v>1</v>
      </c>
    </row>
    <row r="216" spans="1:42">
      <c r="A216" s="116"/>
      <c r="B216" s="7" t="str">
        <f>装备!B216</f>
        <v>IF17</v>
      </c>
      <c r="C216" s="7" t="s">
        <v>41</v>
      </c>
      <c r="D216" s="7" t="s">
        <v>81</v>
      </c>
      <c r="E216" s="7"/>
      <c r="F216" s="7"/>
      <c r="G216" s="7"/>
      <c r="H216" s="7" t="str">
        <f>VLOOKUP(LEFT(RIGHT(B216,5),4),装备!B:CU,2,FALSE)</f>
        <v>冷却缩减</v>
      </c>
      <c r="I216" s="7">
        <f>VLOOKUP(B216,装备!B:CV,99,FALSE)</f>
        <v>0</v>
      </c>
      <c r="J216" s="118" t="str">
        <f t="shared" si="78"/>
        <v>冷却缩减</v>
      </c>
      <c r="K216" s="118">
        <f t="shared" si="79"/>
        <v>0</v>
      </c>
      <c r="L216" s="7"/>
      <c r="M216" s="119">
        <f>VLOOKUP(LEFT(RIGHT(B216,5),4),装备!B:CU,20,FALSE)</f>
        <v>0</v>
      </c>
      <c r="N216" s="136" t="s">
        <v>83</v>
      </c>
      <c r="O216" s="119" t="s">
        <v>90</v>
      </c>
      <c r="P216" s="7">
        <v>0</v>
      </c>
      <c r="Q216" s="7">
        <v>0</v>
      </c>
      <c r="R216" s="136" t="s">
        <v>83</v>
      </c>
      <c r="S216" s="136" t="s">
        <v>83</v>
      </c>
      <c r="T216" s="136" t="s">
        <v>83</v>
      </c>
      <c r="U216" s="136" t="s">
        <v>83</v>
      </c>
      <c r="V216" s="7"/>
      <c r="W216" s="7" t="s">
        <v>87</v>
      </c>
      <c r="X216" s="7">
        <v>0</v>
      </c>
      <c r="Y216" s="136" t="s">
        <v>83</v>
      </c>
      <c r="Z216" s="7">
        <v>0</v>
      </c>
      <c r="AA216" s="7">
        <v>0</v>
      </c>
      <c r="AB216" s="7">
        <v>0</v>
      </c>
      <c r="AC216" s="7">
        <v>1</v>
      </c>
      <c r="AD216" s="7">
        <v>1</v>
      </c>
      <c r="AE216" s="136" t="s">
        <v>83</v>
      </c>
      <c r="AF216" s="136" t="s">
        <v>83</v>
      </c>
      <c r="AG216" s="136" t="s">
        <v>83</v>
      </c>
      <c r="AH216" s="136" t="s">
        <v>83</v>
      </c>
      <c r="AI216" s="7">
        <v>1</v>
      </c>
      <c r="AJ216" s="7"/>
      <c r="AK216" s="7">
        <v>1</v>
      </c>
      <c r="AL216" s="7">
        <v>1</v>
      </c>
      <c r="AM216" s="136" t="s">
        <v>83</v>
      </c>
      <c r="AN216" s="7">
        <v>1</v>
      </c>
      <c r="AO216" s="7">
        <v>1</v>
      </c>
      <c r="AP216" s="7">
        <v>1</v>
      </c>
    </row>
    <row r="217" spans="1:42">
      <c r="A217" s="116"/>
      <c r="B217" s="7" t="str">
        <f>装备!B217</f>
        <v>IF18</v>
      </c>
      <c r="C217" s="7" t="s">
        <v>41</v>
      </c>
      <c r="D217" s="7" t="s">
        <v>81</v>
      </c>
      <c r="E217" s="7"/>
      <c r="F217" s="7"/>
      <c r="G217" s="7"/>
      <c r="H217" s="7" t="str">
        <f>VLOOKUP(LEFT(RIGHT(B217,5),4),装备!B:CU,2,FALSE)</f>
        <v>攻击速度</v>
      </c>
      <c r="I217" s="7">
        <f>VLOOKUP(B217,装备!B:CV,99,FALSE)</f>
        <v>0</v>
      </c>
      <c r="J217" s="118" t="str">
        <f t="shared" si="78"/>
        <v>攻击速度</v>
      </c>
      <c r="K217" s="118">
        <f t="shared" si="79"/>
        <v>0</v>
      </c>
      <c r="L217" s="7"/>
      <c r="M217" s="119">
        <f>VLOOKUP(LEFT(RIGHT(B217,5),4),装备!B:CU,20,FALSE)</f>
        <v>0</v>
      </c>
      <c r="N217" s="136" t="s">
        <v>83</v>
      </c>
      <c r="O217" s="119" t="s">
        <v>90</v>
      </c>
      <c r="P217" s="7">
        <v>0</v>
      </c>
      <c r="Q217" s="7">
        <v>0</v>
      </c>
      <c r="R217" s="136" t="s">
        <v>83</v>
      </c>
      <c r="S217" s="136" t="s">
        <v>83</v>
      </c>
      <c r="T217" s="136" t="s">
        <v>83</v>
      </c>
      <c r="U217" s="136" t="s">
        <v>83</v>
      </c>
      <c r="V217" s="7"/>
      <c r="W217" s="7" t="s">
        <v>87</v>
      </c>
      <c r="X217" s="7">
        <v>0</v>
      </c>
      <c r="Y217" s="136" t="s">
        <v>83</v>
      </c>
      <c r="Z217" s="7">
        <v>0</v>
      </c>
      <c r="AA217" s="7">
        <v>0</v>
      </c>
      <c r="AB217" s="7">
        <v>0</v>
      </c>
      <c r="AC217" s="7">
        <v>1</v>
      </c>
      <c r="AD217" s="7">
        <v>1</v>
      </c>
      <c r="AE217" s="136" t="s">
        <v>83</v>
      </c>
      <c r="AF217" s="136" t="s">
        <v>83</v>
      </c>
      <c r="AG217" s="136" t="s">
        <v>83</v>
      </c>
      <c r="AH217" s="136" t="s">
        <v>83</v>
      </c>
      <c r="AI217" s="7">
        <v>1</v>
      </c>
      <c r="AJ217" s="7"/>
      <c r="AK217" s="7">
        <v>1</v>
      </c>
      <c r="AL217" s="7">
        <v>1</v>
      </c>
      <c r="AM217" s="136" t="s">
        <v>83</v>
      </c>
      <c r="AN217" s="7">
        <v>1</v>
      </c>
      <c r="AO217" s="7">
        <v>1</v>
      </c>
      <c r="AP217" s="7">
        <v>1</v>
      </c>
    </row>
    <row r="218" spans="1:42">
      <c r="A218" s="116"/>
      <c r="B218" s="7" t="str">
        <f>装备!B218</f>
        <v>IF19</v>
      </c>
      <c r="C218" s="7" t="s">
        <v>41</v>
      </c>
      <c r="D218" s="7" t="s">
        <v>81</v>
      </c>
      <c r="E218" s="7"/>
      <c r="F218" s="7"/>
      <c r="G218" s="7"/>
      <c r="H218" s="7" t="str">
        <f>VLOOKUP(LEFT(RIGHT(B218,5),4),装备!B:CU,2,FALSE)</f>
        <v>攻击速度</v>
      </c>
      <c r="I218" s="7">
        <f>VLOOKUP(B218,装备!B:CV,99,FALSE)</f>
        <v>0</v>
      </c>
      <c r="J218" s="118" t="str">
        <f t="shared" si="78"/>
        <v>攻击速度</v>
      </c>
      <c r="K218" s="118">
        <f t="shared" si="79"/>
        <v>0</v>
      </c>
      <c r="L218" s="7"/>
      <c r="M218" s="119">
        <f>VLOOKUP(LEFT(RIGHT(B218,5),4),装备!B:CU,20,FALSE)</f>
        <v>0</v>
      </c>
      <c r="N218" s="136" t="s">
        <v>83</v>
      </c>
      <c r="O218" s="119" t="s">
        <v>90</v>
      </c>
      <c r="P218" s="7">
        <v>0</v>
      </c>
      <c r="Q218" s="7">
        <v>0</v>
      </c>
      <c r="R218" s="136" t="s">
        <v>83</v>
      </c>
      <c r="S218" s="136" t="s">
        <v>83</v>
      </c>
      <c r="T218" s="136" t="s">
        <v>83</v>
      </c>
      <c r="U218" s="136" t="s">
        <v>83</v>
      </c>
      <c r="V218" s="7"/>
      <c r="W218" s="7" t="s">
        <v>87</v>
      </c>
      <c r="X218" s="7">
        <v>0</v>
      </c>
      <c r="Y218" s="136" t="s">
        <v>83</v>
      </c>
      <c r="Z218" s="7">
        <v>0</v>
      </c>
      <c r="AA218" s="7">
        <v>0</v>
      </c>
      <c r="AB218" s="7">
        <v>0</v>
      </c>
      <c r="AC218" s="7">
        <v>1</v>
      </c>
      <c r="AD218" s="7">
        <v>1</v>
      </c>
      <c r="AE218" s="136" t="s">
        <v>83</v>
      </c>
      <c r="AF218" s="136" t="s">
        <v>83</v>
      </c>
      <c r="AG218" s="136" t="s">
        <v>83</v>
      </c>
      <c r="AH218" s="136" t="s">
        <v>83</v>
      </c>
      <c r="AI218" s="7">
        <v>1</v>
      </c>
      <c r="AJ218" s="7"/>
      <c r="AK218" s="7">
        <v>1</v>
      </c>
      <c r="AL218" s="7">
        <v>1</v>
      </c>
      <c r="AM218" s="136" t="s">
        <v>83</v>
      </c>
      <c r="AN218" s="7">
        <v>1</v>
      </c>
      <c r="AO218" s="7">
        <v>1</v>
      </c>
      <c r="AP218" s="7">
        <v>1</v>
      </c>
    </row>
    <row r="219" spans="1:42">
      <c r="A219" s="116"/>
      <c r="B219" s="7" t="str">
        <f>装备!B219</f>
        <v>IF20</v>
      </c>
      <c r="C219" s="7" t="s">
        <v>41</v>
      </c>
      <c r="D219" s="7" t="s">
        <v>81</v>
      </c>
      <c r="E219" s="7"/>
      <c r="F219" s="7"/>
      <c r="G219" s="7"/>
      <c r="H219" s="7" t="str">
        <f>VLOOKUP(LEFT(RIGHT(B219,5),4),装备!B:CU,2,FALSE)</f>
        <v>普攻伤害</v>
      </c>
      <c r="I219" s="7">
        <f>VLOOKUP(B219,装备!B:CV,99,FALSE)</f>
        <v>0</v>
      </c>
      <c r="J219" s="118" t="str">
        <f t="shared" si="78"/>
        <v>普攻伤害</v>
      </c>
      <c r="K219" s="118">
        <f t="shared" si="79"/>
        <v>0</v>
      </c>
      <c r="L219" s="7"/>
      <c r="M219" s="119">
        <f>VLOOKUP(LEFT(RIGHT(B219,5),4),装备!B:CU,20,FALSE)</f>
        <v>0</v>
      </c>
      <c r="N219" s="136" t="s">
        <v>83</v>
      </c>
      <c r="O219" s="119" t="s">
        <v>90</v>
      </c>
      <c r="P219" s="7">
        <v>0</v>
      </c>
      <c r="Q219" s="7">
        <v>0</v>
      </c>
      <c r="R219" s="136" t="s">
        <v>83</v>
      </c>
      <c r="S219" s="136" t="s">
        <v>83</v>
      </c>
      <c r="T219" s="136" t="s">
        <v>83</v>
      </c>
      <c r="U219" s="136" t="s">
        <v>83</v>
      </c>
      <c r="V219" s="7"/>
      <c r="W219" s="7" t="s">
        <v>87</v>
      </c>
      <c r="X219" s="7">
        <v>0</v>
      </c>
      <c r="Y219" s="136" t="s">
        <v>83</v>
      </c>
      <c r="Z219" s="7">
        <v>0</v>
      </c>
      <c r="AA219" s="7">
        <v>0</v>
      </c>
      <c r="AB219" s="7">
        <v>0</v>
      </c>
      <c r="AC219" s="7">
        <v>1</v>
      </c>
      <c r="AD219" s="7">
        <v>1</v>
      </c>
      <c r="AE219" s="136" t="s">
        <v>83</v>
      </c>
      <c r="AF219" s="136" t="s">
        <v>83</v>
      </c>
      <c r="AG219" s="136" t="s">
        <v>83</v>
      </c>
      <c r="AH219" s="136" t="s">
        <v>83</v>
      </c>
      <c r="AI219" s="7">
        <v>1</v>
      </c>
      <c r="AJ219" s="7"/>
      <c r="AK219" s="7">
        <v>1</v>
      </c>
      <c r="AL219" s="7">
        <v>1</v>
      </c>
      <c r="AM219" s="136" t="s">
        <v>83</v>
      </c>
      <c r="AN219" s="7">
        <v>1</v>
      </c>
      <c r="AO219" s="7">
        <v>1</v>
      </c>
      <c r="AP219" s="7">
        <v>1</v>
      </c>
    </row>
    <row r="220" spans="1:42">
      <c r="A220" s="116"/>
      <c r="B220" s="7" t="str">
        <f>装备!B220</f>
        <v>IF21</v>
      </c>
      <c r="C220" s="7" t="s">
        <v>41</v>
      </c>
      <c r="D220" s="7" t="s">
        <v>81</v>
      </c>
      <c r="E220" s="7"/>
      <c r="F220" s="7"/>
      <c r="G220" s="7"/>
      <c r="H220" s="7" t="str">
        <f>VLOOKUP(LEFT(RIGHT(B220,5),4),装备!B:CU,2,FALSE)</f>
        <v>普攻伤害</v>
      </c>
      <c r="I220" s="7">
        <f>VLOOKUP(B220,装备!B:CV,99,FALSE)</f>
        <v>0</v>
      </c>
      <c r="J220" s="118" t="str">
        <f t="shared" si="78"/>
        <v>普攻伤害</v>
      </c>
      <c r="K220" s="118">
        <f t="shared" si="79"/>
        <v>0</v>
      </c>
      <c r="L220" s="7"/>
      <c r="M220" s="119">
        <f>VLOOKUP(LEFT(RIGHT(B220,5),4),装备!B:CU,20,FALSE)</f>
        <v>0</v>
      </c>
      <c r="N220" s="136" t="s">
        <v>83</v>
      </c>
      <c r="O220" s="119" t="s">
        <v>90</v>
      </c>
      <c r="P220" s="7">
        <v>0</v>
      </c>
      <c r="Q220" s="7">
        <v>0</v>
      </c>
      <c r="R220" s="136" t="s">
        <v>83</v>
      </c>
      <c r="S220" s="136" t="s">
        <v>83</v>
      </c>
      <c r="T220" s="136" t="s">
        <v>83</v>
      </c>
      <c r="U220" s="136" t="s">
        <v>83</v>
      </c>
      <c r="V220" s="7"/>
      <c r="W220" s="7" t="s">
        <v>87</v>
      </c>
      <c r="X220" s="7">
        <v>0</v>
      </c>
      <c r="Y220" s="136" t="s">
        <v>83</v>
      </c>
      <c r="Z220" s="7">
        <v>0</v>
      </c>
      <c r="AA220" s="7">
        <v>0</v>
      </c>
      <c r="AB220" s="7">
        <v>0</v>
      </c>
      <c r="AC220" s="7">
        <v>1</v>
      </c>
      <c r="AD220" s="7">
        <v>1</v>
      </c>
      <c r="AE220" s="136" t="s">
        <v>83</v>
      </c>
      <c r="AF220" s="136" t="s">
        <v>83</v>
      </c>
      <c r="AG220" s="136" t="s">
        <v>83</v>
      </c>
      <c r="AH220" s="136" t="s">
        <v>83</v>
      </c>
      <c r="AI220" s="7">
        <v>1</v>
      </c>
      <c r="AJ220" s="7"/>
      <c r="AK220" s="7">
        <v>1</v>
      </c>
      <c r="AL220" s="7">
        <v>1</v>
      </c>
      <c r="AM220" s="136" t="s">
        <v>83</v>
      </c>
      <c r="AN220" s="7">
        <v>1</v>
      </c>
      <c r="AO220" s="7">
        <v>1</v>
      </c>
      <c r="AP220" s="7">
        <v>1</v>
      </c>
    </row>
    <row r="221" spans="1:42">
      <c r="A221" s="116"/>
      <c r="B221" s="7" t="str">
        <f>装备!B221</f>
        <v>IF22</v>
      </c>
      <c r="C221" s="7" t="s">
        <v>41</v>
      </c>
      <c r="D221" s="7" t="s">
        <v>81</v>
      </c>
      <c r="E221" s="7"/>
      <c r="F221" s="7"/>
      <c r="G221" s="7"/>
      <c r="H221" s="7" t="str">
        <f>VLOOKUP(LEFT(RIGHT(B221,5),4),装备!B:CU,2,FALSE)</f>
        <v>回蓝</v>
      </c>
      <c r="I221" s="7">
        <f>VLOOKUP(B221,装备!B:CV,99,FALSE)</f>
        <v>0</v>
      </c>
      <c r="J221" s="118" t="str">
        <f t="shared" si="78"/>
        <v>回蓝</v>
      </c>
      <c r="K221" s="118">
        <f t="shared" si="79"/>
        <v>0</v>
      </c>
      <c r="L221" s="7"/>
      <c r="M221" s="119">
        <f>VLOOKUP(LEFT(RIGHT(B221,5),4),装备!B:CU,20,FALSE)</f>
        <v>0</v>
      </c>
      <c r="N221" s="136" t="s">
        <v>83</v>
      </c>
      <c r="O221" s="119" t="s">
        <v>90</v>
      </c>
      <c r="P221" s="7">
        <v>0</v>
      </c>
      <c r="Q221" s="7">
        <v>0</v>
      </c>
      <c r="R221" s="136" t="s">
        <v>83</v>
      </c>
      <c r="S221" s="136" t="s">
        <v>83</v>
      </c>
      <c r="T221" s="136" t="s">
        <v>83</v>
      </c>
      <c r="U221" s="136" t="s">
        <v>83</v>
      </c>
      <c r="V221" s="7"/>
      <c r="W221" s="7" t="s">
        <v>87</v>
      </c>
      <c r="X221" s="7">
        <v>0</v>
      </c>
      <c r="Y221" s="136" t="s">
        <v>83</v>
      </c>
      <c r="Z221" s="7">
        <v>0</v>
      </c>
      <c r="AA221" s="7">
        <v>0</v>
      </c>
      <c r="AB221" s="7">
        <v>0</v>
      </c>
      <c r="AC221" s="7">
        <v>1</v>
      </c>
      <c r="AD221" s="7">
        <v>1</v>
      </c>
      <c r="AE221" s="136" t="s">
        <v>83</v>
      </c>
      <c r="AF221" s="136" t="s">
        <v>83</v>
      </c>
      <c r="AG221" s="136" t="s">
        <v>83</v>
      </c>
      <c r="AH221" s="136" t="s">
        <v>83</v>
      </c>
      <c r="AI221" s="7">
        <v>1</v>
      </c>
      <c r="AJ221" s="7"/>
      <c r="AK221" s="7">
        <v>1</v>
      </c>
      <c r="AL221" s="7">
        <v>1</v>
      </c>
      <c r="AM221" s="136" t="s">
        <v>83</v>
      </c>
      <c r="AN221" s="7">
        <v>1</v>
      </c>
      <c r="AO221" s="7">
        <v>1</v>
      </c>
      <c r="AP221" s="7">
        <v>1</v>
      </c>
    </row>
    <row r="222" spans="1:42">
      <c r="A222" s="116"/>
      <c r="B222" s="7" t="str">
        <f>装备!B222</f>
        <v>IF23</v>
      </c>
      <c r="C222" s="7" t="s">
        <v>41</v>
      </c>
      <c r="D222" s="7" t="s">
        <v>81</v>
      </c>
      <c r="E222" s="7"/>
      <c r="F222" s="7"/>
      <c r="G222" s="7"/>
      <c r="H222" s="7" t="str">
        <f>VLOOKUP(LEFT(RIGHT(B222,5),4),装备!B:CU,2,FALSE)</f>
        <v>回蓝</v>
      </c>
      <c r="I222" s="7">
        <f>VLOOKUP(B222,装备!B:CV,99,FALSE)</f>
        <v>0</v>
      </c>
      <c r="J222" s="118" t="str">
        <f t="shared" si="78"/>
        <v>回蓝</v>
      </c>
      <c r="K222" s="118">
        <f t="shared" si="79"/>
        <v>0</v>
      </c>
      <c r="L222" s="7"/>
      <c r="M222" s="119">
        <f>VLOOKUP(LEFT(RIGHT(B222,5),4),装备!B:CU,20,FALSE)</f>
        <v>0</v>
      </c>
      <c r="N222" s="136" t="s">
        <v>83</v>
      </c>
      <c r="O222" s="119" t="s">
        <v>90</v>
      </c>
      <c r="P222" s="7">
        <v>0</v>
      </c>
      <c r="Q222" s="7">
        <v>0</v>
      </c>
      <c r="R222" s="136" t="s">
        <v>83</v>
      </c>
      <c r="S222" s="136" t="s">
        <v>83</v>
      </c>
      <c r="T222" s="136" t="s">
        <v>83</v>
      </c>
      <c r="U222" s="136" t="s">
        <v>83</v>
      </c>
      <c r="V222" s="7"/>
      <c r="W222" s="7" t="s">
        <v>87</v>
      </c>
      <c r="X222" s="7">
        <v>0</v>
      </c>
      <c r="Y222" s="136" t="s">
        <v>83</v>
      </c>
      <c r="Z222" s="7">
        <v>0</v>
      </c>
      <c r="AA222" s="7">
        <v>0</v>
      </c>
      <c r="AB222" s="7">
        <v>0</v>
      </c>
      <c r="AC222" s="7">
        <v>1</v>
      </c>
      <c r="AD222" s="7">
        <v>1</v>
      </c>
      <c r="AE222" s="136" t="s">
        <v>83</v>
      </c>
      <c r="AF222" s="136" t="s">
        <v>83</v>
      </c>
      <c r="AG222" s="136" t="s">
        <v>83</v>
      </c>
      <c r="AH222" s="136" t="s">
        <v>83</v>
      </c>
      <c r="AI222" s="7">
        <v>1</v>
      </c>
      <c r="AJ222" s="7"/>
      <c r="AK222" s="7">
        <v>1</v>
      </c>
      <c r="AL222" s="7">
        <v>1</v>
      </c>
      <c r="AM222" s="136" t="s">
        <v>83</v>
      </c>
      <c r="AN222" s="7">
        <v>1</v>
      </c>
      <c r="AO222" s="7">
        <v>1</v>
      </c>
      <c r="AP222" s="7">
        <v>1</v>
      </c>
    </row>
    <row r="223" spans="1:42">
      <c r="A223" s="116"/>
      <c r="B223" s="7" t="str">
        <f>装备!B223</f>
        <v>IF24</v>
      </c>
      <c r="C223" s="7" t="s">
        <v>41</v>
      </c>
      <c r="D223" s="7" t="s">
        <v>81</v>
      </c>
      <c r="E223" s="7"/>
      <c r="F223" s="7"/>
      <c r="G223" s="7"/>
      <c r="H223" s="7" t="str">
        <f>VLOOKUP(LEFT(RIGHT(B223,5),4),装备!B:CU,2,FALSE)</f>
        <v>生命回复</v>
      </c>
      <c r="I223" s="7">
        <f>VLOOKUP(B223,装备!B:CV,99,FALSE)</f>
        <v>0</v>
      </c>
      <c r="J223" s="118" t="str">
        <f t="shared" si="78"/>
        <v>生命回复</v>
      </c>
      <c r="K223" s="118">
        <f t="shared" si="79"/>
        <v>0</v>
      </c>
      <c r="L223" s="7"/>
      <c r="M223" s="119">
        <f>VLOOKUP(LEFT(RIGHT(B223,5),4),装备!B:CU,20,FALSE)</f>
        <v>0</v>
      </c>
      <c r="N223" s="136" t="s">
        <v>83</v>
      </c>
      <c r="O223" s="119" t="s">
        <v>90</v>
      </c>
      <c r="P223" s="7">
        <v>0</v>
      </c>
      <c r="Q223" s="7">
        <v>0</v>
      </c>
      <c r="R223" s="136" t="s">
        <v>83</v>
      </c>
      <c r="S223" s="136" t="s">
        <v>83</v>
      </c>
      <c r="T223" s="136" t="s">
        <v>83</v>
      </c>
      <c r="U223" s="136" t="s">
        <v>83</v>
      </c>
      <c r="V223" s="7"/>
      <c r="W223" s="7" t="s">
        <v>87</v>
      </c>
      <c r="X223" s="7">
        <v>0</v>
      </c>
      <c r="Y223" s="136" t="s">
        <v>83</v>
      </c>
      <c r="Z223" s="7">
        <v>0</v>
      </c>
      <c r="AA223" s="7">
        <v>0</v>
      </c>
      <c r="AB223" s="7">
        <v>0</v>
      </c>
      <c r="AC223" s="7">
        <v>1</v>
      </c>
      <c r="AD223" s="7">
        <v>1</v>
      </c>
      <c r="AE223" s="136" t="s">
        <v>83</v>
      </c>
      <c r="AF223" s="136" t="s">
        <v>83</v>
      </c>
      <c r="AG223" s="136" t="s">
        <v>83</v>
      </c>
      <c r="AH223" s="136" t="s">
        <v>83</v>
      </c>
      <c r="AI223" s="7">
        <v>1</v>
      </c>
      <c r="AJ223" s="7"/>
      <c r="AK223" s="7">
        <v>1</v>
      </c>
      <c r="AL223" s="7">
        <v>1</v>
      </c>
      <c r="AM223" s="136" t="s">
        <v>83</v>
      </c>
      <c r="AN223" s="7">
        <v>1</v>
      </c>
      <c r="AO223" s="7">
        <v>1</v>
      </c>
      <c r="AP223" s="7">
        <v>1</v>
      </c>
    </row>
    <row r="224" spans="1:42">
      <c r="A224" s="116"/>
      <c r="B224" s="7" t="str">
        <f>装备!B224</f>
        <v>IF25</v>
      </c>
      <c r="C224" s="7" t="s">
        <v>41</v>
      </c>
      <c r="D224" s="7" t="s">
        <v>81</v>
      </c>
      <c r="E224" s="7"/>
      <c r="F224" s="7"/>
      <c r="G224" s="7"/>
      <c r="H224" s="7" t="str">
        <f>VLOOKUP(LEFT(RIGHT(B224,5),4),装备!B:CU,2,FALSE)</f>
        <v>伤害吸血</v>
      </c>
      <c r="I224" s="7">
        <f>VLOOKUP(B224,装备!B:CV,99,FALSE)</f>
        <v>0</v>
      </c>
      <c r="J224" s="118" t="str">
        <f t="shared" si="78"/>
        <v>伤害吸血</v>
      </c>
      <c r="K224" s="118">
        <f t="shared" si="79"/>
        <v>0</v>
      </c>
      <c r="L224" s="7"/>
      <c r="M224" s="119">
        <f>VLOOKUP(LEFT(RIGHT(B224,5),4),装备!B:CU,20,FALSE)</f>
        <v>0</v>
      </c>
      <c r="N224" s="136" t="s">
        <v>83</v>
      </c>
      <c r="O224" s="119" t="s">
        <v>90</v>
      </c>
      <c r="P224" s="7">
        <v>0</v>
      </c>
      <c r="Q224" s="7">
        <v>0</v>
      </c>
      <c r="R224" s="136" t="s">
        <v>83</v>
      </c>
      <c r="S224" s="136" t="s">
        <v>83</v>
      </c>
      <c r="T224" s="136" t="s">
        <v>83</v>
      </c>
      <c r="U224" s="136" t="s">
        <v>83</v>
      </c>
      <c r="V224" s="7"/>
      <c r="W224" s="7" t="s">
        <v>87</v>
      </c>
      <c r="X224" s="7">
        <v>0</v>
      </c>
      <c r="Y224" s="136" t="s">
        <v>83</v>
      </c>
      <c r="Z224" s="7">
        <v>0</v>
      </c>
      <c r="AA224" s="7">
        <v>0</v>
      </c>
      <c r="AB224" s="7">
        <v>0</v>
      </c>
      <c r="AC224" s="7">
        <v>1</v>
      </c>
      <c r="AD224" s="7">
        <v>1</v>
      </c>
      <c r="AE224" s="136" t="s">
        <v>83</v>
      </c>
      <c r="AF224" s="136" t="s">
        <v>83</v>
      </c>
      <c r="AG224" s="136" t="s">
        <v>83</v>
      </c>
      <c r="AH224" s="136" t="s">
        <v>83</v>
      </c>
      <c r="AI224" s="7">
        <v>1</v>
      </c>
      <c r="AJ224" s="7"/>
      <c r="AK224" s="7">
        <v>1</v>
      </c>
      <c r="AL224" s="7">
        <v>1</v>
      </c>
      <c r="AM224" s="136" t="s">
        <v>83</v>
      </c>
      <c r="AN224" s="7">
        <v>1</v>
      </c>
      <c r="AO224" s="7">
        <v>1</v>
      </c>
      <c r="AP224" s="7">
        <v>1</v>
      </c>
    </row>
    <row r="225" spans="1:42">
      <c r="A225" s="116"/>
      <c r="B225" s="7" t="str">
        <f>装备!B225</f>
        <v>IF26</v>
      </c>
      <c r="C225" s="7" t="s">
        <v>41</v>
      </c>
      <c r="D225" s="7" t="s">
        <v>81</v>
      </c>
      <c r="E225" s="7"/>
      <c r="F225" s="7"/>
      <c r="G225" s="7"/>
      <c r="H225" s="7" t="str">
        <f>VLOOKUP(LEFT(RIGHT(B225,5),4),装备!B:CU,2,FALSE)</f>
        <v>闪避</v>
      </c>
      <c r="I225" s="7">
        <f>VLOOKUP(B225,装备!B:CV,99,FALSE)</f>
        <v>0</v>
      </c>
      <c r="J225" s="118" t="str">
        <f t="shared" si="78"/>
        <v>闪避</v>
      </c>
      <c r="K225" s="118">
        <f t="shared" si="79"/>
        <v>0</v>
      </c>
      <c r="L225" s="7"/>
      <c r="M225" s="119">
        <f>VLOOKUP(LEFT(RIGHT(B225,5),4),装备!B:CU,20,FALSE)</f>
        <v>0</v>
      </c>
      <c r="N225" s="136" t="s">
        <v>83</v>
      </c>
      <c r="O225" s="119" t="s">
        <v>90</v>
      </c>
      <c r="P225" s="7">
        <v>0</v>
      </c>
      <c r="Q225" s="7">
        <v>0</v>
      </c>
      <c r="R225" s="136" t="s">
        <v>83</v>
      </c>
      <c r="S225" s="136" t="s">
        <v>83</v>
      </c>
      <c r="T225" s="136" t="s">
        <v>83</v>
      </c>
      <c r="U225" s="136" t="s">
        <v>83</v>
      </c>
      <c r="V225" s="7"/>
      <c r="W225" s="7" t="s">
        <v>87</v>
      </c>
      <c r="X225" s="7">
        <v>0</v>
      </c>
      <c r="Y225" s="136" t="s">
        <v>83</v>
      </c>
      <c r="Z225" s="7">
        <v>0</v>
      </c>
      <c r="AA225" s="7">
        <v>0</v>
      </c>
      <c r="AB225" s="7">
        <v>0</v>
      </c>
      <c r="AC225" s="7">
        <v>1</v>
      </c>
      <c r="AD225" s="7">
        <v>1</v>
      </c>
      <c r="AE225" s="136" t="s">
        <v>83</v>
      </c>
      <c r="AF225" s="136" t="s">
        <v>83</v>
      </c>
      <c r="AG225" s="136" t="s">
        <v>83</v>
      </c>
      <c r="AH225" s="136" t="s">
        <v>83</v>
      </c>
      <c r="AI225" s="7">
        <v>1</v>
      </c>
      <c r="AJ225" s="7"/>
      <c r="AK225" s="7">
        <v>1</v>
      </c>
      <c r="AL225" s="7">
        <v>1</v>
      </c>
      <c r="AM225" s="136" t="s">
        <v>83</v>
      </c>
      <c r="AN225" s="7">
        <v>1</v>
      </c>
      <c r="AO225" s="7">
        <v>1</v>
      </c>
      <c r="AP225" s="7">
        <v>1</v>
      </c>
    </row>
    <row r="226" spans="1:42">
      <c r="A226" s="116"/>
      <c r="B226" s="7" t="str">
        <f>装备!B226</f>
        <v>IF27</v>
      </c>
      <c r="C226" s="7" t="s">
        <v>41</v>
      </c>
      <c r="D226" s="7" t="s">
        <v>81</v>
      </c>
      <c r="E226" s="7"/>
      <c r="F226" s="7"/>
      <c r="G226" s="7"/>
      <c r="H226" s="7" t="str">
        <f>VLOOKUP(LEFT(RIGHT(B226,5),4),装备!B:CU,2,FALSE)</f>
        <v>伤害减免</v>
      </c>
      <c r="I226" s="7">
        <f>VLOOKUP(B226,装备!B:CV,99,FALSE)</f>
        <v>0</v>
      </c>
      <c r="J226" s="118" t="str">
        <f t="shared" si="78"/>
        <v>伤害减免</v>
      </c>
      <c r="K226" s="118">
        <f t="shared" si="79"/>
        <v>0</v>
      </c>
      <c r="L226" s="7"/>
      <c r="M226" s="119">
        <f>VLOOKUP(LEFT(RIGHT(B226,5),4),装备!B:CU,20,FALSE)</f>
        <v>0</v>
      </c>
      <c r="N226" s="136" t="s">
        <v>83</v>
      </c>
      <c r="O226" s="119" t="s">
        <v>90</v>
      </c>
      <c r="P226" s="7">
        <v>0</v>
      </c>
      <c r="Q226" s="7">
        <v>0</v>
      </c>
      <c r="R226" s="136" t="s">
        <v>83</v>
      </c>
      <c r="S226" s="136" t="s">
        <v>83</v>
      </c>
      <c r="T226" s="136" t="s">
        <v>83</v>
      </c>
      <c r="U226" s="136" t="s">
        <v>83</v>
      </c>
      <c r="V226" s="7"/>
      <c r="W226" s="7" t="s">
        <v>87</v>
      </c>
      <c r="X226" s="7">
        <v>0</v>
      </c>
      <c r="Y226" s="136" t="s">
        <v>83</v>
      </c>
      <c r="Z226" s="7">
        <v>0</v>
      </c>
      <c r="AA226" s="7">
        <v>0</v>
      </c>
      <c r="AB226" s="7">
        <v>0</v>
      </c>
      <c r="AC226" s="7">
        <v>1</v>
      </c>
      <c r="AD226" s="7">
        <v>1</v>
      </c>
      <c r="AE226" s="136" t="s">
        <v>83</v>
      </c>
      <c r="AF226" s="136" t="s">
        <v>83</v>
      </c>
      <c r="AG226" s="136" t="s">
        <v>83</v>
      </c>
      <c r="AH226" s="136" t="s">
        <v>83</v>
      </c>
      <c r="AI226" s="7">
        <v>1</v>
      </c>
      <c r="AJ226" s="7"/>
      <c r="AK226" s="7">
        <v>1</v>
      </c>
      <c r="AL226" s="7">
        <v>1</v>
      </c>
      <c r="AM226" s="136" t="s">
        <v>83</v>
      </c>
      <c r="AN226" s="7">
        <v>1</v>
      </c>
      <c r="AO226" s="7">
        <v>1</v>
      </c>
      <c r="AP226" s="7">
        <v>1</v>
      </c>
    </row>
    <row r="227" spans="1:42">
      <c r="A227" s="116"/>
      <c r="B227" s="7"/>
      <c r="C227" s="7"/>
      <c r="D227" s="7"/>
      <c r="E227" s="7"/>
      <c r="F227" s="7"/>
      <c r="G227" s="7"/>
      <c r="H227" s="7"/>
      <c r="I227" s="7"/>
      <c r="J227" s="118"/>
      <c r="K227" s="118"/>
      <c r="L227" s="7"/>
      <c r="M227" s="119"/>
      <c r="N227" s="7"/>
      <c r="O227" s="119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</row>
    <row r="228" spans="1:42">
      <c r="A228" s="116"/>
      <c r="B228" s="7"/>
      <c r="C228" s="7"/>
      <c r="D228" s="7"/>
      <c r="E228" s="7"/>
      <c r="F228" s="7"/>
      <c r="G228" s="7"/>
      <c r="H228" s="7"/>
      <c r="I228" s="7"/>
      <c r="J228" s="118"/>
      <c r="K228" s="118"/>
      <c r="L228" s="7"/>
      <c r="M228" s="119"/>
      <c r="N228" s="7"/>
      <c r="O228" s="119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</row>
    <row r="229" spans="1:42">
      <c r="A229" s="116"/>
      <c r="B229" s="7"/>
      <c r="C229" s="7"/>
      <c r="D229" s="7"/>
      <c r="E229" s="7"/>
      <c r="F229" s="7"/>
      <c r="G229" s="7"/>
      <c r="H229" s="7"/>
      <c r="I229" s="7"/>
      <c r="J229" s="118"/>
      <c r="K229" s="118"/>
      <c r="L229" s="7"/>
      <c r="M229" s="119"/>
      <c r="N229" s="7"/>
      <c r="O229" s="119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</row>
    <row r="230" spans="1:42">
      <c r="A230" s="116"/>
      <c r="B230" s="7"/>
      <c r="C230" s="7"/>
      <c r="D230" s="7"/>
      <c r="E230" s="7"/>
      <c r="F230" s="7"/>
      <c r="G230" s="7"/>
      <c r="H230" s="7"/>
      <c r="I230" s="7"/>
      <c r="J230" s="118"/>
      <c r="K230" s="118"/>
      <c r="L230" s="7"/>
      <c r="M230" s="119"/>
      <c r="N230" s="7"/>
      <c r="O230" s="119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</row>
    <row r="231" spans="1:42">
      <c r="A231" s="116"/>
      <c r="B231" s="7"/>
      <c r="C231" s="7"/>
      <c r="D231" s="7"/>
      <c r="E231" s="7"/>
      <c r="F231" s="7"/>
      <c r="G231" s="7"/>
      <c r="H231" s="7"/>
      <c r="I231" s="7"/>
      <c r="J231" s="118"/>
      <c r="K231" s="118"/>
      <c r="L231" s="7"/>
      <c r="M231" s="119"/>
      <c r="N231" s="7"/>
      <c r="O231" s="119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</row>
    <row r="232" spans="1:42">
      <c r="A232" s="116"/>
      <c r="B232" s="7"/>
      <c r="C232" s="7"/>
      <c r="D232" s="7"/>
      <c r="E232" s="7"/>
      <c r="F232" s="7"/>
      <c r="G232" s="7"/>
      <c r="H232" s="7"/>
      <c r="I232" s="7"/>
      <c r="J232" s="118"/>
      <c r="K232" s="118"/>
      <c r="L232" s="7"/>
      <c r="M232" s="119"/>
      <c r="N232" s="7"/>
      <c r="O232" s="119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</row>
    <row r="233" spans="1:42">
      <c r="A233" s="116"/>
      <c r="B233" s="7"/>
      <c r="C233" s="7"/>
      <c r="D233" s="7"/>
      <c r="E233" s="7"/>
      <c r="F233" s="7"/>
      <c r="G233" s="7"/>
      <c r="H233" s="7"/>
      <c r="I233" s="7"/>
      <c r="J233" s="118"/>
      <c r="K233" s="118"/>
      <c r="L233" s="7"/>
      <c r="M233" s="119"/>
      <c r="N233" s="7"/>
      <c r="O233" s="119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</row>
    <row r="234" spans="1:42">
      <c r="A234" s="116"/>
      <c r="B234" s="7"/>
      <c r="C234" s="7"/>
      <c r="D234" s="7"/>
      <c r="E234" s="7"/>
      <c r="F234" s="7"/>
      <c r="G234" s="7"/>
      <c r="H234" s="7"/>
      <c r="I234" s="7"/>
      <c r="J234" s="118"/>
      <c r="K234" s="118"/>
      <c r="L234" s="7"/>
      <c r="M234" s="119"/>
      <c r="N234" s="7"/>
      <c r="O234" s="119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</row>
    <row r="235" spans="1:42">
      <c r="A235" s="116"/>
      <c r="B235" s="7"/>
      <c r="C235" s="7"/>
      <c r="D235" s="7"/>
      <c r="E235" s="7"/>
      <c r="F235" s="7"/>
      <c r="G235" s="7"/>
      <c r="H235" s="7"/>
      <c r="I235" s="7"/>
      <c r="J235" s="118"/>
      <c r="K235" s="118"/>
      <c r="L235" s="7"/>
      <c r="M235" s="119"/>
      <c r="N235" s="7"/>
      <c r="O235" s="119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</row>
    <row r="236" spans="1:42">
      <c r="A236" s="116"/>
      <c r="B236" s="7"/>
      <c r="C236" s="7"/>
      <c r="D236" s="7"/>
      <c r="E236" s="7"/>
      <c r="F236" s="7"/>
      <c r="G236" s="7"/>
      <c r="H236" s="7"/>
      <c r="I236" s="7"/>
      <c r="J236" s="118"/>
      <c r="K236" s="118"/>
      <c r="L236" s="7"/>
      <c r="M236" s="119"/>
      <c r="N236" s="7"/>
      <c r="O236" s="119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</row>
    <row r="237" spans="1:42">
      <c r="A237" s="116"/>
      <c r="B237" s="7"/>
      <c r="C237" s="7"/>
      <c r="D237" s="7"/>
      <c r="E237" s="7"/>
      <c r="F237" s="7"/>
      <c r="G237" s="7"/>
      <c r="H237" s="7"/>
      <c r="I237" s="7"/>
      <c r="J237" s="118"/>
      <c r="K237" s="118"/>
      <c r="L237" s="7"/>
      <c r="M237" s="119"/>
      <c r="N237" s="7"/>
      <c r="O237" s="119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</row>
    <row r="238" spans="1:42">
      <c r="A238" s="116"/>
      <c r="B238" s="7"/>
      <c r="C238" s="7"/>
      <c r="D238" s="7"/>
      <c r="E238" s="7"/>
      <c r="F238" s="7"/>
      <c r="G238" s="7"/>
      <c r="H238" s="7"/>
      <c r="I238" s="7"/>
      <c r="J238" s="118"/>
      <c r="K238" s="118"/>
      <c r="L238" s="7"/>
      <c r="M238" s="119"/>
      <c r="N238" s="7"/>
      <c r="O238" s="119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</row>
    <row r="239" spans="1:42">
      <c r="A239" s="116"/>
      <c r="B239" s="7"/>
      <c r="C239" s="7"/>
      <c r="D239" s="7"/>
      <c r="E239" s="7"/>
      <c r="F239" s="7"/>
      <c r="G239" s="7"/>
      <c r="H239" s="7"/>
      <c r="I239" s="7"/>
      <c r="J239" s="118"/>
      <c r="K239" s="118"/>
      <c r="L239" s="7"/>
      <c r="M239" s="119"/>
      <c r="N239" s="7"/>
      <c r="O239" s="119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</row>
    <row r="240" spans="1:42">
      <c r="A240" s="116"/>
      <c r="B240" s="7"/>
      <c r="C240" s="7"/>
      <c r="D240" s="7"/>
      <c r="E240" s="7"/>
      <c r="F240" s="7"/>
      <c r="G240" s="7"/>
      <c r="H240" s="7"/>
      <c r="I240" s="7"/>
      <c r="J240" s="118"/>
      <c r="K240" s="118"/>
      <c r="L240" s="7"/>
      <c r="M240" s="119"/>
      <c r="N240" s="7"/>
      <c r="O240" s="119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</row>
    <row r="241" spans="1:42">
      <c r="A241" s="116"/>
      <c r="B241" s="7"/>
      <c r="C241" s="7"/>
      <c r="D241" s="7"/>
      <c r="E241" s="7"/>
      <c r="F241" s="7"/>
      <c r="G241" s="7"/>
      <c r="H241" s="7"/>
      <c r="I241" s="7"/>
      <c r="J241" s="118"/>
      <c r="K241" s="118"/>
      <c r="L241" s="7"/>
      <c r="M241" s="119"/>
      <c r="N241" s="7"/>
      <c r="O241" s="119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</row>
    <row r="242" spans="1:42">
      <c r="A242" s="116"/>
      <c r="B242" s="7"/>
      <c r="C242" s="7"/>
      <c r="D242" s="7"/>
      <c r="E242" s="7"/>
      <c r="F242" s="7"/>
      <c r="G242" s="7"/>
      <c r="H242" s="7"/>
      <c r="I242" s="7"/>
      <c r="J242" s="118"/>
      <c r="K242" s="118"/>
      <c r="L242" s="7"/>
      <c r="M242" s="119"/>
      <c r="N242" s="7"/>
      <c r="O242" s="119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</row>
    <row r="243" spans="1:42">
      <c r="A243" s="116"/>
      <c r="B243" s="7"/>
      <c r="C243" s="7"/>
      <c r="D243" s="7"/>
      <c r="E243" s="7"/>
      <c r="F243" s="7"/>
      <c r="G243" s="7"/>
      <c r="H243" s="7"/>
      <c r="I243" s="7"/>
      <c r="J243" s="118"/>
      <c r="K243" s="118"/>
      <c r="L243" s="7"/>
      <c r="M243" s="119"/>
      <c r="N243" s="7"/>
      <c r="O243" s="119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</row>
    <row r="244" spans="1:42">
      <c r="A244" s="116"/>
      <c r="B244" s="7"/>
      <c r="C244" s="7"/>
      <c r="D244" s="7"/>
      <c r="E244" s="7"/>
      <c r="F244" s="7"/>
      <c r="G244" s="7"/>
      <c r="H244" s="7"/>
      <c r="I244" s="7"/>
      <c r="J244" s="118"/>
      <c r="K244" s="118"/>
      <c r="L244" s="7"/>
      <c r="M244" s="119"/>
      <c r="N244" s="7"/>
      <c r="O244" s="119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</row>
    <row r="245" spans="1:42">
      <c r="A245" s="116"/>
      <c r="B245" s="7"/>
      <c r="C245" s="7"/>
      <c r="D245" s="7"/>
      <c r="E245" s="7"/>
      <c r="F245" s="7"/>
      <c r="G245" s="7"/>
      <c r="H245" s="7"/>
      <c r="I245" s="7"/>
      <c r="J245" s="118"/>
      <c r="K245" s="118"/>
      <c r="L245" s="7"/>
      <c r="M245" s="119"/>
      <c r="N245" s="7"/>
      <c r="O245" s="119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</row>
    <row r="246" spans="1:42">
      <c r="A246" s="116"/>
      <c r="B246" s="7"/>
      <c r="C246" s="7"/>
      <c r="D246" s="7"/>
      <c r="E246" s="7"/>
      <c r="F246" s="7"/>
      <c r="G246" s="7"/>
      <c r="H246" s="7"/>
      <c r="I246" s="7"/>
      <c r="J246" s="118"/>
      <c r="K246" s="118"/>
      <c r="L246" s="7"/>
      <c r="M246" s="119"/>
      <c r="N246" s="7"/>
      <c r="O246" s="119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</row>
    <row r="247" spans="1:42">
      <c r="A247" s="116"/>
      <c r="B247" s="7"/>
      <c r="C247" s="7"/>
      <c r="D247" s="7"/>
      <c r="E247" s="7"/>
      <c r="F247" s="7"/>
      <c r="G247" s="7"/>
      <c r="H247" s="7"/>
      <c r="I247" s="7"/>
      <c r="J247" s="118"/>
      <c r="K247" s="118"/>
      <c r="L247" s="7"/>
      <c r="M247" s="119"/>
      <c r="N247" s="7"/>
      <c r="O247" s="119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</row>
    <row r="248" spans="1:42">
      <c r="A248" s="116"/>
      <c r="B248" s="7"/>
      <c r="C248" s="7"/>
      <c r="D248" s="7"/>
      <c r="E248" s="7"/>
      <c r="F248" s="7"/>
      <c r="G248" s="7"/>
      <c r="H248" s="7"/>
      <c r="I248" s="7"/>
      <c r="J248" s="118"/>
      <c r="K248" s="118"/>
      <c r="L248" s="7"/>
      <c r="M248" s="119"/>
      <c r="N248" s="7"/>
      <c r="O248" s="119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>
      <c r="A249" s="116"/>
      <c r="B249" s="7"/>
      <c r="C249" s="7"/>
      <c r="D249" s="7"/>
      <c r="E249" s="7"/>
      <c r="F249" s="7"/>
      <c r="G249" s="7"/>
      <c r="H249" s="7"/>
      <c r="I249" s="7"/>
      <c r="J249" s="118"/>
      <c r="K249" s="118"/>
      <c r="L249" s="7"/>
      <c r="M249" s="119"/>
      <c r="N249" s="7"/>
      <c r="O249" s="119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>
      <c r="A250" s="116"/>
      <c r="B250" s="7"/>
      <c r="C250" s="7"/>
      <c r="D250" s="7"/>
      <c r="E250" s="7"/>
      <c r="F250" s="7"/>
      <c r="G250" s="7"/>
      <c r="H250" s="7"/>
      <c r="I250" s="7"/>
      <c r="J250" s="118"/>
      <c r="K250" s="118"/>
      <c r="L250" s="7"/>
      <c r="M250" s="119"/>
      <c r="N250" s="7"/>
      <c r="O250" s="119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>
      <c r="A251" s="116"/>
      <c r="B251" s="7"/>
      <c r="C251" s="7"/>
      <c r="D251" s="7"/>
      <c r="E251" s="7"/>
      <c r="F251" s="7"/>
      <c r="G251" s="7"/>
      <c r="H251" s="7"/>
      <c r="I251" s="7"/>
      <c r="J251" s="118"/>
      <c r="K251" s="118"/>
      <c r="L251" s="7"/>
      <c r="M251" s="119"/>
      <c r="N251" s="7"/>
      <c r="O251" s="119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>
      <c r="A252" s="116"/>
      <c r="B252" s="7"/>
      <c r="C252" s="7"/>
      <c r="D252" s="7"/>
      <c r="E252" s="7"/>
      <c r="F252" s="7"/>
      <c r="G252" s="7"/>
      <c r="H252" s="7"/>
      <c r="I252" s="7"/>
      <c r="J252" s="118"/>
      <c r="K252" s="118"/>
      <c r="L252" s="7"/>
      <c r="M252" s="119"/>
      <c r="N252" s="7"/>
      <c r="O252" s="119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>
      <c r="A253" s="116"/>
      <c r="B253" s="7"/>
      <c r="C253" s="7"/>
      <c r="D253" s="7"/>
      <c r="E253" s="7"/>
      <c r="F253" s="7"/>
      <c r="G253" s="7"/>
      <c r="H253" s="7"/>
      <c r="I253" s="7"/>
      <c r="J253" s="118"/>
      <c r="K253" s="118"/>
      <c r="L253" s="7"/>
      <c r="M253" s="119"/>
      <c r="N253" s="7"/>
      <c r="O253" s="119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>
      <c r="A254" s="116"/>
      <c r="B254" s="7"/>
      <c r="C254" s="7"/>
      <c r="D254" s="7"/>
      <c r="E254" s="7"/>
      <c r="F254" s="7"/>
      <c r="G254" s="7"/>
      <c r="H254" s="7"/>
      <c r="I254" s="7"/>
      <c r="J254" s="118"/>
      <c r="K254" s="118"/>
      <c r="L254" s="7"/>
      <c r="M254" s="119"/>
      <c r="N254" s="7"/>
      <c r="O254" s="119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>
      <c r="A255" s="116"/>
      <c r="B255" s="7"/>
      <c r="C255" s="7"/>
      <c r="D255" s="7"/>
      <c r="E255" s="7"/>
      <c r="F255" s="7"/>
      <c r="G255" s="7"/>
      <c r="H255" s="7"/>
      <c r="I255" s="7"/>
      <c r="J255" s="118"/>
      <c r="K255" s="118"/>
      <c r="L255" s="7"/>
      <c r="M255" s="119"/>
      <c r="N255" s="7"/>
      <c r="O255" s="119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>
      <c r="A256" s="116"/>
      <c r="B256" s="7"/>
      <c r="C256" s="7"/>
      <c r="D256" s="7"/>
      <c r="E256" s="7"/>
      <c r="F256" s="7"/>
      <c r="G256" s="7"/>
      <c r="H256" s="7"/>
      <c r="I256" s="7"/>
      <c r="J256" s="118"/>
      <c r="K256" s="118"/>
      <c r="L256" s="7"/>
      <c r="M256" s="119"/>
      <c r="N256" s="7"/>
      <c r="O256" s="119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1:42">
      <c r="A257" s="116"/>
      <c r="B257" s="7"/>
      <c r="C257" s="7"/>
      <c r="D257" s="7"/>
      <c r="E257" s="7"/>
      <c r="F257" s="7"/>
      <c r="G257" s="7"/>
      <c r="H257" s="7"/>
      <c r="I257" s="7"/>
      <c r="J257" s="118"/>
      <c r="K257" s="118"/>
      <c r="L257" s="7"/>
      <c r="M257" s="119"/>
      <c r="N257" s="7"/>
      <c r="O257" s="119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1:42">
      <c r="A258" s="116"/>
      <c r="B258" s="7"/>
      <c r="C258" s="7"/>
      <c r="D258" s="7"/>
      <c r="E258" s="7"/>
      <c r="F258" s="7"/>
      <c r="G258" s="7"/>
      <c r="H258" s="7"/>
      <c r="I258" s="7"/>
      <c r="J258" s="118"/>
      <c r="K258" s="118"/>
      <c r="L258" s="7"/>
      <c r="M258" s="119"/>
      <c r="N258" s="7"/>
      <c r="O258" s="119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1:42">
      <c r="A259" s="116"/>
      <c r="B259" s="7"/>
      <c r="C259" s="7"/>
      <c r="D259" s="7"/>
      <c r="E259" s="7"/>
      <c r="F259" s="7"/>
      <c r="G259" s="7"/>
      <c r="H259" s="7"/>
      <c r="I259" s="7"/>
      <c r="J259" s="118"/>
      <c r="K259" s="118"/>
      <c r="L259" s="7"/>
      <c r="M259" s="119"/>
      <c r="N259" s="7"/>
      <c r="O259" s="119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1:42">
      <c r="A260" s="116"/>
      <c r="B260" s="7"/>
      <c r="C260" s="7"/>
      <c r="D260" s="7"/>
      <c r="E260" s="7"/>
      <c r="F260" s="7"/>
      <c r="G260" s="7"/>
      <c r="H260" s="7"/>
      <c r="I260" s="7"/>
      <c r="J260" s="118"/>
      <c r="K260" s="118"/>
      <c r="L260" s="7"/>
      <c r="M260" s="119"/>
      <c r="N260" s="7"/>
      <c r="O260" s="119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1:42">
      <c r="A261" s="116"/>
      <c r="B261" s="7"/>
      <c r="C261" s="7"/>
      <c r="D261" s="7"/>
      <c r="E261" s="7"/>
      <c r="F261" s="7"/>
      <c r="G261" s="7"/>
      <c r="H261" s="7"/>
      <c r="I261" s="7"/>
      <c r="J261" s="118"/>
      <c r="K261" s="118"/>
      <c r="L261" s="7"/>
      <c r="M261" s="119"/>
      <c r="N261" s="7"/>
      <c r="O261" s="119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1:42">
      <c r="A262" s="116"/>
      <c r="B262" s="7"/>
      <c r="C262" s="7"/>
      <c r="D262" s="7"/>
      <c r="E262" s="7"/>
      <c r="F262" s="7"/>
      <c r="G262" s="7"/>
      <c r="H262" s="7"/>
      <c r="I262" s="7"/>
      <c r="J262" s="118"/>
      <c r="K262" s="118"/>
      <c r="L262" s="7"/>
      <c r="M262" s="119"/>
      <c r="N262" s="7"/>
      <c r="O262" s="119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1:42">
      <c r="A263" s="116"/>
      <c r="B263" s="7"/>
      <c r="C263" s="7"/>
      <c r="D263" s="7"/>
      <c r="E263" s="7"/>
      <c r="F263" s="7"/>
      <c r="G263" s="7"/>
      <c r="H263" s="7"/>
      <c r="I263" s="7"/>
      <c r="J263" s="118"/>
      <c r="K263" s="118"/>
      <c r="L263" s="7"/>
      <c r="M263" s="119"/>
      <c r="N263" s="7"/>
      <c r="O263" s="119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1:42">
      <c r="A264" s="116"/>
      <c r="B264" s="7"/>
      <c r="C264" s="7"/>
      <c r="D264" s="7"/>
      <c r="E264" s="7"/>
      <c r="F264" s="7"/>
      <c r="G264" s="7"/>
      <c r="H264" s="7"/>
      <c r="I264" s="7"/>
      <c r="J264" s="118"/>
      <c r="K264" s="118"/>
      <c r="L264" s="7"/>
      <c r="M264" s="119"/>
      <c r="N264" s="7"/>
      <c r="O264" s="119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1:42">
      <c r="A265" s="116"/>
      <c r="B265" s="7"/>
      <c r="C265" s="7"/>
      <c r="D265" s="7"/>
      <c r="E265" s="7"/>
      <c r="F265" s="7"/>
      <c r="G265" s="7"/>
      <c r="H265" s="7"/>
      <c r="I265" s="7"/>
      <c r="J265" s="118"/>
      <c r="K265" s="118"/>
      <c r="L265" s="7"/>
      <c r="M265" s="119"/>
      <c r="N265" s="7"/>
      <c r="O265" s="119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1:42">
      <c r="A266" s="116"/>
      <c r="B266" s="7"/>
      <c r="C266" s="7"/>
      <c r="D266" s="7"/>
      <c r="E266" s="7"/>
      <c r="F266" s="7"/>
      <c r="G266" s="7"/>
      <c r="H266" s="7"/>
      <c r="I266" s="7"/>
      <c r="J266" s="118"/>
      <c r="K266" s="118"/>
      <c r="L266" s="7"/>
      <c r="M266" s="119"/>
      <c r="N266" s="7"/>
      <c r="O266" s="119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1:42">
      <c r="A267" s="116"/>
      <c r="B267" s="7"/>
      <c r="C267" s="7"/>
      <c r="D267" s="7"/>
      <c r="E267" s="7"/>
      <c r="F267" s="7"/>
      <c r="G267" s="7"/>
      <c r="H267" s="7"/>
      <c r="I267" s="7"/>
      <c r="J267" s="118"/>
      <c r="K267" s="118"/>
      <c r="L267" s="7"/>
      <c r="M267" s="119"/>
      <c r="N267" s="7"/>
      <c r="O267" s="119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1:42">
      <c r="A268" s="116"/>
      <c r="B268" s="7"/>
      <c r="C268" s="7"/>
      <c r="D268" s="7"/>
      <c r="E268" s="7"/>
      <c r="F268" s="7"/>
      <c r="G268" s="7"/>
      <c r="H268" s="7"/>
      <c r="I268" s="7"/>
      <c r="J268" s="118"/>
      <c r="K268" s="118"/>
      <c r="L268" s="7"/>
      <c r="M268" s="119"/>
      <c r="N268" s="7"/>
      <c r="O268" s="119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1:42">
      <c r="A269" s="116"/>
      <c r="B269" s="7"/>
      <c r="C269" s="7"/>
      <c r="D269" s="7"/>
      <c r="E269" s="7"/>
      <c r="F269" s="7"/>
      <c r="G269" s="7"/>
      <c r="H269" s="7"/>
      <c r="I269" s="7"/>
      <c r="J269" s="118"/>
      <c r="K269" s="118"/>
      <c r="L269" s="7"/>
      <c r="M269" s="119"/>
      <c r="N269" s="7"/>
      <c r="O269" s="119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1:42">
      <c r="A270" s="116"/>
      <c r="B270" s="7"/>
      <c r="C270" s="7"/>
      <c r="D270" s="7"/>
      <c r="E270" s="7"/>
      <c r="F270" s="7"/>
      <c r="G270" s="7"/>
      <c r="H270" s="7"/>
      <c r="I270" s="7"/>
      <c r="J270" s="118"/>
      <c r="K270" s="118"/>
      <c r="L270" s="7"/>
      <c r="M270" s="119"/>
      <c r="N270" s="7"/>
      <c r="O270" s="119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1:42">
      <c r="A271" s="116"/>
      <c r="B271" s="7"/>
      <c r="C271" s="7"/>
      <c r="D271" s="7"/>
      <c r="E271" s="7"/>
      <c r="F271" s="7"/>
      <c r="G271" s="7"/>
      <c r="H271" s="7"/>
      <c r="I271" s="7"/>
      <c r="J271" s="118"/>
      <c r="K271" s="118"/>
      <c r="L271" s="7"/>
      <c r="M271" s="119"/>
      <c r="N271" s="7"/>
      <c r="O271" s="119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ht="14.4" spans="2:42">
      <c r="B272" s="120"/>
      <c r="C272" s="7"/>
      <c r="D272" s="7"/>
      <c r="E272" s="7"/>
      <c r="H272" s="7"/>
      <c r="J272" s="118"/>
      <c r="K272" s="7"/>
      <c r="L272" s="7"/>
      <c r="O272" s="119"/>
      <c r="P272" s="7"/>
      <c r="Q272" s="7"/>
      <c r="W272" s="112"/>
      <c r="X272" s="112"/>
      <c r="Z272" s="7"/>
      <c r="AA272" s="7"/>
      <c r="AC272" s="7"/>
      <c r="AD272" s="7"/>
      <c r="AI272" s="7"/>
      <c r="AJ272" s="7"/>
      <c r="AK272" s="7"/>
      <c r="AO272" s="7"/>
      <c r="AP272" s="7"/>
    </row>
    <row r="273" ht="14.4" spans="2:42">
      <c r="B273" s="120"/>
      <c r="C273" s="7"/>
      <c r="D273" s="7"/>
      <c r="E273" s="7"/>
      <c r="H273" s="7"/>
      <c r="J273" s="118"/>
      <c r="K273" s="7"/>
      <c r="L273" s="7"/>
      <c r="O273" s="119"/>
      <c r="P273" s="7"/>
      <c r="Q273" s="7"/>
      <c r="W273" s="112"/>
      <c r="X273" s="112"/>
      <c r="Z273" s="7"/>
      <c r="AA273" s="7"/>
      <c r="AC273" s="7"/>
      <c r="AD273" s="7"/>
      <c r="AI273" s="7"/>
      <c r="AJ273" s="7"/>
      <c r="AK273" s="7"/>
      <c r="AO273" s="7"/>
      <c r="AP273" s="7"/>
    </row>
    <row r="274" ht="14.4" spans="2:42">
      <c r="B274" s="120"/>
      <c r="C274" s="7"/>
      <c r="D274" s="7"/>
      <c r="E274" s="7"/>
      <c r="H274" s="7"/>
      <c r="J274" s="118"/>
      <c r="K274" s="7"/>
      <c r="L274" s="7"/>
      <c r="O274" s="119"/>
      <c r="P274" s="7"/>
      <c r="Q274" s="7"/>
      <c r="W274" s="112"/>
      <c r="X274" s="112"/>
      <c r="Z274" s="7"/>
      <c r="AA274" s="7"/>
      <c r="AC274" s="7"/>
      <c r="AD274" s="7"/>
      <c r="AI274" s="7"/>
      <c r="AJ274" s="7"/>
      <c r="AK274" s="7"/>
      <c r="AO274" s="7"/>
      <c r="AP274" s="7"/>
    </row>
    <row r="275" ht="14.4" spans="2:42">
      <c r="B275" s="120"/>
      <c r="C275" s="7"/>
      <c r="D275" s="7"/>
      <c r="E275" s="7"/>
      <c r="H275" s="7"/>
      <c r="J275" s="118"/>
      <c r="K275" s="7"/>
      <c r="L275" s="7"/>
      <c r="O275" s="119"/>
      <c r="P275" s="7"/>
      <c r="Q275" s="7"/>
      <c r="W275" s="112"/>
      <c r="X275" s="112"/>
      <c r="Z275" s="7"/>
      <c r="AA275" s="7"/>
      <c r="AC275" s="7"/>
      <c r="AD275" s="7"/>
      <c r="AI275" s="7"/>
      <c r="AJ275" s="7"/>
      <c r="AK275" s="7"/>
      <c r="AO275" s="7"/>
      <c r="AP275" s="7"/>
    </row>
    <row r="276" ht="14.4" spans="2:42">
      <c r="B276" s="120"/>
      <c r="C276" s="7"/>
      <c r="D276" s="7"/>
      <c r="E276" s="7"/>
      <c r="H276" s="7"/>
      <c r="J276" s="118"/>
      <c r="K276" s="7"/>
      <c r="L276" s="7"/>
      <c r="O276" s="119"/>
      <c r="P276" s="7"/>
      <c r="Q276" s="7"/>
      <c r="W276" s="112"/>
      <c r="X276" s="112"/>
      <c r="Z276" s="7"/>
      <c r="AA276" s="7"/>
      <c r="AC276" s="7"/>
      <c r="AD276" s="7"/>
      <c r="AI276" s="7"/>
      <c r="AJ276" s="7"/>
      <c r="AK276" s="7"/>
      <c r="AO276" s="7"/>
      <c r="AP276" s="7"/>
    </row>
    <row r="277" ht="14.4" spans="2:42">
      <c r="B277" s="120"/>
      <c r="C277" s="7"/>
      <c r="D277" s="7"/>
      <c r="E277" s="7"/>
      <c r="H277" s="7"/>
      <c r="J277" s="118"/>
      <c r="K277" s="7"/>
      <c r="L277" s="7"/>
      <c r="O277" s="119"/>
      <c r="P277" s="7"/>
      <c r="Q277" s="7"/>
      <c r="W277" s="112"/>
      <c r="X277" s="112"/>
      <c r="Z277" s="7"/>
      <c r="AA277" s="7"/>
      <c r="AC277" s="7"/>
      <c r="AD277" s="7"/>
      <c r="AI277" s="7"/>
      <c r="AJ277" s="7"/>
      <c r="AK277" s="7"/>
      <c r="AO277" s="7"/>
      <c r="AP277" s="7"/>
    </row>
    <row r="278" ht="14.4" spans="2:42">
      <c r="B278" s="120"/>
      <c r="C278" s="7"/>
      <c r="D278" s="7"/>
      <c r="E278" s="7"/>
      <c r="H278" s="7"/>
      <c r="J278" s="118"/>
      <c r="K278" s="7"/>
      <c r="L278" s="7"/>
      <c r="O278" s="119"/>
      <c r="P278" s="7"/>
      <c r="Q278" s="7"/>
      <c r="W278" s="112"/>
      <c r="X278" s="112"/>
      <c r="Z278" s="7"/>
      <c r="AA278" s="7"/>
      <c r="AC278" s="7"/>
      <c r="AD278" s="7"/>
      <c r="AI278" s="7"/>
      <c r="AJ278" s="7"/>
      <c r="AK278" s="7"/>
      <c r="AO278" s="7"/>
      <c r="AP278" s="7"/>
    </row>
    <row r="279" ht="14.4" spans="2:42">
      <c r="B279" s="120"/>
      <c r="C279" s="7"/>
      <c r="D279" s="7"/>
      <c r="E279" s="7"/>
      <c r="H279" s="7"/>
      <c r="J279" s="118"/>
      <c r="K279" s="7"/>
      <c r="L279" s="7"/>
      <c r="O279" s="119"/>
      <c r="P279" s="7"/>
      <c r="Q279" s="7"/>
      <c r="W279" s="112"/>
      <c r="X279" s="112"/>
      <c r="Z279" s="7"/>
      <c r="AA279" s="7"/>
      <c r="AC279" s="7"/>
      <c r="AD279" s="7"/>
      <c r="AI279" s="7"/>
      <c r="AJ279" s="7"/>
      <c r="AK279" s="7"/>
      <c r="AO279" s="7"/>
      <c r="AP279" s="7"/>
    </row>
    <row r="280" ht="14.4" spans="2:42">
      <c r="B280" s="120"/>
      <c r="C280" s="7"/>
      <c r="D280" s="7"/>
      <c r="E280" s="7"/>
      <c r="H280" s="7"/>
      <c r="J280" s="118"/>
      <c r="K280" s="7"/>
      <c r="L280" s="7"/>
      <c r="O280" s="119"/>
      <c r="P280" s="7"/>
      <c r="Q280" s="7"/>
      <c r="W280" s="112"/>
      <c r="X280" s="112"/>
      <c r="Z280" s="7"/>
      <c r="AA280" s="7"/>
      <c r="AC280" s="7"/>
      <c r="AD280" s="7"/>
      <c r="AI280" s="7"/>
      <c r="AJ280" s="7"/>
      <c r="AK280" s="7"/>
      <c r="AO280" s="7"/>
      <c r="AP280" s="7"/>
    </row>
    <row r="281" ht="14.4" spans="2:42">
      <c r="B281" s="120"/>
      <c r="C281" s="7"/>
      <c r="D281" s="7"/>
      <c r="E281" s="7"/>
      <c r="H281" s="7"/>
      <c r="J281" s="118"/>
      <c r="K281" s="7"/>
      <c r="L281" s="7"/>
      <c r="O281" s="119"/>
      <c r="P281" s="7"/>
      <c r="Q281" s="7"/>
      <c r="W281" s="112"/>
      <c r="X281" s="112"/>
      <c r="Z281" s="7"/>
      <c r="AA281" s="7"/>
      <c r="AC281" s="7"/>
      <c r="AD281" s="7"/>
      <c r="AI281" s="7"/>
      <c r="AJ281" s="7"/>
      <c r="AK281" s="7"/>
      <c r="AO281" s="7"/>
      <c r="AP281" s="7"/>
    </row>
    <row r="282" ht="14.4" spans="2:42">
      <c r="B282" s="120"/>
      <c r="C282" s="7"/>
      <c r="D282" s="7"/>
      <c r="E282" s="7"/>
      <c r="H282" s="7"/>
      <c r="J282" s="118"/>
      <c r="K282" s="7"/>
      <c r="L282" s="7"/>
      <c r="O282" s="119"/>
      <c r="P282" s="7"/>
      <c r="Q282" s="7"/>
      <c r="W282" s="112"/>
      <c r="X282" s="112"/>
      <c r="Z282" s="7"/>
      <c r="AA282" s="7"/>
      <c r="AC282" s="7"/>
      <c r="AD282" s="7"/>
      <c r="AI282" s="7"/>
      <c r="AJ282" s="7"/>
      <c r="AK282" s="7"/>
      <c r="AO282" s="7"/>
      <c r="AP282" s="7"/>
    </row>
    <row r="283" ht="14.4" spans="2:42">
      <c r="B283" s="120"/>
      <c r="C283" s="7"/>
      <c r="D283" s="7"/>
      <c r="E283" s="7"/>
      <c r="H283" s="7"/>
      <c r="J283" s="118"/>
      <c r="K283" s="7"/>
      <c r="L283" s="7"/>
      <c r="O283" s="119"/>
      <c r="P283" s="7"/>
      <c r="Q283" s="7"/>
      <c r="W283" s="112"/>
      <c r="X283" s="112"/>
      <c r="Z283" s="7"/>
      <c r="AA283" s="7"/>
      <c r="AC283" s="7"/>
      <c r="AD283" s="7"/>
      <c r="AI283" s="7"/>
      <c r="AJ283" s="7"/>
      <c r="AK283" s="7"/>
      <c r="AO283" s="7"/>
      <c r="AP283" s="7"/>
    </row>
    <row r="284" ht="14.4" spans="2:42">
      <c r="B284" s="120"/>
      <c r="C284" s="7"/>
      <c r="D284" s="7"/>
      <c r="E284" s="7"/>
      <c r="H284" s="7"/>
      <c r="J284" s="118"/>
      <c r="K284" s="7"/>
      <c r="L284" s="7"/>
      <c r="O284" s="119"/>
      <c r="P284" s="7"/>
      <c r="Q284" s="7"/>
      <c r="W284" s="112"/>
      <c r="X284" s="112"/>
      <c r="Z284" s="7"/>
      <c r="AA284" s="7"/>
      <c r="AC284" s="7"/>
      <c r="AD284" s="7"/>
      <c r="AI284" s="7"/>
      <c r="AJ284" s="7"/>
      <c r="AK284" s="7"/>
      <c r="AO284" s="7"/>
      <c r="AP284" s="7"/>
    </row>
    <row r="285" ht="14.4" spans="2:42">
      <c r="B285" s="120"/>
      <c r="C285" s="7"/>
      <c r="D285" s="7"/>
      <c r="E285" s="7"/>
      <c r="H285" s="7"/>
      <c r="J285" s="118"/>
      <c r="K285" s="7"/>
      <c r="L285" s="7"/>
      <c r="O285" s="119"/>
      <c r="P285" s="7"/>
      <c r="Q285" s="7"/>
      <c r="W285" s="112"/>
      <c r="X285" s="112"/>
      <c r="Z285" s="7"/>
      <c r="AA285" s="7"/>
      <c r="AC285" s="7"/>
      <c r="AD285" s="7"/>
      <c r="AI285" s="7"/>
      <c r="AJ285" s="7"/>
      <c r="AK285" s="7"/>
      <c r="AO285" s="7"/>
      <c r="AP285" s="7"/>
    </row>
    <row r="286" ht="14.4" spans="2:42">
      <c r="B286" s="120"/>
      <c r="C286" s="7"/>
      <c r="D286" s="7"/>
      <c r="E286" s="7"/>
      <c r="H286" s="7"/>
      <c r="J286" s="118"/>
      <c r="K286" s="7"/>
      <c r="L286" s="7"/>
      <c r="O286" s="119"/>
      <c r="P286" s="7"/>
      <c r="Q286" s="7"/>
      <c r="W286" s="112"/>
      <c r="X286" s="112"/>
      <c r="Z286" s="7"/>
      <c r="AA286" s="7"/>
      <c r="AC286" s="7"/>
      <c r="AD286" s="7"/>
      <c r="AI286" s="7"/>
      <c r="AJ286" s="7"/>
      <c r="AK286" s="7"/>
      <c r="AO286" s="7"/>
      <c r="AP286" s="7"/>
    </row>
    <row r="287" ht="14.4" spans="2:42">
      <c r="B287" s="120"/>
      <c r="C287" s="7"/>
      <c r="D287" s="7"/>
      <c r="E287" s="7"/>
      <c r="H287" s="7"/>
      <c r="J287" s="118"/>
      <c r="K287" s="7"/>
      <c r="L287" s="7"/>
      <c r="O287" s="119"/>
      <c r="P287" s="7"/>
      <c r="Q287" s="7"/>
      <c r="W287" s="112"/>
      <c r="X287" s="112"/>
      <c r="Z287" s="7"/>
      <c r="AA287" s="7"/>
      <c r="AC287" s="7"/>
      <c r="AD287" s="7"/>
      <c r="AI287" s="7"/>
      <c r="AJ287" s="7"/>
      <c r="AK287" s="7"/>
      <c r="AO287" s="7"/>
      <c r="AP287" s="7"/>
    </row>
    <row r="288" ht="14.4" spans="2:42">
      <c r="B288" s="120"/>
      <c r="C288" s="7"/>
      <c r="D288" s="7"/>
      <c r="E288" s="7"/>
      <c r="H288" s="7"/>
      <c r="J288" s="118"/>
      <c r="K288" s="7"/>
      <c r="L288" s="7"/>
      <c r="O288" s="119"/>
      <c r="P288" s="7"/>
      <c r="Q288" s="7"/>
      <c r="W288" s="112"/>
      <c r="X288" s="112"/>
      <c r="Z288" s="7"/>
      <c r="AA288" s="7"/>
      <c r="AC288" s="7"/>
      <c r="AD288" s="7"/>
      <c r="AI288" s="7"/>
      <c r="AJ288" s="7"/>
      <c r="AK288" s="7"/>
      <c r="AO288" s="7"/>
      <c r="AP288" s="7"/>
    </row>
    <row r="289" ht="14.4" spans="2:42">
      <c r="B289" s="120"/>
      <c r="C289" s="7"/>
      <c r="D289" s="7"/>
      <c r="E289" s="7"/>
      <c r="H289" s="7"/>
      <c r="J289" s="118"/>
      <c r="K289" s="7"/>
      <c r="L289" s="7"/>
      <c r="O289" s="119"/>
      <c r="P289" s="7"/>
      <c r="Q289" s="7"/>
      <c r="W289" s="112"/>
      <c r="X289" s="112"/>
      <c r="Z289" s="7"/>
      <c r="AA289" s="7"/>
      <c r="AC289" s="7"/>
      <c r="AD289" s="7"/>
      <c r="AI289" s="7"/>
      <c r="AJ289" s="7"/>
      <c r="AK289" s="7"/>
      <c r="AO289" s="7"/>
      <c r="AP289" s="7"/>
    </row>
    <row r="290" ht="14.4" spans="2:42">
      <c r="B290" s="120"/>
      <c r="C290" s="7"/>
      <c r="D290" s="7"/>
      <c r="E290" s="7"/>
      <c r="H290" s="7"/>
      <c r="J290" s="118"/>
      <c r="K290" s="7"/>
      <c r="L290" s="7"/>
      <c r="O290" s="119"/>
      <c r="P290" s="7"/>
      <c r="Q290" s="7"/>
      <c r="W290" s="112"/>
      <c r="X290" s="112"/>
      <c r="Z290" s="7"/>
      <c r="AA290" s="7"/>
      <c r="AC290" s="7"/>
      <c r="AD290" s="7"/>
      <c r="AI290" s="7"/>
      <c r="AJ290" s="7"/>
      <c r="AK290" s="7"/>
      <c r="AO290" s="7"/>
      <c r="AP290" s="7"/>
    </row>
    <row r="291" ht="14.4" spans="2:42">
      <c r="B291" s="120"/>
      <c r="C291" s="7"/>
      <c r="D291" s="7"/>
      <c r="E291" s="7"/>
      <c r="H291" s="7"/>
      <c r="J291" s="118"/>
      <c r="K291" s="7"/>
      <c r="L291" s="7"/>
      <c r="O291" s="119"/>
      <c r="P291" s="7"/>
      <c r="Q291" s="7"/>
      <c r="W291" s="112"/>
      <c r="X291" s="112"/>
      <c r="Z291" s="7"/>
      <c r="AA291" s="7"/>
      <c r="AC291" s="7"/>
      <c r="AD291" s="7"/>
      <c r="AI291" s="7"/>
      <c r="AJ291" s="7"/>
      <c r="AK291" s="7"/>
      <c r="AO291" s="7"/>
      <c r="AP291" s="7"/>
    </row>
    <row r="292" ht="14.4" spans="2:42">
      <c r="B292" s="120"/>
      <c r="C292" s="7"/>
      <c r="D292" s="7"/>
      <c r="E292" s="7"/>
      <c r="H292" s="7"/>
      <c r="J292" s="118"/>
      <c r="K292" s="7"/>
      <c r="L292" s="7"/>
      <c r="O292" s="119"/>
      <c r="P292" s="7"/>
      <c r="Q292" s="7"/>
      <c r="W292" s="112"/>
      <c r="X292" s="112"/>
      <c r="Z292" s="7"/>
      <c r="AA292" s="7"/>
      <c r="AC292" s="7"/>
      <c r="AD292" s="7"/>
      <c r="AI292" s="7"/>
      <c r="AJ292" s="7"/>
      <c r="AK292" s="7"/>
      <c r="AO292" s="7"/>
      <c r="AP292" s="7"/>
    </row>
    <row r="293" ht="14.4" spans="2:42">
      <c r="B293" s="120"/>
      <c r="C293" s="7"/>
      <c r="D293" s="7"/>
      <c r="E293" s="7"/>
      <c r="H293" s="7"/>
      <c r="J293" s="118"/>
      <c r="K293" s="7"/>
      <c r="L293" s="7"/>
      <c r="O293" s="119"/>
      <c r="P293" s="7"/>
      <c r="Q293" s="7"/>
      <c r="W293" s="112"/>
      <c r="X293" s="112"/>
      <c r="Z293" s="7"/>
      <c r="AA293" s="7"/>
      <c r="AC293" s="7"/>
      <c r="AD293" s="7"/>
      <c r="AI293" s="7"/>
      <c r="AJ293" s="7"/>
      <c r="AK293" s="7"/>
      <c r="AO293" s="7"/>
      <c r="AP293" s="7"/>
    </row>
    <row r="294" ht="14.4" spans="2:42">
      <c r="B294" s="120"/>
      <c r="C294" s="7"/>
      <c r="D294" s="7"/>
      <c r="E294" s="7"/>
      <c r="H294" s="7"/>
      <c r="J294" s="118"/>
      <c r="K294" s="7"/>
      <c r="L294" s="7"/>
      <c r="O294" s="119"/>
      <c r="P294" s="7"/>
      <c r="Q294" s="7"/>
      <c r="W294" s="112"/>
      <c r="X294" s="112"/>
      <c r="Z294" s="7"/>
      <c r="AA294" s="7"/>
      <c r="AC294" s="7"/>
      <c r="AD294" s="7"/>
      <c r="AI294" s="7"/>
      <c r="AJ294" s="7"/>
      <c r="AK294" s="7"/>
      <c r="AO294" s="7"/>
      <c r="AP294" s="7"/>
    </row>
    <row r="295" ht="14.4" spans="2:42">
      <c r="B295" s="120"/>
      <c r="C295" s="7"/>
      <c r="D295" s="7"/>
      <c r="E295" s="7"/>
      <c r="H295" s="7"/>
      <c r="J295" s="118"/>
      <c r="K295" s="7"/>
      <c r="L295" s="7"/>
      <c r="O295" s="119"/>
      <c r="P295" s="7"/>
      <c r="Q295" s="7"/>
      <c r="W295" s="112"/>
      <c r="X295" s="112"/>
      <c r="Z295" s="7"/>
      <c r="AA295" s="7"/>
      <c r="AC295" s="7"/>
      <c r="AD295" s="7"/>
      <c r="AI295" s="7"/>
      <c r="AJ295" s="7"/>
      <c r="AK295" s="7"/>
      <c r="AO295" s="7"/>
      <c r="AP295" s="7"/>
    </row>
    <row r="296" ht="14.4" spans="2:42">
      <c r="B296" s="120"/>
      <c r="C296" s="7"/>
      <c r="D296" s="7"/>
      <c r="E296" s="7"/>
      <c r="H296" s="7"/>
      <c r="J296" s="118"/>
      <c r="K296" s="7"/>
      <c r="L296" s="7"/>
      <c r="O296" s="119"/>
      <c r="P296" s="7"/>
      <c r="Q296" s="7"/>
      <c r="W296" s="112"/>
      <c r="X296" s="112"/>
      <c r="Z296" s="7"/>
      <c r="AA296" s="7"/>
      <c r="AC296" s="7"/>
      <c r="AD296" s="7"/>
      <c r="AI296" s="7"/>
      <c r="AJ296" s="7"/>
      <c r="AK296" s="7"/>
      <c r="AO296" s="7"/>
      <c r="AP296" s="7"/>
    </row>
    <row r="297" ht="14.4" spans="2:42">
      <c r="B297" s="120"/>
      <c r="C297" s="7"/>
      <c r="D297" s="7"/>
      <c r="E297" s="7"/>
      <c r="H297" s="7"/>
      <c r="J297" s="118"/>
      <c r="K297" s="7"/>
      <c r="L297" s="7"/>
      <c r="O297" s="119"/>
      <c r="P297" s="7"/>
      <c r="Q297" s="7"/>
      <c r="W297" s="112"/>
      <c r="X297" s="112"/>
      <c r="Z297" s="7"/>
      <c r="AA297" s="7"/>
      <c r="AC297" s="7"/>
      <c r="AD297" s="7"/>
      <c r="AI297" s="7"/>
      <c r="AJ297" s="7"/>
      <c r="AK297" s="7"/>
      <c r="AO297" s="7"/>
      <c r="AP297" s="7"/>
    </row>
    <row r="298" ht="14.4" spans="2:42">
      <c r="B298" s="120"/>
      <c r="C298" s="7"/>
      <c r="D298" s="7"/>
      <c r="E298" s="7"/>
      <c r="H298" s="7"/>
      <c r="J298" s="118"/>
      <c r="K298" s="7"/>
      <c r="L298" s="7"/>
      <c r="O298" s="119"/>
      <c r="P298" s="7"/>
      <c r="Q298" s="7"/>
      <c r="W298" s="112"/>
      <c r="X298" s="112"/>
      <c r="Z298" s="7"/>
      <c r="AA298" s="7"/>
      <c r="AC298" s="7"/>
      <c r="AD298" s="7"/>
      <c r="AI298" s="7"/>
      <c r="AJ298" s="7"/>
      <c r="AK298" s="7"/>
      <c r="AO298" s="7"/>
      <c r="AP298" s="7"/>
    </row>
    <row r="299" ht="14.4" spans="2:42">
      <c r="B299" s="120"/>
      <c r="C299" s="7"/>
      <c r="D299" s="7"/>
      <c r="E299" s="7"/>
      <c r="H299" s="7"/>
      <c r="J299" s="118"/>
      <c r="K299" s="7"/>
      <c r="L299" s="7"/>
      <c r="O299" s="119"/>
      <c r="P299" s="7"/>
      <c r="Q299" s="7"/>
      <c r="W299" s="112"/>
      <c r="X299" s="112"/>
      <c r="Z299" s="7"/>
      <c r="AA299" s="7"/>
      <c r="AC299" s="7"/>
      <c r="AD299" s="7"/>
      <c r="AI299" s="7"/>
      <c r="AJ299" s="7"/>
      <c r="AK299" s="7"/>
      <c r="AO299" s="7"/>
      <c r="AP299" s="7"/>
    </row>
    <row r="300" ht="14.4" spans="2:42">
      <c r="B300" s="120"/>
      <c r="C300" s="7"/>
      <c r="D300" s="7"/>
      <c r="E300" s="7"/>
      <c r="H300" s="7"/>
      <c r="J300" s="118"/>
      <c r="K300" s="7"/>
      <c r="L300" s="7"/>
      <c r="O300" s="119"/>
      <c r="P300" s="7"/>
      <c r="Q300" s="7"/>
      <c r="W300" s="112"/>
      <c r="X300" s="112"/>
      <c r="Z300" s="7"/>
      <c r="AA300" s="7"/>
      <c r="AC300" s="7"/>
      <c r="AD300" s="7"/>
      <c r="AI300" s="7"/>
      <c r="AJ300" s="7"/>
      <c r="AK300" s="7"/>
      <c r="AO300" s="7"/>
      <c r="AP300" s="7"/>
    </row>
    <row r="301" ht="14.4" spans="2:42">
      <c r="B301" s="120"/>
      <c r="C301" s="7"/>
      <c r="D301" s="7"/>
      <c r="E301" s="7"/>
      <c r="H301" s="7"/>
      <c r="J301" s="118"/>
      <c r="K301" s="7"/>
      <c r="L301" s="7"/>
      <c r="O301" s="119"/>
      <c r="P301" s="7"/>
      <c r="Q301" s="7"/>
      <c r="W301" s="112"/>
      <c r="X301" s="112"/>
      <c r="Z301" s="7"/>
      <c r="AA301" s="7"/>
      <c r="AC301" s="7"/>
      <c r="AD301" s="7"/>
      <c r="AI301" s="7"/>
      <c r="AJ301" s="7"/>
      <c r="AK301" s="7"/>
      <c r="AO301" s="7"/>
      <c r="AP301" s="7"/>
    </row>
    <row r="302" ht="14.4" spans="2:42">
      <c r="B302" s="120"/>
      <c r="C302" s="7"/>
      <c r="D302" s="7"/>
      <c r="E302" s="7"/>
      <c r="H302" s="7"/>
      <c r="J302" s="118"/>
      <c r="K302" s="7"/>
      <c r="L302" s="7"/>
      <c r="O302" s="119"/>
      <c r="P302" s="7"/>
      <c r="Q302" s="7"/>
      <c r="W302" s="112"/>
      <c r="X302" s="112"/>
      <c r="Z302" s="7"/>
      <c r="AA302" s="7"/>
      <c r="AC302" s="7"/>
      <c r="AD302" s="7"/>
      <c r="AI302" s="7"/>
      <c r="AJ302" s="7"/>
      <c r="AK302" s="7"/>
      <c r="AO302" s="7"/>
      <c r="AP302" s="7"/>
    </row>
    <row r="303" ht="14.4" spans="2:42">
      <c r="B303" s="120"/>
      <c r="C303" s="7"/>
      <c r="D303" s="7"/>
      <c r="E303" s="7"/>
      <c r="H303" s="7"/>
      <c r="J303" s="118"/>
      <c r="K303" s="7"/>
      <c r="L303" s="7"/>
      <c r="O303" s="119"/>
      <c r="P303" s="7"/>
      <c r="Q303" s="7"/>
      <c r="W303" s="112"/>
      <c r="X303" s="112"/>
      <c r="Z303" s="7"/>
      <c r="AA303" s="7"/>
      <c r="AC303" s="7"/>
      <c r="AD303" s="7"/>
      <c r="AI303" s="7"/>
      <c r="AJ303" s="7"/>
      <c r="AK303" s="7"/>
      <c r="AO303" s="7"/>
      <c r="AP303" s="7"/>
    </row>
    <row r="304" ht="14.4" spans="2:42">
      <c r="B304" s="120"/>
      <c r="C304" s="7"/>
      <c r="D304" s="7"/>
      <c r="E304" s="7"/>
      <c r="H304" s="7"/>
      <c r="J304" s="118"/>
      <c r="K304" s="7"/>
      <c r="L304" s="7"/>
      <c r="O304" s="119"/>
      <c r="P304" s="7"/>
      <c r="Q304" s="7"/>
      <c r="W304" s="112"/>
      <c r="X304" s="112"/>
      <c r="Z304" s="7"/>
      <c r="AA304" s="7"/>
      <c r="AC304" s="7"/>
      <c r="AD304" s="7"/>
      <c r="AI304" s="7"/>
      <c r="AJ304" s="7"/>
      <c r="AK304" s="7"/>
      <c r="AO304" s="7"/>
      <c r="AP304" s="7"/>
    </row>
    <row r="305" ht="14.4" spans="2:42">
      <c r="B305" s="120"/>
      <c r="C305" s="7"/>
      <c r="D305" s="7"/>
      <c r="E305" s="7"/>
      <c r="H305" s="7"/>
      <c r="J305" s="118"/>
      <c r="K305" s="7"/>
      <c r="L305" s="7"/>
      <c r="O305" s="119"/>
      <c r="P305" s="7"/>
      <c r="Q305" s="7"/>
      <c r="W305" s="112"/>
      <c r="X305" s="112"/>
      <c r="Z305" s="7"/>
      <c r="AA305" s="7"/>
      <c r="AC305" s="7"/>
      <c r="AD305" s="7"/>
      <c r="AI305" s="7"/>
      <c r="AJ305" s="7"/>
      <c r="AK305" s="7"/>
      <c r="AO305" s="7"/>
      <c r="AP305" s="7"/>
    </row>
    <row r="306" ht="14.4" spans="2:42">
      <c r="B306" s="120"/>
      <c r="C306" s="7"/>
      <c r="D306" s="7"/>
      <c r="E306" s="7"/>
      <c r="H306" s="7"/>
      <c r="J306" s="118"/>
      <c r="K306" s="7"/>
      <c r="L306" s="7"/>
      <c r="O306" s="119"/>
      <c r="P306" s="7"/>
      <c r="Q306" s="7"/>
      <c r="W306" s="112"/>
      <c r="X306" s="112"/>
      <c r="Z306" s="7"/>
      <c r="AA306" s="7"/>
      <c r="AC306" s="7"/>
      <c r="AD306" s="7"/>
      <c r="AI306" s="7"/>
      <c r="AJ306" s="7"/>
      <c r="AK306" s="7"/>
      <c r="AO306" s="7"/>
      <c r="AP306" s="7"/>
    </row>
    <row r="307" ht="14.4" spans="2:42">
      <c r="B307" s="120"/>
      <c r="C307" s="7"/>
      <c r="D307" s="7"/>
      <c r="E307" s="7"/>
      <c r="H307" s="7"/>
      <c r="J307" s="118"/>
      <c r="K307" s="7"/>
      <c r="L307" s="7"/>
      <c r="O307" s="119"/>
      <c r="P307" s="7"/>
      <c r="Q307" s="7"/>
      <c r="W307" s="112"/>
      <c r="X307" s="112"/>
      <c r="Z307" s="7"/>
      <c r="AA307" s="7"/>
      <c r="AC307" s="7"/>
      <c r="AD307" s="7"/>
      <c r="AI307" s="7"/>
      <c r="AJ307" s="7"/>
      <c r="AK307" s="7"/>
      <c r="AO307" s="7"/>
      <c r="AP307" s="7"/>
    </row>
    <row r="308" ht="14.4" spans="2:42">
      <c r="B308" s="120"/>
      <c r="C308" s="7"/>
      <c r="D308" s="7"/>
      <c r="E308" s="7"/>
      <c r="H308" s="7"/>
      <c r="J308" s="118"/>
      <c r="K308" s="7"/>
      <c r="L308" s="7"/>
      <c r="O308" s="119"/>
      <c r="P308" s="7"/>
      <c r="Q308" s="7"/>
      <c r="W308" s="112"/>
      <c r="X308" s="112"/>
      <c r="Z308" s="7"/>
      <c r="AA308" s="7"/>
      <c r="AC308" s="7"/>
      <c r="AD308" s="7"/>
      <c r="AI308" s="7"/>
      <c r="AJ308" s="7"/>
      <c r="AK308" s="7"/>
      <c r="AO308" s="7"/>
      <c r="AP308" s="7"/>
    </row>
    <row r="309" ht="14.4" spans="2:42">
      <c r="B309" s="120"/>
      <c r="C309" s="7"/>
      <c r="D309" s="7"/>
      <c r="E309" s="7"/>
      <c r="H309" s="7"/>
      <c r="J309" s="118"/>
      <c r="K309" s="7"/>
      <c r="L309" s="7"/>
      <c r="O309" s="119"/>
      <c r="P309" s="7"/>
      <c r="Q309" s="7"/>
      <c r="W309" s="112"/>
      <c r="X309" s="112"/>
      <c r="Z309" s="7"/>
      <c r="AA309" s="7"/>
      <c r="AC309" s="7"/>
      <c r="AD309" s="7"/>
      <c r="AI309" s="7"/>
      <c r="AJ309" s="7"/>
      <c r="AK309" s="7"/>
      <c r="AO309" s="7"/>
      <c r="AP309" s="7"/>
    </row>
    <row r="310" ht="14.4" spans="2:42">
      <c r="B310" s="120"/>
      <c r="C310" s="7"/>
      <c r="D310" s="7"/>
      <c r="E310" s="7"/>
      <c r="H310" s="7"/>
      <c r="J310" s="118"/>
      <c r="K310" s="7"/>
      <c r="L310" s="7"/>
      <c r="O310" s="119"/>
      <c r="P310" s="7"/>
      <c r="Q310" s="7"/>
      <c r="W310" s="112"/>
      <c r="X310" s="112"/>
      <c r="Z310" s="7"/>
      <c r="AA310" s="7"/>
      <c r="AC310" s="7"/>
      <c r="AD310" s="7"/>
      <c r="AI310" s="7"/>
      <c r="AJ310" s="7"/>
      <c r="AK310" s="7"/>
      <c r="AO310" s="7"/>
      <c r="AP310" s="7"/>
    </row>
    <row r="311" ht="14.4" spans="2:42">
      <c r="B311" s="120"/>
      <c r="C311" s="7"/>
      <c r="D311" s="7"/>
      <c r="E311" s="7"/>
      <c r="H311" s="7"/>
      <c r="J311" s="118"/>
      <c r="K311" s="7"/>
      <c r="L311" s="7"/>
      <c r="O311" s="119"/>
      <c r="P311" s="7"/>
      <c r="Q311" s="7"/>
      <c r="W311" s="112"/>
      <c r="X311" s="112"/>
      <c r="Z311" s="7"/>
      <c r="AA311" s="7"/>
      <c r="AC311" s="7"/>
      <c r="AD311" s="7"/>
      <c r="AI311" s="7"/>
      <c r="AJ311" s="7"/>
      <c r="AK311" s="7"/>
      <c r="AO311" s="7"/>
      <c r="AP311" s="7"/>
    </row>
    <row r="312" ht="14.4" spans="2:42">
      <c r="B312" s="120"/>
      <c r="C312" s="7"/>
      <c r="D312" s="7"/>
      <c r="E312" s="7"/>
      <c r="H312" s="7"/>
      <c r="J312" s="118"/>
      <c r="K312" s="7"/>
      <c r="L312" s="7"/>
      <c r="O312" s="119"/>
      <c r="P312" s="7"/>
      <c r="Q312" s="7"/>
      <c r="W312" s="112"/>
      <c r="X312" s="112"/>
      <c r="Z312" s="7"/>
      <c r="AA312" s="7"/>
      <c r="AC312" s="7"/>
      <c r="AD312" s="7"/>
      <c r="AI312" s="7"/>
      <c r="AJ312" s="7"/>
      <c r="AK312" s="7"/>
      <c r="AO312" s="7"/>
      <c r="AP312" s="7"/>
    </row>
    <row r="313" ht="14.4" spans="2:42">
      <c r="B313" s="120"/>
      <c r="C313" s="7"/>
      <c r="D313" s="7"/>
      <c r="E313" s="7"/>
      <c r="H313" s="7"/>
      <c r="J313" s="118"/>
      <c r="K313" s="7"/>
      <c r="L313" s="7"/>
      <c r="O313" s="119"/>
      <c r="P313" s="7"/>
      <c r="Q313" s="7"/>
      <c r="W313" s="112"/>
      <c r="X313" s="112"/>
      <c r="Z313" s="7"/>
      <c r="AA313" s="7"/>
      <c r="AC313" s="7"/>
      <c r="AD313" s="7"/>
      <c r="AI313" s="7"/>
      <c r="AJ313" s="7"/>
      <c r="AK313" s="7"/>
      <c r="AO313" s="7"/>
      <c r="AP313" s="7"/>
    </row>
    <row r="314" ht="14.4" spans="2:42">
      <c r="B314" s="120"/>
      <c r="C314" s="7"/>
      <c r="D314" s="7"/>
      <c r="E314" s="7"/>
      <c r="H314" s="7"/>
      <c r="J314" s="118"/>
      <c r="K314" s="7"/>
      <c r="L314" s="7"/>
      <c r="O314" s="119"/>
      <c r="P314" s="7"/>
      <c r="Q314" s="7"/>
      <c r="W314" s="112"/>
      <c r="X314" s="112"/>
      <c r="Z314" s="7"/>
      <c r="AA314" s="7"/>
      <c r="AC314" s="7"/>
      <c r="AD314" s="7"/>
      <c r="AI314" s="7"/>
      <c r="AJ314" s="7"/>
      <c r="AK314" s="7"/>
      <c r="AO314" s="7"/>
      <c r="AP314" s="7"/>
    </row>
    <row r="315" ht="14.4" spans="2:42">
      <c r="B315" s="120"/>
      <c r="C315" s="7"/>
      <c r="D315" s="7"/>
      <c r="E315" s="7"/>
      <c r="H315" s="7"/>
      <c r="J315" s="118"/>
      <c r="K315" s="7"/>
      <c r="L315" s="7"/>
      <c r="O315" s="119"/>
      <c r="P315" s="7"/>
      <c r="Q315" s="7"/>
      <c r="W315" s="112"/>
      <c r="X315" s="112"/>
      <c r="Z315" s="7"/>
      <c r="AA315" s="7"/>
      <c r="AC315" s="7"/>
      <c r="AD315" s="7"/>
      <c r="AI315" s="7"/>
      <c r="AJ315" s="7"/>
      <c r="AK315" s="7"/>
      <c r="AO315" s="7"/>
      <c r="AP315" s="7"/>
    </row>
    <row r="316" ht="14.4" spans="2:42">
      <c r="B316" s="120"/>
      <c r="C316" s="7"/>
      <c r="D316" s="7"/>
      <c r="E316" s="7"/>
      <c r="H316" s="7"/>
      <c r="J316" s="118"/>
      <c r="K316" s="7"/>
      <c r="L316" s="7"/>
      <c r="O316" s="119"/>
      <c r="P316" s="7"/>
      <c r="Q316" s="7"/>
      <c r="W316" s="112"/>
      <c r="X316" s="112"/>
      <c r="Z316" s="7"/>
      <c r="AA316" s="7"/>
      <c r="AC316" s="7"/>
      <c r="AD316" s="7"/>
      <c r="AI316" s="7"/>
      <c r="AJ316" s="7"/>
      <c r="AK316" s="7"/>
      <c r="AO316" s="7"/>
      <c r="AP316" s="7"/>
    </row>
    <row r="317" ht="14.4" spans="2:42">
      <c r="B317" s="120"/>
      <c r="C317" s="7"/>
      <c r="D317" s="7"/>
      <c r="E317" s="7"/>
      <c r="H317" s="7"/>
      <c r="J317" s="118"/>
      <c r="K317" s="7"/>
      <c r="L317" s="7"/>
      <c r="O317" s="119"/>
      <c r="P317" s="7"/>
      <c r="Q317" s="7"/>
      <c r="W317" s="112"/>
      <c r="X317" s="112"/>
      <c r="Z317" s="7"/>
      <c r="AA317" s="7"/>
      <c r="AC317" s="7"/>
      <c r="AD317" s="7"/>
      <c r="AI317" s="7"/>
      <c r="AJ317" s="7"/>
      <c r="AK317" s="7"/>
      <c r="AO317" s="7"/>
      <c r="AP317" s="7"/>
    </row>
    <row r="318" ht="14.4" spans="2:42">
      <c r="B318" s="120"/>
      <c r="C318" s="7"/>
      <c r="D318" s="7"/>
      <c r="E318" s="7"/>
      <c r="H318" s="7"/>
      <c r="J318" s="118"/>
      <c r="K318" s="7"/>
      <c r="L318" s="7"/>
      <c r="O318" s="119"/>
      <c r="P318" s="7"/>
      <c r="Q318" s="7"/>
      <c r="W318" s="112"/>
      <c r="X318" s="112"/>
      <c r="Z318" s="7"/>
      <c r="AA318" s="7"/>
      <c r="AC318" s="7"/>
      <c r="AD318" s="7"/>
      <c r="AI318" s="7"/>
      <c r="AJ318" s="7"/>
      <c r="AK318" s="7"/>
      <c r="AO318" s="7"/>
      <c r="AP318" s="7"/>
    </row>
    <row r="319" ht="14.4" spans="2:42">
      <c r="B319" s="120"/>
      <c r="C319" s="7"/>
      <c r="D319" s="7"/>
      <c r="E319" s="7"/>
      <c r="H319" s="7"/>
      <c r="J319" s="118"/>
      <c r="K319" s="7"/>
      <c r="L319" s="7"/>
      <c r="O319" s="119"/>
      <c r="P319" s="7"/>
      <c r="Q319" s="7"/>
      <c r="W319" s="112"/>
      <c r="X319" s="112"/>
      <c r="Z319" s="7"/>
      <c r="AA319" s="7"/>
      <c r="AC319" s="7"/>
      <c r="AD319" s="7"/>
      <c r="AI319" s="7"/>
      <c r="AJ319" s="7"/>
      <c r="AK319" s="7"/>
      <c r="AO319" s="7"/>
      <c r="AP319" s="7"/>
    </row>
    <row r="320" ht="14.4" spans="2:42">
      <c r="B320" s="120"/>
      <c r="C320" s="7"/>
      <c r="D320" s="7"/>
      <c r="E320" s="7"/>
      <c r="H320" s="7"/>
      <c r="J320" s="118"/>
      <c r="K320" s="7"/>
      <c r="L320" s="7"/>
      <c r="O320" s="119"/>
      <c r="P320" s="7"/>
      <c r="Q320" s="7"/>
      <c r="W320" s="112"/>
      <c r="X320" s="112"/>
      <c r="Z320" s="7"/>
      <c r="AA320" s="7"/>
      <c r="AC320" s="7"/>
      <c r="AD320" s="7"/>
      <c r="AI320" s="7"/>
      <c r="AJ320" s="7"/>
      <c r="AK320" s="7"/>
      <c r="AO320" s="7"/>
      <c r="AP320" s="7"/>
    </row>
    <row r="321" ht="14.4" spans="2:42">
      <c r="B321" s="120"/>
      <c r="C321" s="7"/>
      <c r="D321" s="7"/>
      <c r="E321" s="7"/>
      <c r="H321" s="7"/>
      <c r="J321" s="118"/>
      <c r="K321" s="7"/>
      <c r="L321" s="7"/>
      <c r="O321" s="119"/>
      <c r="P321" s="7"/>
      <c r="Q321" s="7"/>
      <c r="W321" s="112"/>
      <c r="X321" s="112"/>
      <c r="Z321" s="7"/>
      <c r="AA321" s="7"/>
      <c r="AC321" s="7"/>
      <c r="AD321" s="7"/>
      <c r="AI321" s="7"/>
      <c r="AJ321" s="7"/>
      <c r="AK321" s="7"/>
      <c r="AO321" s="7"/>
      <c r="AP321" s="7"/>
    </row>
    <row r="322" ht="14.4" spans="2:42">
      <c r="B322" s="120"/>
      <c r="C322" s="7"/>
      <c r="D322" s="7"/>
      <c r="E322" s="7"/>
      <c r="H322" s="7"/>
      <c r="J322" s="118"/>
      <c r="K322" s="7"/>
      <c r="L322" s="7"/>
      <c r="O322" s="119"/>
      <c r="P322" s="7"/>
      <c r="Q322" s="7"/>
      <c r="W322" s="112"/>
      <c r="X322" s="112"/>
      <c r="Z322" s="7"/>
      <c r="AA322" s="7"/>
      <c r="AC322" s="7"/>
      <c r="AD322" s="7"/>
      <c r="AI322" s="7"/>
      <c r="AJ322" s="7"/>
      <c r="AK322" s="7"/>
      <c r="AO322" s="7"/>
      <c r="AP322" s="7"/>
    </row>
    <row r="323" ht="14.4" spans="2:42">
      <c r="B323" s="120"/>
      <c r="C323" s="7"/>
      <c r="D323" s="7"/>
      <c r="E323" s="7"/>
      <c r="H323" s="7"/>
      <c r="J323" s="118"/>
      <c r="K323" s="7"/>
      <c r="L323" s="7"/>
      <c r="O323" s="119"/>
      <c r="P323" s="7"/>
      <c r="Q323" s="7"/>
      <c r="W323" s="112"/>
      <c r="X323" s="112"/>
      <c r="Z323" s="7"/>
      <c r="AA323" s="7"/>
      <c r="AC323" s="7"/>
      <c r="AD323" s="7"/>
      <c r="AI323" s="7"/>
      <c r="AJ323" s="7"/>
      <c r="AK323" s="7"/>
      <c r="AO323" s="7"/>
      <c r="AP323" s="7"/>
    </row>
    <row r="324" ht="14.4" spans="2:42">
      <c r="B324" s="120"/>
      <c r="C324" s="7"/>
      <c r="D324" s="7"/>
      <c r="E324" s="7"/>
      <c r="H324" s="7"/>
      <c r="J324" s="118"/>
      <c r="K324" s="7"/>
      <c r="L324" s="7"/>
      <c r="O324" s="119"/>
      <c r="P324" s="7"/>
      <c r="Q324" s="7"/>
      <c r="W324" s="112"/>
      <c r="X324" s="112"/>
      <c r="Z324" s="7"/>
      <c r="AA324" s="7"/>
      <c r="AC324" s="7"/>
      <c r="AD324" s="7"/>
      <c r="AI324" s="7"/>
      <c r="AJ324" s="7"/>
      <c r="AK324" s="7"/>
      <c r="AO324" s="7"/>
      <c r="AP324" s="7"/>
    </row>
    <row r="325" spans="2:42">
      <c r="B325" s="112"/>
      <c r="C325" s="7"/>
      <c r="D325" s="7"/>
      <c r="E325" s="7"/>
      <c r="H325" s="7"/>
      <c r="J325" s="118"/>
      <c r="K325" s="7"/>
      <c r="L325" s="7"/>
      <c r="M325" s="121"/>
      <c r="O325" s="119"/>
      <c r="P325" s="7"/>
      <c r="Q325" s="7"/>
      <c r="W325" s="7"/>
      <c r="X325" s="7"/>
      <c r="Z325" s="7"/>
      <c r="AA325" s="7"/>
      <c r="AC325" s="7"/>
      <c r="AD325" s="7"/>
      <c r="AJ325" s="7"/>
      <c r="AK325" s="7"/>
      <c r="AO325" s="7"/>
      <c r="AP325" s="7"/>
    </row>
    <row r="326" spans="2:42">
      <c r="B326" s="112"/>
      <c r="C326" s="7"/>
      <c r="D326" s="7"/>
      <c r="E326" s="7"/>
      <c r="H326" s="7"/>
      <c r="J326" s="118"/>
      <c r="K326" s="7"/>
      <c r="L326" s="7"/>
      <c r="M326" s="121"/>
      <c r="O326" s="119"/>
      <c r="P326" s="7"/>
      <c r="Q326" s="7"/>
      <c r="W326" s="7"/>
      <c r="X326" s="7"/>
      <c r="Z326" s="7"/>
      <c r="AA326" s="7"/>
      <c r="AC326" s="7"/>
      <c r="AD326" s="7"/>
      <c r="AJ326" s="7"/>
      <c r="AK326" s="7"/>
      <c r="AO326" s="7"/>
      <c r="AP326" s="7"/>
    </row>
    <row r="327" spans="2:42">
      <c r="B327" s="112"/>
      <c r="C327" s="7"/>
      <c r="D327" s="7"/>
      <c r="E327" s="7"/>
      <c r="H327" s="7"/>
      <c r="J327" s="118"/>
      <c r="K327" s="7"/>
      <c r="L327" s="7"/>
      <c r="M327" s="121"/>
      <c r="O327" s="119"/>
      <c r="P327" s="7"/>
      <c r="Q327" s="7"/>
      <c r="W327" s="7"/>
      <c r="X327" s="7"/>
      <c r="Z327" s="7"/>
      <c r="AA327" s="7"/>
      <c r="AC327" s="7"/>
      <c r="AD327" s="7"/>
      <c r="AJ327" s="7"/>
      <c r="AK327" s="7"/>
      <c r="AO327" s="7"/>
      <c r="AP327" s="7"/>
    </row>
    <row r="328" spans="2:42">
      <c r="B328" s="112"/>
      <c r="C328" s="7"/>
      <c r="D328" s="7"/>
      <c r="E328" s="7"/>
      <c r="H328" s="7"/>
      <c r="J328" s="118"/>
      <c r="K328" s="7"/>
      <c r="L328" s="7"/>
      <c r="M328" s="121"/>
      <c r="O328" s="119"/>
      <c r="P328" s="7"/>
      <c r="Q328" s="7"/>
      <c r="W328" s="7"/>
      <c r="X328" s="7"/>
      <c r="Z328" s="7"/>
      <c r="AA328" s="7"/>
      <c r="AC328" s="7"/>
      <c r="AD328" s="7"/>
      <c r="AJ328" s="7"/>
      <c r="AK328" s="7"/>
      <c r="AO328" s="7"/>
      <c r="AP328" s="7"/>
    </row>
    <row r="329" spans="2:42">
      <c r="B329" s="112"/>
      <c r="C329" s="7"/>
      <c r="D329" s="7"/>
      <c r="E329" s="7"/>
      <c r="H329" s="7"/>
      <c r="J329" s="118"/>
      <c r="K329" s="7"/>
      <c r="L329" s="7"/>
      <c r="M329" s="121"/>
      <c r="O329" s="119"/>
      <c r="P329" s="7"/>
      <c r="Q329" s="7"/>
      <c r="W329" s="7"/>
      <c r="X329" s="7"/>
      <c r="Z329" s="7"/>
      <c r="AA329" s="7"/>
      <c r="AC329" s="7"/>
      <c r="AD329" s="7"/>
      <c r="AJ329" s="7"/>
      <c r="AK329" s="7"/>
      <c r="AO329" s="7"/>
      <c r="AP329" s="7"/>
    </row>
    <row r="330" spans="2:42">
      <c r="B330" s="112"/>
      <c r="C330" s="7"/>
      <c r="D330" s="7"/>
      <c r="E330" s="7"/>
      <c r="H330" s="7"/>
      <c r="J330" s="118"/>
      <c r="K330" s="7"/>
      <c r="L330" s="7"/>
      <c r="M330" s="121"/>
      <c r="O330" s="119"/>
      <c r="P330" s="7"/>
      <c r="Q330" s="7"/>
      <c r="W330" s="7"/>
      <c r="X330" s="7"/>
      <c r="Z330" s="7"/>
      <c r="AA330" s="7"/>
      <c r="AC330" s="7"/>
      <c r="AD330" s="7"/>
      <c r="AJ330" s="7"/>
      <c r="AK330" s="7"/>
      <c r="AO330" s="7"/>
      <c r="AP330" s="7"/>
    </row>
    <row r="331" spans="2:42">
      <c r="B331" s="112"/>
      <c r="C331" s="7"/>
      <c r="D331" s="7"/>
      <c r="E331" s="7"/>
      <c r="H331" s="7"/>
      <c r="J331" s="118"/>
      <c r="K331" s="7"/>
      <c r="L331" s="7"/>
      <c r="M331" s="121"/>
      <c r="P331" s="7"/>
      <c r="Q331" s="7"/>
      <c r="W331" s="7"/>
      <c r="X331" s="7"/>
      <c r="Z331" s="7"/>
      <c r="AA331" s="7"/>
      <c r="AC331" s="7"/>
      <c r="AD331" s="7"/>
      <c r="AI331" s="7"/>
      <c r="AJ331" s="7"/>
      <c r="AK331" s="7"/>
      <c r="AO331" s="7"/>
      <c r="AP331" s="7"/>
    </row>
    <row r="332" spans="2:42">
      <c r="B332" s="112"/>
      <c r="C332" s="7"/>
      <c r="D332" s="7"/>
      <c r="E332" s="7"/>
      <c r="H332" s="7"/>
      <c r="J332" s="118"/>
      <c r="K332" s="7"/>
      <c r="L332" s="7"/>
      <c r="M332" s="121"/>
      <c r="P332" s="7"/>
      <c r="Q332" s="7"/>
      <c r="W332" s="7"/>
      <c r="X332" s="7"/>
      <c r="Z332" s="7"/>
      <c r="AA332" s="7"/>
      <c r="AC332" s="7"/>
      <c r="AD332" s="7"/>
      <c r="AI332" s="7"/>
      <c r="AJ332" s="7"/>
      <c r="AK332" s="7"/>
      <c r="AO332" s="7"/>
      <c r="AP332" s="7"/>
    </row>
    <row r="333" spans="2:42">
      <c r="B333" s="112"/>
      <c r="C333" s="7"/>
      <c r="D333" s="7"/>
      <c r="E333" s="7"/>
      <c r="H333" s="7"/>
      <c r="J333" s="118"/>
      <c r="K333" s="7"/>
      <c r="L333" s="7"/>
      <c r="M333" s="121"/>
      <c r="P333" s="7"/>
      <c r="Q333" s="7"/>
      <c r="W333" s="7"/>
      <c r="X333" s="7"/>
      <c r="Z333" s="7"/>
      <c r="AA333" s="7"/>
      <c r="AC333" s="7"/>
      <c r="AD333" s="7"/>
      <c r="AI333" s="7"/>
      <c r="AJ333" s="7"/>
      <c r="AK333" s="7"/>
      <c r="AO333" s="7"/>
      <c r="AP333" s="7"/>
    </row>
    <row r="334" spans="2:42">
      <c r="B334" s="112"/>
      <c r="C334" s="7"/>
      <c r="D334" s="7"/>
      <c r="E334" s="7"/>
      <c r="H334" s="7"/>
      <c r="J334" s="118"/>
      <c r="K334" s="7"/>
      <c r="L334" s="7"/>
      <c r="M334" s="121"/>
      <c r="P334" s="7"/>
      <c r="Q334" s="7"/>
      <c r="W334" s="7"/>
      <c r="X334" s="7"/>
      <c r="Z334" s="7"/>
      <c r="AA334" s="7"/>
      <c r="AC334" s="7"/>
      <c r="AD334" s="7"/>
      <c r="AI334" s="7"/>
      <c r="AJ334" s="7"/>
      <c r="AK334" s="7"/>
      <c r="AO334" s="7"/>
      <c r="AP334" s="7"/>
    </row>
    <row r="335" spans="2:42">
      <c r="B335" s="112"/>
      <c r="C335" s="7"/>
      <c r="D335" s="7"/>
      <c r="E335" s="7"/>
      <c r="H335" s="7"/>
      <c r="J335" s="118"/>
      <c r="K335" s="7"/>
      <c r="L335" s="7"/>
      <c r="M335" s="121"/>
      <c r="P335" s="7"/>
      <c r="Q335" s="7"/>
      <c r="W335" s="7"/>
      <c r="X335" s="7"/>
      <c r="Z335" s="7"/>
      <c r="AA335" s="7"/>
      <c r="AC335" s="7"/>
      <c r="AD335" s="7"/>
      <c r="AI335" s="7"/>
      <c r="AJ335" s="7"/>
      <c r="AK335" s="7"/>
      <c r="AO335" s="7"/>
      <c r="AP335" s="7"/>
    </row>
    <row r="336" spans="2:42">
      <c r="B336" s="112"/>
      <c r="C336" s="7"/>
      <c r="D336" s="7"/>
      <c r="E336" s="7"/>
      <c r="H336" s="7"/>
      <c r="J336" s="122"/>
      <c r="K336" s="112"/>
      <c r="L336" s="7"/>
      <c r="M336" s="121"/>
      <c r="O336" s="119"/>
      <c r="P336" s="7"/>
      <c r="Q336" s="7"/>
      <c r="W336" s="112"/>
      <c r="X336" s="7"/>
      <c r="Z336" s="7"/>
      <c r="AA336" s="7"/>
      <c r="AB336" s="7"/>
      <c r="AC336" s="7"/>
      <c r="AD336" s="7"/>
      <c r="AI336" s="7"/>
      <c r="AJ336" s="7"/>
      <c r="AK336" s="7"/>
      <c r="AO336" s="7"/>
      <c r="AP336" s="7"/>
    </row>
    <row r="337" spans="2:42">
      <c r="B337" s="112"/>
      <c r="C337" s="7"/>
      <c r="D337" s="7"/>
      <c r="E337" s="7"/>
      <c r="H337" s="7"/>
      <c r="J337" s="122"/>
      <c r="K337" s="112"/>
      <c r="L337" s="7"/>
      <c r="M337" s="121"/>
      <c r="O337" s="119"/>
      <c r="P337" s="7"/>
      <c r="Q337" s="7"/>
      <c r="W337" s="112"/>
      <c r="X337" s="7"/>
      <c r="Z337" s="7"/>
      <c r="AA337" s="7"/>
      <c r="AB337" s="7"/>
      <c r="AC337" s="7"/>
      <c r="AD337" s="7"/>
      <c r="AI337" s="7"/>
      <c r="AJ337" s="7"/>
      <c r="AK337" s="7"/>
      <c r="AO337" s="7"/>
      <c r="AP337" s="7"/>
    </row>
    <row r="338" spans="2:42">
      <c r="B338" s="112"/>
      <c r="C338" s="7"/>
      <c r="D338" s="7"/>
      <c r="E338" s="7"/>
      <c r="H338" s="7"/>
      <c r="J338" s="122"/>
      <c r="K338" s="112"/>
      <c r="L338" s="7"/>
      <c r="M338" s="121"/>
      <c r="O338" s="119"/>
      <c r="P338" s="7"/>
      <c r="Q338" s="7"/>
      <c r="W338" s="112"/>
      <c r="X338" s="7"/>
      <c r="Z338" s="7"/>
      <c r="AA338" s="7"/>
      <c r="AB338" s="7"/>
      <c r="AC338" s="7"/>
      <c r="AD338" s="7"/>
      <c r="AI338" s="7"/>
      <c r="AJ338" s="7"/>
      <c r="AK338" s="7"/>
      <c r="AO338" s="7"/>
      <c r="AP338" s="7"/>
    </row>
    <row r="339" spans="2:42">
      <c r="B339" s="112"/>
      <c r="C339" s="7"/>
      <c r="D339" s="7"/>
      <c r="E339" s="7"/>
      <c r="H339" s="7"/>
      <c r="J339" s="122"/>
      <c r="K339" s="112"/>
      <c r="L339" s="7"/>
      <c r="M339" s="121"/>
      <c r="O339" s="119"/>
      <c r="P339" s="7"/>
      <c r="Q339" s="7"/>
      <c r="W339" s="112"/>
      <c r="X339" s="7"/>
      <c r="Z339" s="7"/>
      <c r="AA339" s="7"/>
      <c r="AB339" s="7"/>
      <c r="AC339" s="7"/>
      <c r="AD339" s="7"/>
      <c r="AI339" s="7"/>
      <c r="AJ339" s="7"/>
      <c r="AK339" s="7"/>
      <c r="AO339" s="7"/>
      <c r="AP339" s="7"/>
    </row>
    <row r="340" spans="2:42">
      <c r="B340" s="112"/>
      <c r="C340" s="7"/>
      <c r="D340" s="7"/>
      <c r="E340" s="7"/>
      <c r="H340" s="7"/>
      <c r="J340" s="122"/>
      <c r="K340" s="112"/>
      <c r="L340" s="7"/>
      <c r="M340" s="121"/>
      <c r="O340" s="119"/>
      <c r="P340" s="7"/>
      <c r="Q340" s="7"/>
      <c r="R340" s="112"/>
      <c r="S340" s="112"/>
      <c r="T340" s="112"/>
      <c r="W340" s="112"/>
      <c r="X340" s="7"/>
      <c r="Z340" s="7"/>
      <c r="AA340" s="7"/>
      <c r="AB340" s="7"/>
      <c r="AC340" s="7"/>
      <c r="AD340" s="7"/>
      <c r="AI340" s="7"/>
      <c r="AJ340" s="7"/>
      <c r="AK340" s="7"/>
      <c r="AO340" s="7"/>
      <c r="AP340" s="7"/>
    </row>
    <row r="341" spans="2:42">
      <c r="B341" s="112"/>
      <c r="C341" s="7"/>
      <c r="D341" s="7"/>
      <c r="E341" s="7"/>
      <c r="H341" s="7"/>
      <c r="J341" s="122"/>
      <c r="K341" s="112"/>
      <c r="L341" s="7"/>
      <c r="M341" s="121"/>
      <c r="O341" s="119"/>
      <c r="P341" s="7"/>
      <c r="Q341" s="7"/>
      <c r="R341" s="112"/>
      <c r="S341" s="112"/>
      <c r="T341" s="112"/>
      <c r="W341" s="112"/>
      <c r="X341" s="7"/>
      <c r="Z341" s="7"/>
      <c r="AA341" s="7"/>
      <c r="AB341" s="7"/>
      <c r="AC341" s="7"/>
      <c r="AD341" s="7"/>
      <c r="AI341" s="7"/>
      <c r="AJ341" s="7"/>
      <c r="AK341" s="7"/>
      <c r="AO341" s="7"/>
      <c r="AP341" s="7"/>
    </row>
    <row r="342" spans="2:42">
      <c r="B342" s="112"/>
      <c r="C342" s="7"/>
      <c r="D342" s="7"/>
      <c r="E342" s="7"/>
      <c r="H342" s="7"/>
      <c r="J342" s="122"/>
      <c r="K342" s="112"/>
      <c r="L342" s="7"/>
      <c r="M342" s="121"/>
      <c r="O342" s="119"/>
      <c r="P342" s="7"/>
      <c r="Q342" s="7"/>
      <c r="R342" s="112"/>
      <c r="S342" s="112"/>
      <c r="T342" s="112"/>
      <c r="W342" s="112"/>
      <c r="X342" s="7"/>
      <c r="Z342" s="7"/>
      <c r="AA342" s="7"/>
      <c r="AB342" s="7"/>
      <c r="AC342" s="7"/>
      <c r="AD342" s="7"/>
      <c r="AI342" s="7"/>
      <c r="AJ342" s="7"/>
      <c r="AK342" s="7"/>
      <c r="AO342" s="7"/>
      <c r="AP342" s="7"/>
    </row>
    <row r="343" spans="2:42">
      <c r="B343" s="112"/>
      <c r="C343" s="7"/>
      <c r="D343" s="7"/>
      <c r="E343" s="7"/>
      <c r="H343" s="7"/>
      <c r="J343" s="122"/>
      <c r="K343" s="112"/>
      <c r="L343" s="7"/>
      <c r="M343" s="121"/>
      <c r="O343" s="119"/>
      <c r="P343" s="7"/>
      <c r="Q343" s="7"/>
      <c r="R343" s="112"/>
      <c r="S343" s="112"/>
      <c r="T343" s="112"/>
      <c r="W343" s="112"/>
      <c r="X343" s="7"/>
      <c r="Z343" s="7"/>
      <c r="AA343" s="7"/>
      <c r="AB343" s="7"/>
      <c r="AC343" s="7"/>
      <c r="AD343" s="7"/>
      <c r="AI343" s="7"/>
      <c r="AJ343" s="7"/>
      <c r="AK343" s="7"/>
      <c r="AO343" s="7"/>
      <c r="AP343" s="7"/>
    </row>
    <row r="344" spans="2:42">
      <c r="B344" s="112"/>
      <c r="C344" s="7"/>
      <c r="D344" s="7"/>
      <c r="E344" s="7"/>
      <c r="H344" s="7"/>
      <c r="J344" s="122"/>
      <c r="K344" s="112"/>
      <c r="L344" s="7"/>
      <c r="M344" s="121"/>
      <c r="O344" s="119"/>
      <c r="P344" s="7"/>
      <c r="Q344" s="7"/>
      <c r="R344" s="112"/>
      <c r="S344" s="112"/>
      <c r="T344" s="112"/>
      <c r="W344" s="112"/>
      <c r="X344" s="7"/>
      <c r="Z344" s="7"/>
      <c r="AA344" s="7"/>
      <c r="AB344" s="7"/>
      <c r="AC344" s="7"/>
      <c r="AD344" s="7"/>
      <c r="AI344" s="7"/>
      <c r="AJ344" s="7"/>
      <c r="AK344" s="7"/>
      <c r="AO344" s="7"/>
      <c r="AP344" s="7"/>
    </row>
    <row r="345" spans="2:42">
      <c r="B345" s="112"/>
      <c r="C345" s="7"/>
      <c r="D345" s="7"/>
      <c r="E345" s="7"/>
      <c r="H345" s="7"/>
      <c r="J345" s="122"/>
      <c r="K345" s="112"/>
      <c r="L345" s="7"/>
      <c r="M345" s="121"/>
      <c r="O345" s="119"/>
      <c r="P345" s="7"/>
      <c r="Q345" s="7"/>
      <c r="R345" s="112"/>
      <c r="S345" s="112"/>
      <c r="T345" s="112"/>
      <c r="W345" s="112"/>
      <c r="X345" s="7"/>
      <c r="Z345" s="7"/>
      <c r="AA345" s="7"/>
      <c r="AB345" s="7"/>
      <c r="AC345" s="7"/>
      <c r="AD345" s="7"/>
      <c r="AI345" s="7"/>
      <c r="AJ345" s="7"/>
      <c r="AK345" s="7"/>
      <c r="AO345" s="7"/>
      <c r="AP345" s="7"/>
    </row>
    <row r="346" spans="2:42">
      <c r="B346" s="112"/>
      <c r="C346" s="7"/>
      <c r="D346" s="7"/>
      <c r="E346" s="7"/>
      <c r="H346" s="7"/>
      <c r="J346" s="122"/>
      <c r="K346" s="112"/>
      <c r="L346" s="7"/>
      <c r="M346" s="121"/>
      <c r="O346" s="119"/>
      <c r="P346" s="7"/>
      <c r="Q346" s="7"/>
      <c r="R346" s="112"/>
      <c r="S346" s="112"/>
      <c r="T346" s="112"/>
      <c r="W346" s="112"/>
      <c r="X346" s="7"/>
      <c r="Z346" s="7"/>
      <c r="AA346" s="7"/>
      <c r="AB346" s="7"/>
      <c r="AC346" s="7"/>
      <c r="AD346" s="7"/>
      <c r="AI346" s="7"/>
      <c r="AJ346" s="7"/>
      <c r="AK346" s="7"/>
      <c r="AO346" s="7"/>
      <c r="AP346" s="7"/>
    </row>
    <row r="347" spans="2:42">
      <c r="B347" s="112"/>
      <c r="C347" s="7"/>
      <c r="D347" s="7"/>
      <c r="E347" s="7"/>
      <c r="H347" s="7"/>
      <c r="J347" s="122"/>
      <c r="K347" s="112"/>
      <c r="L347" s="7"/>
      <c r="M347" s="121"/>
      <c r="O347" s="119"/>
      <c r="P347" s="7"/>
      <c r="Q347" s="7"/>
      <c r="R347" s="112"/>
      <c r="S347" s="112"/>
      <c r="T347" s="112"/>
      <c r="W347" s="112"/>
      <c r="X347" s="7"/>
      <c r="Z347" s="7"/>
      <c r="AA347" s="7"/>
      <c r="AB347" s="7"/>
      <c r="AC347" s="7"/>
      <c r="AD347" s="7"/>
      <c r="AI347" s="7"/>
      <c r="AJ347" s="7"/>
      <c r="AK347" s="7"/>
      <c r="AO347" s="7"/>
      <c r="AP347" s="7"/>
    </row>
    <row r="348" spans="2:42">
      <c r="B348" s="112"/>
      <c r="C348" s="7"/>
      <c r="D348" s="7"/>
      <c r="E348" s="7"/>
      <c r="H348" s="7"/>
      <c r="J348" s="122"/>
      <c r="K348" s="112"/>
      <c r="L348" s="7"/>
      <c r="M348" s="121"/>
      <c r="O348" s="119"/>
      <c r="P348" s="7"/>
      <c r="Q348" s="7"/>
      <c r="R348" s="112"/>
      <c r="S348" s="112"/>
      <c r="T348" s="112"/>
      <c r="W348" s="112"/>
      <c r="X348" s="7"/>
      <c r="Z348" s="7"/>
      <c r="AA348" s="7"/>
      <c r="AB348" s="7"/>
      <c r="AC348" s="7"/>
      <c r="AD348" s="7"/>
      <c r="AI348" s="7"/>
      <c r="AJ348" s="7"/>
      <c r="AK348" s="7"/>
      <c r="AO348" s="7"/>
      <c r="AP348" s="7"/>
    </row>
    <row r="349" spans="2:42">
      <c r="B349" s="112"/>
      <c r="C349" s="7"/>
      <c r="D349" s="7"/>
      <c r="E349" s="7"/>
      <c r="H349" s="7"/>
      <c r="J349" s="122"/>
      <c r="K349" s="112"/>
      <c r="L349" s="7"/>
      <c r="M349" s="121"/>
      <c r="O349" s="119"/>
      <c r="P349" s="7"/>
      <c r="Q349" s="7"/>
      <c r="R349" s="112"/>
      <c r="S349" s="112"/>
      <c r="T349" s="112"/>
      <c r="W349" s="112"/>
      <c r="X349" s="7"/>
      <c r="Z349" s="7"/>
      <c r="AA349" s="7"/>
      <c r="AB349" s="7"/>
      <c r="AC349" s="7"/>
      <c r="AD349" s="7"/>
      <c r="AI349" s="7"/>
      <c r="AJ349" s="7"/>
      <c r="AK349" s="7"/>
      <c r="AO349" s="7"/>
      <c r="AP349" s="7"/>
    </row>
    <row r="350" spans="2:42">
      <c r="B350" s="112"/>
      <c r="C350" s="7"/>
      <c r="D350" s="7"/>
      <c r="E350" s="7"/>
      <c r="H350" s="7"/>
      <c r="J350" s="122"/>
      <c r="K350" s="112"/>
      <c r="L350" s="7"/>
      <c r="M350" s="121"/>
      <c r="O350" s="119"/>
      <c r="P350" s="7"/>
      <c r="Q350" s="7"/>
      <c r="R350" s="112"/>
      <c r="S350" s="112"/>
      <c r="T350" s="112"/>
      <c r="W350" s="112"/>
      <c r="X350" s="7"/>
      <c r="Z350" s="7"/>
      <c r="AA350" s="7"/>
      <c r="AB350" s="7"/>
      <c r="AC350" s="7"/>
      <c r="AD350" s="7"/>
      <c r="AI350" s="7"/>
      <c r="AJ350" s="7"/>
      <c r="AK350" s="7"/>
      <c r="AO350" s="7"/>
      <c r="AP350" s="7"/>
    </row>
    <row r="351" spans="2:42">
      <c r="B351" s="112"/>
      <c r="C351" s="7"/>
      <c r="D351" s="7"/>
      <c r="E351" s="7"/>
      <c r="H351" s="7"/>
      <c r="J351" s="122"/>
      <c r="K351" s="112"/>
      <c r="L351" s="7"/>
      <c r="M351" s="121"/>
      <c r="O351" s="119"/>
      <c r="P351" s="7"/>
      <c r="Q351" s="7"/>
      <c r="R351" s="112"/>
      <c r="S351" s="112"/>
      <c r="T351" s="112"/>
      <c r="W351" s="112"/>
      <c r="X351" s="7"/>
      <c r="Z351" s="7"/>
      <c r="AA351" s="7"/>
      <c r="AB351" s="7"/>
      <c r="AC351" s="7"/>
      <c r="AD351" s="7"/>
      <c r="AI351" s="7"/>
      <c r="AJ351" s="7"/>
      <c r="AK351" s="7"/>
      <c r="AO351" s="7"/>
      <c r="AP351" s="7"/>
    </row>
    <row r="352" spans="2:42">
      <c r="B352" s="112"/>
      <c r="C352" s="7"/>
      <c r="D352" s="7"/>
      <c r="E352" s="7"/>
      <c r="H352" s="7"/>
      <c r="J352" s="122"/>
      <c r="K352" s="112"/>
      <c r="L352" s="7"/>
      <c r="M352" s="121"/>
      <c r="O352" s="119"/>
      <c r="P352" s="7"/>
      <c r="Q352" s="7"/>
      <c r="R352" s="7"/>
      <c r="S352" s="7"/>
      <c r="T352" s="7"/>
      <c r="W352" s="112"/>
      <c r="X352" s="7"/>
      <c r="Z352" s="7"/>
      <c r="AA352" s="7"/>
      <c r="AB352" s="7"/>
      <c r="AC352" s="7"/>
      <c r="AD352" s="7"/>
      <c r="AI352" s="7"/>
      <c r="AJ352" s="7"/>
      <c r="AK352" s="7"/>
      <c r="AO352" s="7"/>
      <c r="AP352" s="7"/>
    </row>
    <row r="353" spans="2:42">
      <c r="B353" s="112"/>
      <c r="C353" s="7"/>
      <c r="D353" s="7"/>
      <c r="E353" s="7"/>
      <c r="H353" s="7"/>
      <c r="J353" s="122"/>
      <c r="K353" s="112"/>
      <c r="L353" s="7"/>
      <c r="M353" s="121"/>
      <c r="O353" s="119"/>
      <c r="P353" s="7"/>
      <c r="Q353" s="7"/>
      <c r="R353" s="7"/>
      <c r="S353" s="7"/>
      <c r="T353" s="7"/>
      <c r="W353" s="112"/>
      <c r="X353" s="7"/>
      <c r="Z353" s="7"/>
      <c r="AA353" s="7"/>
      <c r="AB353" s="7"/>
      <c r="AC353" s="7"/>
      <c r="AD353" s="7"/>
      <c r="AI353" s="7"/>
      <c r="AJ353" s="7"/>
      <c r="AK353" s="7"/>
      <c r="AO353" s="7"/>
      <c r="AP353" s="7"/>
    </row>
    <row r="354" s="113" customFormat="1" spans="5:28">
      <c r="E354" s="7"/>
      <c r="H354" s="7"/>
      <c r="J354" s="118"/>
      <c r="AB354" s="7"/>
    </row>
    <row r="355" s="113" customFormat="1" spans="5:28">
      <c r="E355" s="7"/>
      <c r="H355" s="7"/>
      <c r="J355" s="118"/>
      <c r="AB355" s="7"/>
    </row>
    <row r="356" s="113" customFormat="1" spans="5:28">
      <c r="E356" s="7"/>
      <c r="H356" s="7"/>
      <c r="J356" s="118"/>
      <c r="AB356" s="7"/>
    </row>
    <row r="357" s="113" customFormat="1" spans="5:28">
      <c r="E357" s="7"/>
      <c r="H357" s="7"/>
      <c r="J357" s="118"/>
      <c r="AB357" s="7"/>
    </row>
    <row r="358" s="113" customFormat="1" spans="5:28">
      <c r="E358" s="7"/>
      <c r="H358" s="7"/>
      <c r="J358" s="118"/>
      <c r="AB358" s="7"/>
    </row>
    <row r="359" s="113" customFormat="1" spans="5:28">
      <c r="E359" s="7"/>
      <c r="H359" s="7"/>
      <c r="J359" s="118"/>
      <c r="AB359" s="7"/>
    </row>
    <row r="360" s="113" customFormat="1" spans="5:28">
      <c r="E360" s="7"/>
      <c r="H360" s="7"/>
      <c r="J360" s="118"/>
      <c r="AB360" s="7"/>
    </row>
    <row r="361" s="113" customFormat="1" spans="5:28">
      <c r="E361" s="7"/>
      <c r="H361" s="7"/>
      <c r="J361" s="118"/>
      <c r="AB361" s="7"/>
    </row>
    <row r="362" s="113" customFormat="1" spans="5:28">
      <c r="E362" s="7"/>
      <c r="H362" s="7"/>
      <c r="J362" s="118"/>
      <c r="AB362" s="7"/>
    </row>
    <row r="363" s="113" customFormat="1" spans="5:28">
      <c r="E363" s="7"/>
      <c r="H363" s="7"/>
      <c r="J363" s="118"/>
      <c r="AB363" s="7"/>
    </row>
    <row r="364" s="113" customFormat="1" spans="5:28">
      <c r="E364" s="7"/>
      <c r="H364" s="7"/>
      <c r="J364" s="118"/>
      <c r="AB364" s="7"/>
    </row>
    <row r="365" s="113" customFormat="1" spans="5:28">
      <c r="E365" s="7"/>
      <c r="H365" s="7"/>
      <c r="J365" s="118"/>
      <c r="AB365" s="7"/>
    </row>
    <row r="366" s="113" customFormat="1" spans="5:28">
      <c r="E366" s="7"/>
      <c r="H366" s="7"/>
      <c r="J366" s="118"/>
      <c r="AB366" s="7"/>
    </row>
    <row r="367" s="113" customFormat="1" spans="5:28">
      <c r="E367" s="7"/>
      <c r="H367" s="7"/>
      <c r="J367" s="118"/>
      <c r="AB367" s="7"/>
    </row>
    <row r="368" s="113" customFormat="1" spans="5:28">
      <c r="E368" s="7"/>
      <c r="H368" s="7"/>
      <c r="J368" s="118"/>
      <c r="AB368" s="7"/>
    </row>
    <row r="369" s="113" customFormat="1" spans="5:28">
      <c r="E369" s="7"/>
      <c r="H369" s="7"/>
      <c r="J369" s="118"/>
      <c r="AB369" s="7"/>
    </row>
    <row r="370" s="113" customFormat="1" spans="5:28">
      <c r="E370" s="7"/>
      <c r="H370" s="7"/>
      <c r="J370" s="118"/>
      <c r="AB370" s="7"/>
    </row>
    <row r="371" s="113" customFormat="1" spans="5:28">
      <c r="E371" s="7"/>
      <c r="H371" s="7"/>
      <c r="J371" s="118"/>
      <c r="AB371" s="7"/>
    </row>
    <row r="372" spans="2:42">
      <c r="B372" s="112"/>
      <c r="C372" s="7"/>
      <c r="D372" s="7"/>
      <c r="E372" s="7"/>
      <c r="H372" s="7"/>
      <c r="J372" s="118"/>
      <c r="K372" s="7"/>
      <c r="L372" s="7"/>
      <c r="O372" s="119"/>
      <c r="P372" s="7"/>
      <c r="Q372" s="7"/>
      <c r="W372" s="7"/>
      <c r="X372" s="7"/>
      <c r="Z372" s="7"/>
      <c r="AA372" s="7"/>
      <c r="AC372" s="7"/>
      <c r="AD372" s="7"/>
      <c r="AI372" s="7"/>
      <c r="AJ372" s="7"/>
      <c r="AK372" s="7"/>
      <c r="AO372" s="7"/>
      <c r="AP372" s="7"/>
    </row>
    <row r="373" spans="2:42">
      <c r="B373" s="112"/>
      <c r="C373" s="7"/>
      <c r="D373" s="7"/>
      <c r="E373" s="7"/>
      <c r="H373" s="7"/>
      <c r="I373" s="113"/>
      <c r="J373" s="118"/>
      <c r="K373" s="7"/>
      <c r="L373" s="7"/>
      <c r="M373" s="113"/>
      <c r="O373" s="119"/>
      <c r="P373" s="7"/>
      <c r="Q373" s="7"/>
      <c r="W373" s="7"/>
      <c r="X373" s="7"/>
      <c r="Z373" s="7"/>
      <c r="AA373" s="7"/>
      <c r="AC373" s="7"/>
      <c r="AD373" s="7"/>
      <c r="AI373" s="7"/>
      <c r="AJ373" s="7"/>
      <c r="AK373" s="7"/>
      <c r="AO373" s="7"/>
      <c r="AP373" s="7"/>
    </row>
    <row r="374" spans="2:42">
      <c r="B374" s="112"/>
      <c r="C374" s="7"/>
      <c r="D374" s="7"/>
      <c r="E374" s="7"/>
      <c r="H374" s="7"/>
      <c r="I374" s="113"/>
      <c r="J374" s="118"/>
      <c r="K374" s="7"/>
      <c r="L374" s="7"/>
      <c r="M374" s="113"/>
      <c r="O374" s="119"/>
      <c r="P374" s="7"/>
      <c r="Q374" s="7"/>
      <c r="W374" s="7"/>
      <c r="X374" s="7"/>
      <c r="Z374" s="7"/>
      <c r="AA374" s="7"/>
      <c r="AC374" s="7"/>
      <c r="AD374" s="7"/>
      <c r="AI374" s="7"/>
      <c r="AJ374" s="7"/>
      <c r="AK374" s="7"/>
      <c r="AO374" s="7"/>
      <c r="AP374" s="7"/>
    </row>
    <row r="375" spans="2:42">
      <c r="B375" s="112"/>
      <c r="C375" s="7"/>
      <c r="D375" s="7"/>
      <c r="E375" s="7"/>
      <c r="H375" s="7"/>
      <c r="I375" s="113"/>
      <c r="J375" s="118"/>
      <c r="K375" s="7"/>
      <c r="L375" s="7"/>
      <c r="M375" s="113"/>
      <c r="O375" s="119"/>
      <c r="P375" s="7"/>
      <c r="Q375" s="7"/>
      <c r="W375" s="7"/>
      <c r="X375" s="7"/>
      <c r="Z375" s="7"/>
      <c r="AA375" s="7"/>
      <c r="AC375" s="7"/>
      <c r="AD375" s="7"/>
      <c r="AI375" s="7"/>
      <c r="AJ375" s="7"/>
      <c r="AK375" s="7"/>
      <c r="AO375" s="7"/>
      <c r="AP375" s="7"/>
    </row>
    <row r="376" spans="2:42">
      <c r="B376" s="112"/>
      <c r="C376" s="7"/>
      <c r="D376" s="7"/>
      <c r="E376" s="7"/>
      <c r="H376" s="7"/>
      <c r="I376" s="113"/>
      <c r="J376" s="113"/>
      <c r="K376" s="7"/>
      <c r="L376" s="7"/>
      <c r="M376" s="113"/>
      <c r="O376" s="119"/>
      <c r="P376" s="7"/>
      <c r="Q376" s="7"/>
      <c r="W376" s="7"/>
      <c r="X376" s="7"/>
      <c r="Z376" s="7"/>
      <c r="AA376" s="7"/>
      <c r="AC376" s="7"/>
      <c r="AD376" s="7"/>
      <c r="AI376" s="7"/>
      <c r="AJ376" s="7"/>
      <c r="AK376" s="7"/>
      <c r="AO376" s="7"/>
      <c r="AP376" s="7"/>
    </row>
    <row r="377" spans="2:42">
      <c r="B377" s="112"/>
      <c r="C377" s="7"/>
      <c r="D377" s="7"/>
      <c r="E377" s="7"/>
      <c r="H377" s="7"/>
      <c r="I377" s="113"/>
      <c r="J377" s="113"/>
      <c r="K377" s="7"/>
      <c r="L377" s="7"/>
      <c r="M377" s="113"/>
      <c r="O377" s="119"/>
      <c r="P377" s="7"/>
      <c r="Q377" s="7"/>
      <c r="W377" s="7"/>
      <c r="X377" s="7"/>
      <c r="Z377" s="7"/>
      <c r="AA377" s="7"/>
      <c r="AC377" s="7"/>
      <c r="AD377" s="7"/>
      <c r="AI377" s="7"/>
      <c r="AJ377" s="7"/>
      <c r="AK377" s="7"/>
      <c r="AO377" s="7"/>
      <c r="AP377" s="7"/>
    </row>
    <row r="378" spans="2:42">
      <c r="B378" s="112"/>
      <c r="C378" s="7"/>
      <c r="D378" s="7"/>
      <c r="E378" s="7"/>
      <c r="H378" s="7"/>
      <c r="I378" s="113"/>
      <c r="J378" s="113"/>
      <c r="K378" s="7"/>
      <c r="L378" s="7"/>
      <c r="M378" s="113"/>
      <c r="O378" s="119"/>
      <c r="P378" s="7"/>
      <c r="Q378" s="7"/>
      <c r="W378" s="7"/>
      <c r="X378" s="7"/>
      <c r="Z378" s="7"/>
      <c r="AA378" s="7"/>
      <c r="AC378" s="7"/>
      <c r="AD378" s="7"/>
      <c r="AI378" s="7"/>
      <c r="AJ378" s="7"/>
      <c r="AK378" s="7"/>
      <c r="AO378" s="7"/>
      <c r="AP378" s="7"/>
    </row>
    <row r="379" spans="2:42">
      <c r="B379" s="112"/>
      <c r="C379" s="7"/>
      <c r="D379" s="7"/>
      <c r="E379" s="7"/>
      <c r="H379" s="7"/>
      <c r="I379" s="113"/>
      <c r="J379" s="112"/>
      <c r="K379" s="7"/>
      <c r="L379" s="7"/>
      <c r="M379" s="113"/>
      <c r="O379" s="119"/>
      <c r="P379" s="7"/>
      <c r="Q379" s="7"/>
      <c r="W379" s="7"/>
      <c r="X379" s="7"/>
      <c r="Z379" s="7"/>
      <c r="AA379" s="7"/>
      <c r="AC379" s="7"/>
      <c r="AD379" s="7"/>
      <c r="AI379" s="7"/>
      <c r="AJ379" s="7"/>
      <c r="AK379" s="7"/>
      <c r="AO379" s="7"/>
      <c r="AP379" s="7"/>
    </row>
    <row r="380" spans="2:42">
      <c r="B380" s="112"/>
      <c r="C380" s="7"/>
      <c r="D380" s="7"/>
      <c r="E380" s="7"/>
      <c r="H380" s="7"/>
      <c r="I380" s="113"/>
      <c r="J380" s="112"/>
      <c r="K380" s="7"/>
      <c r="L380" s="7"/>
      <c r="M380" s="113"/>
      <c r="O380" s="119"/>
      <c r="P380" s="7"/>
      <c r="Q380" s="7"/>
      <c r="W380" s="7"/>
      <c r="X380" s="7"/>
      <c r="Z380" s="7"/>
      <c r="AA380" s="7"/>
      <c r="AC380" s="7"/>
      <c r="AD380" s="7"/>
      <c r="AI380" s="7"/>
      <c r="AJ380" s="7"/>
      <c r="AK380" s="7"/>
      <c r="AO380" s="7"/>
      <c r="AP380" s="7"/>
    </row>
    <row r="381" spans="2:42">
      <c r="B381" s="112"/>
      <c r="C381" s="7"/>
      <c r="D381" s="7"/>
      <c r="E381" s="7"/>
      <c r="H381" s="7"/>
      <c r="J381" s="118"/>
      <c r="K381" s="7"/>
      <c r="L381" s="7"/>
      <c r="M381" s="121"/>
      <c r="O381" s="119"/>
      <c r="P381" s="7"/>
      <c r="Q381" s="7"/>
      <c r="W381" s="112"/>
      <c r="X381" s="7"/>
      <c r="Z381" s="7"/>
      <c r="AA381" s="7"/>
      <c r="AC381" s="7"/>
      <c r="AD381" s="7"/>
      <c r="AI381" s="7"/>
      <c r="AJ381" s="7"/>
      <c r="AK381" s="7"/>
      <c r="AO381" s="7"/>
      <c r="AP381" s="7"/>
    </row>
    <row r="382" spans="2:42">
      <c r="B382" s="112"/>
      <c r="C382" s="7"/>
      <c r="D382" s="7"/>
      <c r="E382" s="7"/>
      <c r="H382" s="7"/>
      <c r="J382" s="118"/>
      <c r="K382" s="7"/>
      <c r="L382" s="7"/>
      <c r="M382" s="121"/>
      <c r="O382" s="119"/>
      <c r="P382" s="7"/>
      <c r="Q382" s="7"/>
      <c r="W382" s="112"/>
      <c r="X382" s="7"/>
      <c r="Z382" s="7"/>
      <c r="AA382" s="7"/>
      <c r="AC382" s="7"/>
      <c r="AD382" s="7"/>
      <c r="AI382" s="7"/>
      <c r="AJ382" s="7"/>
      <c r="AK382" s="7"/>
      <c r="AO382" s="7"/>
      <c r="AP382" s="7"/>
    </row>
    <row r="383" spans="2:42">
      <c r="B383" s="112"/>
      <c r="C383" s="7"/>
      <c r="D383" s="7"/>
      <c r="E383" s="7"/>
      <c r="H383" s="7"/>
      <c r="J383" s="118"/>
      <c r="K383" s="7"/>
      <c r="L383" s="7"/>
      <c r="M383" s="121"/>
      <c r="O383" s="119"/>
      <c r="P383" s="7"/>
      <c r="Q383" s="7"/>
      <c r="W383" s="112"/>
      <c r="X383" s="7"/>
      <c r="Z383" s="7"/>
      <c r="AA383" s="7"/>
      <c r="AC383" s="7"/>
      <c r="AD383" s="7"/>
      <c r="AI383" s="7"/>
      <c r="AJ383" s="7"/>
      <c r="AK383" s="7"/>
      <c r="AO383" s="7"/>
      <c r="AP383" s="7"/>
    </row>
    <row r="384" spans="2:42">
      <c r="B384" s="112"/>
      <c r="C384" s="7"/>
      <c r="D384" s="7"/>
      <c r="E384" s="7"/>
      <c r="H384" s="7"/>
      <c r="J384" s="118"/>
      <c r="K384" s="7"/>
      <c r="L384" s="7"/>
      <c r="M384" s="121"/>
      <c r="O384" s="119"/>
      <c r="P384" s="7"/>
      <c r="Q384" s="7"/>
      <c r="W384" s="112"/>
      <c r="X384" s="7"/>
      <c r="Z384" s="7"/>
      <c r="AA384" s="7"/>
      <c r="AC384" s="7"/>
      <c r="AD384" s="7"/>
      <c r="AI384" s="7"/>
      <c r="AJ384" s="7"/>
      <c r="AK384" s="7"/>
      <c r="AO384" s="7"/>
      <c r="AP384" s="7"/>
    </row>
    <row r="385" spans="2:42">
      <c r="B385" s="112"/>
      <c r="C385" s="7"/>
      <c r="D385" s="7"/>
      <c r="E385" s="7"/>
      <c r="H385" s="7"/>
      <c r="J385" s="118"/>
      <c r="K385" s="7"/>
      <c r="L385" s="7"/>
      <c r="M385" s="123"/>
      <c r="O385" s="119"/>
      <c r="P385" s="7"/>
      <c r="Q385" s="7"/>
      <c r="W385" s="7"/>
      <c r="X385" s="7"/>
      <c r="Z385" s="7"/>
      <c r="AA385" s="7"/>
      <c r="AC385" s="7"/>
      <c r="AD385" s="7"/>
      <c r="AI385" s="7"/>
      <c r="AJ385" s="7"/>
      <c r="AK385" s="7"/>
      <c r="AO385" s="7"/>
      <c r="AP385" s="7"/>
    </row>
    <row r="386" spans="2:42">
      <c r="B386" s="112"/>
      <c r="C386" s="7"/>
      <c r="D386" s="7"/>
      <c r="E386" s="7"/>
      <c r="H386" s="7"/>
      <c r="J386" s="118"/>
      <c r="K386" s="7"/>
      <c r="L386" s="7"/>
      <c r="M386" s="123"/>
      <c r="O386" s="119"/>
      <c r="P386" s="7"/>
      <c r="Q386" s="7"/>
      <c r="W386" s="7"/>
      <c r="X386" s="7"/>
      <c r="Z386" s="7"/>
      <c r="AA386" s="7"/>
      <c r="AC386" s="7"/>
      <c r="AD386" s="7"/>
      <c r="AI386" s="7"/>
      <c r="AJ386" s="7"/>
      <c r="AK386" s="7"/>
      <c r="AO386" s="7"/>
      <c r="AP386" s="7"/>
    </row>
    <row r="387" spans="2:42">
      <c r="B387" s="112"/>
      <c r="C387" s="7"/>
      <c r="D387" s="7"/>
      <c r="E387" s="7"/>
      <c r="H387" s="7"/>
      <c r="J387" s="118"/>
      <c r="K387" s="7"/>
      <c r="L387" s="7"/>
      <c r="M387" s="123"/>
      <c r="O387" s="119"/>
      <c r="P387" s="7"/>
      <c r="Q387" s="7"/>
      <c r="W387" s="7"/>
      <c r="X387" s="7"/>
      <c r="Z387" s="7"/>
      <c r="AA387" s="7"/>
      <c r="AC387" s="7"/>
      <c r="AD387" s="7"/>
      <c r="AI387" s="7"/>
      <c r="AJ387" s="7"/>
      <c r="AK387" s="7"/>
      <c r="AO387" s="7"/>
      <c r="AP387" s="7"/>
    </row>
    <row r="388" spans="2:42">
      <c r="B388" s="112"/>
      <c r="C388" s="7"/>
      <c r="D388" s="7"/>
      <c r="E388" s="7"/>
      <c r="H388" s="7"/>
      <c r="J388" s="118"/>
      <c r="K388" s="7"/>
      <c r="L388" s="7"/>
      <c r="M388" s="123"/>
      <c r="O388" s="119"/>
      <c r="P388" s="7"/>
      <c r="Q388" s="7"/>
      <c r="W388" s="7"/>
      <c r="X388" s="7"/>
      <c r="Z388" s="7"/>
      <c r="AA388" s="7"/>
      <c r="AC388" s="7"/>
      <c r="AD388" s="7"/>
      <c r="AI388" s="7"/>
      <c r="AJ388" s="7"/>
      <c r="AK388" s="7"/>
      <c r="AO388" s="7"/>
      <c r="AP388" s="7"/>
    </row>
    <row r="389" spans="2:42">
      <c r="B389" s="112"/>
      <c r="C389" s="7"/>
      <c r="D389" s="7"/>
      <c r="E389" s="7"/>
      <c r="H389" s="7"/>
      <c r="J389" s="118"/>
      <c r="K389" s="7"/>
      <c r="L389" s="7"/>
      <c r="M389" s="123"/>
      <c r="O389" s="119"/>
      <c r="P389" s="7"/>
      <c r="Q389" s="7"/>
      <c r="W389" s="7"/>
      <c r="X389" s="7"/>
      <c r="Z389" s="7"/>
      <c r="AA389" s="7"/>
      <c r="AC389" s="7"/>
      <c r="AD389" s="7"/>
      <c r="AI389" s="7"/>
      <c r="AJ389" s="7"/>
      <c r="AK389" s="7"/>
      <c r="AO389" s="7"/>
      <c r="AP389" s="7"/>
    </row>
    <row r="390" spans="2:42">
      <c r="B390" s="112"/>
      <c r="C390" s="7"/>
      <c r="D390" s="7"/>
      <c r="E390" s="7"/>
      <c r="H390" s="7"/>
      <c r="J390" s="118"/>
      <c r="K390" s="7"/>
      <c r="L390" s="7"/>
      <c r="M390" s="123"/>
      <c r="O390" s="119"/>
      <c r="P390" s="7"/>
      <c r="Q390" s="7"/>
      <c r="W390" s="7"/>
      <c r="X390" s="7"/>
      <c r="Z390" s="7"/>
      <c r="AA390" s="7"/>
      <c r="AC390" s="7"/>
      <c r="AD390" s="7"/>
      <c r="AI390" s="7"/>
      <c r="AJ390" s="7"/>
      <c r="AK390" s="7"/>
      <c r="AO390" s="7"/>
      <c r="AP390" s="7"/>
    </row>
    <row r="391" spans="2:42">
      <c r="B391" s="112"/>
      <c r="C391" s="7"/>
      <c r="D391" s="7"/>
      <c r="E391" s="7"/>
      <c r="H391" s="7"/>
      <c r="J391" s="118"/>
      <c r="K391" s="7"/>
      <c r="L391" s="7"/>
      <c r="M391" s="123"/>
      <c r="O391" s="119"/>
      <c r="P391" s="7"/>
      <c r="Q391" s="7"/>
      <c r="W391" s="7"/>
      <c r="X391" s="7"/>
      <c r="Z391" s="7"/>
      <c r="AA391" s="7"/>
      <c r="AC391" s="7"/>
      <c r="AD391" s="7"/>
      <c r="AI391" s="7"/>
      <c r="AJ391" s="7"/>
      <c r="AK391" s="7"/>
      <c r="AO391" s="7"/>
      <c r="AP391" s="7"/>
    </row>
    <row r="392" spans="2:42">
      <c r="B392" s="112"/>
      <c r="C392" s="7"/>
      <c r="D392" s="7"/>
      <c r="E392" s="7"/>
      <c r="H392" s="7"/>
      <c r="J392" s="118"/>
      <c r="K392" s="7"/>
      <c r="L392" s="7"/>
      <c r="M392" s="123"/>
      <c r="O392" s="119"/>
      <c r="P392" s="7"/>
      <c r="Q392" s="7"/>
      <c r="W392" s="7"/>
      <c r="X392" s="7"/>
      <c r="Z392" s="7"/>
      <c r="AA392" s="7"/>
      <c r="AC392" s="7"/>
      <c r="AD392" s="7"/>
      <c r="AI392" s="7"/>
      <c r="AJ392" s="7"/>
      <c r="AK392" s="7"/>
      <c r="AO392" s="7"/>
      <c r="AP392" s="7"/>
    </row>
    <row r="393" spans="2:42">
      <c r="B393" s="113"/>
      <c r="C393" s="7"/>
      <c r="D393" s="7"/>
      <c r="E393" s="7"/>
      <c r="H393" s="7"/>
      <c r="J393" s="118"/>
      <c r="K393" s="7"/>
      <c r="L393" s="7"/>
      <c r="M393" s="123"/>
      <c r="O393" s="119"/>
      <c r="P393" s="7"/>
      <c r="Q393" s="7"/>
      <c r="W393" s="7"/>
      <c r="X393" s="7"/>
      <c r="Z393" s="7"/>
      <c r="AA393" s="7"/>
      <c r="AC393" s="7"/>
      <c r="AD393" s="7"/>
      <c r="AI393" s="7"/>
      <c r="AJ393" s="7"/>
      <c r="AK393" s="7"/>
      <c r="AO393" s="7"/>
      <c r="AP393" s="7"/>
    </row>
    <row r="394" spans="2:42">
      <c r="B394" s="113"/>
      <c r="C394" s="7"/>
      <c r="D394" s="7"/>
      <c r="E394" s="7"/>
      <c r="H394" s="7"/>
      <c r="J394" s="118"/>
      <c r="K394" s="7"/>
      <c r="L394" s="7"/>
      <c r="M394" s="123"/>
      <c r="O394" s="119"/>
      <c r="P394" s="7"/>
      <c r="Q394" s="7"/>
      <c r="W394" s="7"/>
      <c r="X394" s="7"/>
      <c r="Z394" s="7"/>
      <c r="AA394" s="7"/>
      <c r="AC394" s="7"/>
      <c r="AD394" s="7"/>
      <c r="AI394" s="7"/>
      <c r="AJ394" s="7"/>
      <c r="AK394" s="7"/>
      <c r="AO394" s="7"/>
      <c r="AP394" s="7"/>
    </row>
    <row r="395" spans="2:42">
      <c r="B395" s="113"/>
      <c r="C395" s="7"/>
      <c r="D395" s="7"/>
      <c r="E395" s="7"/>
      <c r="H395" s="7"/>
      <c r="J395" s="118"/>
      <c r="K395" s="7"/>
      <c r="L395" s="7"/>
      <c r="M395" s="123"/>
      <c r="O395" s="119"/>
      <c r="P395" s="7"/>
      <c r="Q395" s="7"/>
      <c r="W395" s="7"/>
      <c r="X395" s="7"/>
      <c r="Z395" s="7"/>
      <c r="AA395" s="7"/>
      <c r="AC395" s="7"/>
      <c r="AD395" s="7"/>
      <c r="AI395" s="7"/>
      <c r="AJ395" s="7"/>
      <c r="AK395" s="7"/>
      <c r="AO395" s="7"/>
      <c r="AP395" s="7"/>
    </row>
    <row r="396" spans="2:37">
      <c r="B396" s="112"/>
      <c r="C396" s="7"/>
      <c r="D396" s="7"/>
      <c r="E396" s="7"/>
      <c r="H396" s="7"/>
      <c r="I396" s="113"/>
      <c r="J396" s="118"/>
      <c r="K396" s="7"/>
      <c r="L396" s="7"/>
      <c r="M396" s="121"/>
      <c r="O396" s="119"/>
      <c r="P396" s="7"/>
      <c r="Q396" s="7"/>
      <c r="W396" s="112"/>
      <c r="X396" s="7"/>
      <c r="Z396" s="7"/>
      <c r="AA396" s="7"/>
      <c r="AC396" s="7"/>
      <c r="AD396" s="7"/>
      <c r="AJ396" s="7"/>
      <c r="AK396" s="7"/>
    </row>
    <row r="397" spans="2:37">
      <c r="B397" s="112"/>
      <c r="C397" s="7"/>
      <c r="D397" s="7"/>
      <c r="E397" s="7"/>
      <c r="H397" s="7"/>
      <c r="J397" s="118"/>
      <c r="K397" s="7"/>
      <c r="L397" s="7"/>
      <c r="M397" s="121"/>
      <c r="O397" s="119"/>
      <c r="P397" s="7"/>
      <c r="Q397" s="7"/>
      <c r="W397" s="112"/>
      <c r="X397" s="7"/>
      <c r="Z397" s="7"/>
      <c r="AA397" s="7"/>
      <c r="AC397" s="7"/>
      <c r="AD397" s="7"/>
      <c r="AJ397" s="7"/>
      <c r="AK397" s="7"/>
    </row>
    <row r="398" spans="2:37">
      <c r="B398" s="112"/>
      <c r="C398" s="7"/>
      <c r="D398" s="7"/>
      <c r="E398" s="7"/>
      <c r="H398" s="7"/>
      <c r="J398" s="118"/>
      <c r="K398" s="7"/>
      <c r="L398" s="7"/>
      <c r="M398" s="121"/>
      <c r="O398" s="119"/>
      <c r="P398" s="7"/>
      <c r="Q398" s="7"/>
      <c r="W398" s="112"/>
      <c r="X398" s="7"/>
      <c r="Z398" s="7"/>
      <c r="AA398" s="7"/>
      <c r="AC398" s="7"/>
      <c r="AD398" s="7"/>
      <c r="AJ398" s="7"/>
      <c r="AK398" s="7"/>
    </row>
    <row r="399" spans="2:37">
      <c r="B399" s="112"/>
      <c r="C399" s="7"/>
      <c r="D399" s="7"/>
      <c r="E399" s="7"/>
      <c r="H399" s="7"/>
      <c r="J399" s="118"/>
      <c r="K399" s="7"/>
      <c r="L399" s="7"/>
      <c r="M399" s="121"/>
      <c r="O399" s="119"/>
      <c r="P399" s="7"/>
      <c r="Q399" s="7"/>
      <c r="W399" s="112"/>
      <c r="X399" s="7"/>
      <c r="Z399" s="7"/>
      <c r="AA399" s="7"/>
      <c r="AC399" s="7"/>
      <c r="AD399" s="7"/>
      <c r="AJ399" s="7"/>
      <c r="AK399" s="7"/>
    </row>
    <row r="400" spans="2:42">
      <c r="B400" s="112"/>
      <c r="C400" s="7"/>
      <c r="D400" s="7"/>
      <c r="E400" s="7"/>
      <c r="H400" s="7"/>
      <c r="J400" s="118"/>
      <c r="K400" s="7"/>
      <c r="L400" s="7"/>
      <c r="P400" s="7"/>
      <c r="Q400" s="7"/>
      <c r="W400" s="112"/>
      <c r="X400" s="7"/>
      <c r="Z400" s="7"/>
      <c r="AA400" s="7"/>
      <c r="AC400" s="7"/>
      <c r="AD400" s="7"/>
      <c r="AJ400" s="7"/>
      <c r="AK400" s="7"/>
      <c r="AO400" s="7"/>
      <c r="AP400" s="7"/>
    </row>
    <row r="401" spans="2:42">
      <c r="B401" s="112"/>
      <c r="C401" s="7"/>
      <c r="D401" s="7"/>
      <c r="E401" s="7"/>
      <c r="H401" s="7"/>
      <c r="J401" s="118"/>
      <c r="K401" s="7"/>
      <c r="L401" s="7"/>
      <c r="P401" s="7"/>
      <c r="Q401" s="7"/>
      <c r="W401" s="7"/>
      <c r="X401" s="7"/>
      <c r="Z401" s="7"/>
      <c r="AA401" s="7"/>
      <c r="AC401" s="7"/>
      <c r="AD401" s="7"/>
      <c r="AI401" s="7"/>
      <c r="AJ401" s="7"/>
      <c r="AK401" s="7"/>
      <c r="AO401" s="7"/>
      <c r="AP401" s="7"/>
    </row>
    <row r="402" spans="2:42">
      <c r="B402" s="112"/>
      <c r="C402" s="7"/>
      <c r="D402" s="7"/>
      <c r="E402" s="7"/>
      <c r="H402" s="7"/>
      <c r="J402" s="118"/>
      <c r="K402" s="7"/>
      <c r="L402" s="7"/>
      <c r="P402" s="7"/>
      <c r="Q402" s="7"/>
      <c r="W402" s="7"/>
      <c r="X402" s="7"/>
      <c r="Z402" s="7"/>
      <c r="AA402" s="7"/>
      <c r="AC402" s="7"/>
      <c r="AD402" s="7"/>
      <c r="AI402" s="7"/>
      <c r="AJ402" s="7"/>
      <c r="AK402" s="7"/>
      <c r="AO402" s="7"/>
      <c r="AP402" s="7"/>
    </row>
    <row r="403" spans="2:42">
      <c r="B403" s="112"/>
      <c r="C403" s="7"/>
      <c r="D403" s="7"/>
      <c r="E403" s="7"/>
      <c r="H403" s="7"/>
      <c r="J403" s="118"/>
      <c r="K403" s="7"/>
      <c r="L403" s="7"/>
      <c r="P403" s="7"/>
      <c r="Q403" s="7"/>
      <c r="W403" s="7"/>
      <c r="X403" s="7"/>
      <c r="Z403" s="7"/>
      <c r="AA403" s="7"/>
      <c r="AC403" s="7"/>
      <c r="AD403" s="7"/>
      <c r="AI403" s="7"/>
      <c r="AJ403" s="7"/>
      <c r="AK403" s="7"/>
      <c r="AO403" s="7"/>
      <c r="AP403" s="7"/>
    </row>
    <row r="404" spans="2:42">
      <c r="B404" s="112"/>
      <c r="C404" s="7"/>
      <c r="D404" s="7"/>
      <c r="E404" s="7"/>
      <c r="H404" s="7"/>
      <c r="J404" s="118"/>
      <c r="K404" s="7"/>
      <c r="L404" s="7"/>
      <c r="P404" s="7"/>
      <c r="Q404" s="7"/>
      <c r="W404" s="7"/>
      <c r="X404" s="7"/>
      <c r="Z404" s="7"/>
      <c r="AA404" s="7"/>
      <c r="AC404" s="7"/>
      <c r="AD404" s="7"/>
      <c r="AI404" s="7"/>
      <c r="AJ404" s="7"/>
      <c r="AK404" s="7"/>
      <c r="AO404" s="7"/>
      <c r="AP404" s="7"/>
    </row>
    <row r="405" spans="2:42">
      <c r="B405" s="112"/>
      <c r="C405" s="7"/>
      <c r="D405" s="7"/>
      <c r="E405" s="7"/>
      <c r="H405" s="7"/>
      <c r="J405" s="118"/>
      <c r="K405" s="7"/>
      <c r="L405" s="7"/>
      <c r="P405" s="7"/>
      <c r="Q405" s="7"/>
      <c r="W405" s="7"/>
      <c r="X405" s="7"/>
      <c r="Z405" s="7"/>
      <c r="AA405" s="7"/>
      <c r="AC405" s="7"/>
      <c r="AD405" s="7"/>
      <c r="AI405" s="7"/>
      <c r="AJ405" s="7"/>
      <c r="AK405" s="7"/>
      <c r="AO405" s="7"/>
      <c r="AP405" s="7"/>
    </row>
    <row r="406" spans="2:42">
      <c r="B406" s="112"/>
      <c r="C406" s="7"/>
      <c r="D406" s="7"/>
      <c r="E406" s="7"/>
      <c r="H406" s="7"/>
      <c r="J406" s="118"/>
      <c r="K406" s="7"/>
      <c r="L406" s="7"/>
      <c r="P406" s="7"/>
      <c r="Q406" s="7"/>
      <c r="W406" s="7"/>
      <c r="X406" s="7"/>
      <c r="Z406" s="7"/>
      <c r="AA406" s="7"/>
      <c r="AC406" s="7"/>
      <c r="AD406" s="7"/>
      <c r="AI406" s="7"/>
      <c r="AJ406" s="7"/>
      <c r="AK406" s="7"/>
      <c r="AO406" s="7"/>
      <c r="AP406" s="7"/>
    </row>
    <row r="407" spans="2:42">
      <c r="B407" s="112"/>
      <c r="C407" s="7"/>
      <c r="D407" s="7"/>
      <c r="E407" s="7"/>
      <c r="H407" s="7"/>
      <c r="J407" s="118"/>
      <c r="K407" s="7"/>
      <c r="L407" s="7"/>
      <c r="P407" s="7"/>
      <c r="Q407" s="7"/>
      <c r="W407" s="7"/>
      <c r="X407" s="7"/>
      <c r="Z407" s="7"/>
      <c r="AA407" s="7"/>
      <c r="AC407" s="7"/>
      <c r="AD407" s="7"/>
      <c r="AI407" s="7"/>
      <c r="AJ407" s="7"/>
      <c r="AK407" s="7"/>
      <c r="AO407" s="7"/>
      <c r="AP407" s="7"/>
    </row>
    <row r="408" spans="2:42">
      <c r="B408" s="112"/>
      <c r="C408" s="7"/>
      <c r="D408" s="7"/>
      <c r="E408" s="7"/>
      <c r="H408" s="7"/>
      <c r="J408" s="118"/>
      <c r="K408" s="7"/>
      <c r="L408" s="7"/>
      <c r="P408" s="7"/>
      <c r="Q408" s="7"/>
      <c r="W408" s="7"/>
      <c r="X408" s="7"/>
      <c r="Z408" s="7"/>
      <c r="AA408" s="7"/>
      <c r="AC408" s="7"/>
      <c r="AD408" s="7"/>
      <c r="AI408" s="7"/>
      <c r="AJ408" s="7"/>
      <c r="AK408" s="7"/>
      <c r="AO408" s="7"/>
      <c r="AP408" s="7"/>
    </row>
    <row r="409" spans="2:42">
      <c r="B409" s="112"/>
      <c r="C409" s="7"/>
      <c r="D409" s="7"/>
      <c r="E409" s="7"/>
      <c r="H409" s="7"/>
      <c r="J409" s="118"/>
      <c r="K409" s="7"/>
      <c r="L409" s="7"/>
      <c r="P409" s="7"/>
      <c r="Q409" s="7"/>
      <c r="W409" s="7"/>
      <c r="X409" s="7"/>
      <c r="Z409" s="7"/>
      <c r="AA409" s="7"/>
      <c r="AC409" s="7"/>
      <c r="AD409" s="7"/>
      <c r="AI409" s="7"/>
      <c r="AJ409" s="7"/>
      <c r="AK409" s="7"/>
      <c r="AO409" s="7"/>
      <c r="AP409" s="7"/>
    </row>
    <row r="410" spans="2:42">
      <c r="B410" s="112"/>
      <c r="C410" s="7"/>
      <c r="D410" s="7"/>
      <c r="E410" s="7"/>
      <c r="H410" s="7"/>
      <c r="J410" s="118"/>
      <c r="K410" s="7"/>
      <c r="L410" s="7"/>
      <c r="O410" s="119"/>
      <c r="P410" s="7"/>
      <c r="Q410" s="7"/>
      <c r="W410" s="7"/>
      <c r="X410" s="7"/>
      <c r="Z410" s="7"/>
      <c r="AA410" s="7"/>
      <c r="AC410" s="7"/>
      <c r="AD410" s="7"/>
      <c r="AI410" s="7"/>
      <c r="AJ410" s="7"/>
      <c r="AK410" s="7"/>
      <c r="AO410" s="7"/>
      <c r="AP410" s="7"/>
    </row>
    <row r="411" spans="2:42">
      <c r="B411" s="112"/>
      <c r="C411" s="7"/>
      <c r="D411" s="7"/>
      <c r="E411" s="7"/>
      <c r="H411" s="7"/>
      <c r="J411" s="118"/>
      <c r="K411" s="7"/>
      <c r="L411" s="7"/>
      <c r="O411" s="119"/>
      <c r="P411" s="7"/>
      <c r="Q411" s="7"/>
      <c r="W411" s="7"/>
      <c r="X411" s="7"/>
      <c r="Z411" s="7"/>
      <c r="AA411" s="7"/>
      <c r="AC411" s="7"/>
      <c r="AD411" s="7"/>
      <c r="AI411" s="7"/>
      <c r="AJ411" s="7"/>
      <c r="AK411" s="7"/>
      <c r="AO411" s="7"/>
      <c r="AP411" s="7"/>
    </row>
    <row r="412" spans="2:42">
      <c r="B412" s="112"/>
      <c r="C412" s="7"/>
      <c r="D412" s="7"/>
      <c r="E412" s="7"/>
      <c r="H412" s="7"/>
      <c r="J412" s="118"/>
      <c r="K412" s="7"/>
      <c r="L412" s="7"/>
      <c r="O412" s="119"/>
      <c r="P412" s="7"/>
      <c r="Q412" s="7"/>
      <c r="W412" s="7"/>
      <c r="X412" s="7"/>
      <c r="Z412" s="7"/>
      <c r="AA412" s="7"/>
      <c r="AC412" s="7"/>
      <c r="AD412" s="7"/>
      <c r="AI412" s="7"/>
      <c r="AJ412" s="7"/>
      <c r="AK412" s="7"/>
      <c r="AO412" s="7"/>
      <c r="AP412" s="7"/>
    </row>
    <row r="413" spans="2:42">
      <c r="B413" s="112"/>
      <c r="C413" s="7"/>
      <c r="D413" s="7"/>
      <c r="E413" s="7"/>
      <c r="H413" s="7"/>
      <c r="J413" s="118"/>
      <c r="K413" s="7"/>
      <c r="L413" s="7"/>
      <c r="M413"/>
      <c r="O413" s="119"/>
      <c r="P413" s="7"/>
      <c r="Q413" s="7"/>
      <c r="W413" s="7"/>
      <c r="X413" s="7"/>
      <c r="Z413" s="7"/>
      <c r="AA413" s="7"/>
      <c r="AB413" s="7"/>
      <c r="AC413" s="7"/>
      <c r="AD413" s="7"/>
      <c r="AI413" s="7"/>
      <c r="AJ413" s="7"/>
      <c r="AK413" s="7"/>
      <c r="AO413" s="7"/>
      <c r="AP413" s="7"/>
    </row>
    <row r="414" spans="2:42">
      <c r="B414" s="112"/>
      <c r="C414" s="7"/>
      <c r="D414" s="7"/>
      <c r="E414" s="7"/>
      <c r="H414" s="7"/>
      <c r="J414" s="118"/>
      <c r="K414" s="7"/>
      <c r="L414" s="7"/>
      <c r="M414"/>
      <c r="O414" s="119"/>
      <c r="P414" s="7"/>
      <c r="Q414" s="7"/>
      <c r="W414" s="7"/>
      <c r="X414" s="7"/>
      <c r="Z414" s="7"/>
      <c r="AA414" s="7"/>
      <c r="AB414" s="7"/>
      <c r="AC414" s="7"/>
      <c r="AD414" s="7"/>
      <c r="AI414" s="7"/>
      <c r="AJ414" s="7"/>
      <c r="AK414" s="7"/>
      <c r="AO414" s="7"/>
      <c r="AP414" s="7"/>
    </row>
    <row r="415" spans="2:42">
      <c r="B415" s="112"/>
      <c r="C415" s="7"/>
      <c r="D415" s="7"/>
      <c r="E415" s="7"/>
      <c r="H415" s="7"/>
      <c r="J415" s="118"/>
      <c r="K415" s="7"/>
      <c r="L415" s="7"/>
      <c r="M415"/>
      <c r="O415" s="119"/>
      <c r="P415" s="7"/>
      <c r="Q415" s="7"/>
      <c r="W415" s="7"/>
      <c r="X415" s="7"/>
      <c r="Z415" s="7"/>
      <c r="AA415" s="7"/>
      <c r="AB415" s="7"/>
      <c r="AC415" s="7"/>
      <c r="AD415" s="7"/>
      <c r="AI415" s="7"/>
      <c r="AJ415" s="7"/>
      <c r="AK415" s="7"/>
      <c r="AO415" s="7"/>
      <c r="AP415" s="7"/>
    </row>
    <row r="416" spans="2:42">
      <c r="B416" s="112"/>
      <c r="C416" s="7"/>
      <c r="D416" s="7"/>
      <c r="E416" s="7"/>
      <c r="H416" s="7"/>
      <c r="J416" s="118"/>
      <c r="K416" s="7"/>
      <c r="L416" s="7"/>
      <c r="M416"/>
      <c r="O416" s="119"/>
      <c r="P416" s="7"/>
      <c r="Q416" s="7"/>
      <c r="W416" s="7"/>
      <c r="X416" s="7"/>
      <c r="Z416" s="7"/>
      <c r="AA416" s="7"/>
      <c r="AB416" s="7"/>
      <c r="AC416" s="7"/>
      <c r="AD416" s="7"/>
      <c r="AI416" s="7"/>
      <c r="AJ416" s="7"/>
      <c r="AK416" s="7"/>
      <c r="AO416" s="7"/>
      <c r="AP416" s="7"/>
    </row>
    <row r="417" spans="2:42">
      <c r="B417" s="112"/>
      <c r="C417" s="7"/>
      <c r="D417" s="7"/>
      <c r="E417" s="7"/>
      <c r="H417" s="7"/>
      <c r="J417" s="118"/>
      <c r="K417" s="7"/>
      <c r="L417" s="7"/>
      <c r="M417"/>
      <c r="O417" s="119"/>
      <c r="P417" s="7"/>
      <c r="Q417" s="7"/>
      <c r="W417" s="7"/>
      <c r="X417" s="7"/>
      <c r="Z417" s="7"/>
      <c r="AA417" s="7"/>
      <c r="AB417" s="7"/>
      <c r="AC417" s="7"/>
      <c r="AD417" s="7"/>
      <c r="AI417" s="7"/>
      <c r="AJ417" s="7"/>
      <c r="AK417" s="7"/>
      <c r="AO417" s="7"/>
      <c r="AP417" s="7"/>
    </row>
    <row r="418" spans="2:42">
      <c r="B418" s="112"/>
      <c r="C418" s="7"/>
      <c r="D418" s="7"/>
      <c r="E418" s="7"/>
      <c r="H418" s="7"/>
      <c r="J418" s="118"/>
      <c r="K418" s="7"/>
      <c r="L418" s="7"/>
      <c r="M418"/>
      <c r="O418" s="119"/>
      <c r="P418" s="7"/>
      <c r="Q418" s="7"/>
      <c r="W418" s="7"/>
      <c r="X418" s="7"/>
      <c r="Z418" s="7"/>
      <c r="AA418" s="7"/>
      <c r="AB418" s="7"/>
      <c r="AC418" s="7"/>
      <c r="AD418" s="7"/>
      <c r="AI418" s="7"/>
      <c r="AJ418" s="7"/>
      <c r="AK418" s="7"/>
      <c r="AO418" s="7"/>
      <c r="AP418" s="7"/>
    </row>
    <row r="419" spans="2:42">
      <c r="B419" s="112"/>
      <c r="C419" s="7"/>
      <c r="D419" s="7"/>
      <c r="E419" s="7"/>
      <c r="H419" s="7"/>
      <c r="J419" s="118"/>
      <c r="K419" s="7"/>
      <c r="L419" s="7"/>
      <c r="M419"/>
      <c r="O419" s="119"/>
      <c r="P419" s="7"/>
      <c r="Q419" s="7"/>
      <c r="W419" s="7"/>
      <c r="X419" s="7"/>
      <c r="Z419" s="7"/>
      <c r="AA419" s="7"/>
      <c r="AB419" s="7"/>
      <c r="AC419" s="7"/>
      <c r="AD419" s="7"/>
      <c r="AI419" s="7"/>
      <c r="AJ419" s="7"/>
      <c r="AK419" s="7"/>
      <c r="AO419" s="7"/>
      <c r="AP419" s="7"/>
    </row>
    <row r="420" spans="2:42">
      <c r="B420" s="112"/>
      <c r="C420" s="7"/>
      <c r="D420" s="7"/>
      <c r="E420" s="7"/>
      <c r="H420" s="7"/>
      <c r="J420" s="118"/>
      <c r="K420" s="7"/>
      <c r="L420" s="7"/>
      <c r="M420"/>
      <c r="O420" s="119"/>
      <c r="P420" s="7"/>
      <c r="Q420" s="7"/>
      <c r="W420" s="7"/>
      <c r="X420" s="7"/>
      <c r="Z420" s="7"/>
      <c r="AA420" s="7"/>
      <c r="AB420" s="7"/>
      <c r="AC420" s="7"/>
      <c r="AD420" s="7"/>
      <c r="AI420" s="7"/>
      <c r="AJ420" s="7"/>
      <c r="AK420" s="7"/>
      <c r="AO420" s="7"/>
      <c r="AP420" s="7"/>
    </row>
    <row r="421" spans="2:42">
      <c r="B421" s="112"/>
      <c r="C421" s="7"/>
      <c r="D421" s="7"/>
      <c r="E421" s="7"/>
      <c r="H421" s="7"/>
      <c r="J421" s="118"/>
      <c r="K421" s="7"/>
      <c r="L421" s="7"/>
      <c r="M421"/>
      <c r="O421" s="119"/>
      <c r="P421" s="7"/>
      <c r="Q421" s="7"/>
      <c r="W421" s="7"/>
      <c r="X421" s="7"/>
      <c r="Z421" s="7"/>
      <c r="AA421" s="7"/>
      <c r="AB421" s="7"/>
      <c r="AC421" s="7"/>
      <c r="AD421" s="7"/>
      <c r="AI421" s="7"/>
      <c r="AJ421" s="7"/>
      <c r="AK421" s="7"/>
      <c r="AO421" s="7"/>
      <c r="AP421" s="7"/>
    </row>
    <row r="422" spans="2:42">
      <c r="B422" s="112"/>
      <c r="C422" s="7"/>
      <c r="D422" s="7"/>
      <c r="E422" s="7"/>
      <c r="H422" s="7"/>
      <c r="J422" s="118"/>
      <c r="K422" s="7"/>
      <c r="L422" s="7"/>
      <c r="M422"/>
      <c r="O422" s="119"/>
      <c r="P422" s="7"/>
      <c r="Q422" s="7"/>
      <c r="W422" s="7"/>
      <c r="X422" s="7"/>
      <c r="Z422" s="7"/>
      <c r="AA422" s="7"/>
      <c r="AB422" s="7"/>
      <c r="AC422" s="7"/>
      <c r="AD422" s="7"/>
      <c r="AI422" s="7"/>
      <c r="AJ422" s="7"/>
      <c r="AK422" s="7"/>
      <c r="AO422" s="7"/>
      <c r="AP422" s="7"/>
    </row>
    <row r="423" spans="2:42">
      <c r="B423" s="112"/>
      <c r="C423" s="7"/>
      <c r="D423" s="7"/>
      <c r="E423" s="7"/>
      <c r="H423" s="7"/>
      <c r="J423" s="118"/>
      <c r="K423" s="7"/>
      <c r="L423" s="7"/>
      <c r="M423"/>
      <c r="O423" s="119"/>
      <c r="P423" s="7"/>
      <c r="Q423" s="7"/>
      <c r="W423" s="7"/>
      <c r="X423" s="7"/>
      <c r="Z423" s="7"/>
      <c r="AA423" s="7"/>
      <c r="AB423" s="7"/>
      <c r="AC423" s="7"/>
      <c r="AD423" s="7"/>
      <c r="AI423" s="7"/>
      <c r="AJ423" s="7"/>
      <c r="AK423" s="7"/>
      <c r="AO423" s="7"/>
      <c r="AP423" s="7"/>
    </row>
    <row r="424" spans="2:42">
      <c r="B424" s="112"/>
      <c r="C424" s="7"/>
      <c r="D424" s="7"/>
      <c r="E424" s="7"/>
      <c r="H424" s="7"/>
      <c r="J424" s="118"/>
      <c r="K424" s="7"/>
      <c r="L424" s="7"/>
      <c r="M424"/>
      <c r="O424" s="119"/>
      <c r="P424" s="7"/>
      <c r="Q424" s="7"/>
      <c r="W424" s="7"/>
      <c r="X424" s="7"/>
      <c r="Z424" s="7"/>
      <c r="AA424" s="7"/>
      <c r="AB424" s="7"/>
      <c r="AC424" s="7"/>
      <c r="AD424" s="7"/>
      <c r="AI424" s="7"/>
      <c r="AJ424" s="7"/>
      <c r="AK424" s="7"/>
      <c r="AO424" s="7"/>
      <c r="AP424" s="7"/>
    </row>
    <row r="425" spans="2:42">
      <c r="B425" s="112"/>
      <c r="C425" s="7"/>
      <c r="D425" s="7"/>
      <c r="E425" s="7"/>
      <c r="H425" s="7"/>
      <c r="J425" s="118"/>
      <c r="K425" s="7"/>
      <c r="L425" s="7"/>
      <c r="M425"/>
      <c r="O425" s="119"/>
      <c r="P425" s="7"/>
      <c r="Q425" s="7"/>
      <c r="W425" s="7"/>
      <c r="X425" s="7"/>
      <c r="Z425" s="7"/>
      <c r="AA425" s="7"/>
      <c r="AB425" s="7"/>
      <c r="AC425" s="7"/>
      <c r="AD425" s="7"/>
      <c r="AI425" s="7"/>
      <c r="AJ425" s="7"/>
      <c r="AK425" s="7"/>
      <c r="AO425" s="7"/>
      <c r="AP425" s="7"/>
    </row>
    <row r="426" spans="2:42">
      <c r="B426" s="112"/>
      <c r="C426" s="7"/>
      <c r="D426" s="7"/>
      <c r="E426" s="7"/>
      <c r="H426" s="7"/>
      <c r="J426" s="118"/>
      <c r="K426" s="7"/>
      <c r="L426" s="7"/>
      <c r="M426"/>
      <c r="O426" s="119"/>
      <c r="P426" s="7"/>
      <c r="Q426" s="7"/>
      <c r="W426" s="7"/>
      <c r="X426" s="7"/>
      <c r="Z426" s="7"/>
      <c r="AA426" s="7"/>
      <c r="AB426" s="7"/>
      <c r="AC426" s="7"/>
      <c r="AD426" s="7"/>
      <c r="AI426" s="7"/>
      <c r="AJ426" s="7"/>
      <c r="AK426" s="7"/>
      <c r="AO426" s="7"/>
      <c r="AP426" s="7"/>
    </row>
    <row r="427" spans="2:42">
      <c r="B427" s="112"/>
      <c r="C427" s="7"/>
      <c r="D427" s="7"/>
      <c r="E427" s="7"/>
      <c r="H427" s="7"/>
      <c r="J427" s="118"/>
      <c r="K427" s="7"/>
      <c r="L427" s="7"/>
      <c r="M427"/>
      <c r="O427" s="119"/>
      <c r="P427" s="7"/>
      <c r="Q427" s="7"/>
      <c r="W427" s="7"/>
      <c r="X427" s="7"/>
      <c r="Z427" s="7"/>
      <c r="AA427" s="7"/>
      <c r="AB427" s="7"/>
      <c r="AC427" s="7"/>
      <c r="AD427" s="7"/>
      <c r="AI427" s="7"/>
      <c r="AJ427" s="7"/>
      <c r="AK427" s="7"/>
      <c r="AO427" s="7"/>
      <c r="AP427" s="7"/>
    </row>
    <row r="428" spans="2:42">
      <c r="B428" s="112"/>
      <c r="C428" s="7"/>
      <c r="D428" s="7"/>
      <c r="E428" s="7"/>
      <c r="H428" s="7"/>
      <c r="J428" s="118"/>
      <c r="K428" s="7"/>
      <c r="L428" s="7"/>
      <c r="M428"/>
      <c r="O428" s="119"/>
      <c r="P428" s="7"/>
      <c r="Q428" s="7"/>
      <c r="W428" s="7"/>
      <c r="X428" s="7"/>
      <c r="Z428" s="7"/>
      <c r="AA428" s="7"/>
      <c r="AB428" s="7"/>
      <c r="AC428" s="7"/>
      <c r="AD428" s="7"/>
      <c r="AI428" s="7"/>
      <c r="AJ428" s="7"/>
      <c r="AK428" s="7"/>
      <c r="AO428" s="7"/>
      <c r="AP428" s="7"/>
    </row>
    <row r="429" spans="2:42">
      <c r="B429" s="112"/>
      <c r="C429" s="7"/>
      <c r="D429" s="7"/>
      <c r="E429" s="7"/>
      <c r="H429" s="7"/>
      <c r="J429" s="118"/>
      <c r="K429" s="7"/>
      <c r="L429" s="7"/>
      <c r="M429"/>
      <c r="O429" s="119"/>
      <c r="P429" s="7"/>
      <c r="Q429" s="7"/>
      <c r="W429" s="7"/>
      <c r="X429" s="7"/>
      <c r="Z429" s="7"/>
      <c r="AA429" s="7"/>
      <c r="AB429" s="7"/>
      <c r="AC429" s="7"/>
      <c r="AD429" s="7"/>
      <c r="AI429" s="7"/>
      <c r="AJ429" s="7"/>
      <c r="AK429" s="7"/>
      <c r="AO429" s="7"/>
      <c r="AP429" s="7"/>
    </row>
    <row r="430" spans="2:42">
      <c r="B430" s="112"/>
      <c r="C430" s="7"/>
      <c r="D430" s="7"/>
      <c r="E430" s="7"/>
      <c r="H430" s="7"/>
      <c r="J430" s="118"/>
      <c r="K430" s="7"/>
      <c r="L430" s="7"/>
      <c r="M430"/>
      <c r="O430" s="119"/>
      <c r="P430" s="7"/>
      <c r="Q430" s="7"/>
      <c r="W430" s="7"/>
      <c r="X430" s="7"/>
      <c r="Z430" s="7"/>
      <c r="AA430" s="7"/>
      <c r="AB430" s="7"/>
      <c r="AC430" s="7"/>
      <c r="AD430" s="7"/>
      <c r="AI430" s="7"/>
      <c r="AJ430" s="7"/>
      <c r="AK430" s="7"/>
      <c r="AO430" s="7"/>
      <c r="AP430" s="7"/>
    </row>
    <row r="431" spans="2:42">
      <c r="B431" s="112"/>
      <c r="C431" s="7"/>
      <c r="D431" s="7"/>
      <c r="E431" s="7"/>
      <c r="H431" s="7"/>
      <c r="J431" s="118"/>
      <c r="K431" s="7"/>
      <c r="L431" s="7"/>
      <c r="M431"/>
      <c r="O431" s="119"/>
      <c r="P431" s="7"/>
      <c r="Q431" s="7"/>
      <c r="W431" s="7"/>
      <c r="X431" s="7"/>
      <c r="Z431" s="7"/>
      <c r="AA431" s="7"/>
      <c r="AB431" s="7"/>
      <c r="AC431" s="7"/>
      <c r="AD431" s="7"/>
      <c r="AI431" s="7"/>
      <c r="AJ431" s="7"/>
      <c r="AK431" s="7"/>
      <c r="AO431" s="7"/>
      <c r="AP431" s="7"/>
    </row>
    <row r="432" spans="2:42">
      <c r="B432" s="112"/>
      <c r="C432" s="7"/>
      <c r="D432" s="7"/>
      <c r="E432" s="7"/>
      <c r="H432" s="7"/>
      <c r="J432" s="118"/>
      <c r="K432" s="7"/>
      <c r="L432" s="7"/>
      <c r="M432"/>
      <c r="O432" s="119"/>
      <c r="P432" s="7"/>
      <c r="Q432" s="7"/>
      <c r="W432" s="7"/>
      <c r="X432" s="7"/>
      <c r="Z432" s="7"/>
      <c r="AA432" s="7"/>
      <c r="AB432" s="7"/>
      <c r="AC432" s="7"/>
      <c r="AD432" s="7"/>
      <c r="AI432" s="7"/>
      <c r="AJ432" s="7"/>
      <c r="AK432" s="7"/>
      <c r="AO432" s="7"/>
      <c r="AP432" s="7"/>
    </row>
    <row r="433" spans="2:42">
      <c r="B433" s="112"/>
      <c r="C433" s="7"/>
      <c r="D433" s="7"/>
      <c r="E433" s="7"/>
      <c r="H433" s="7"/>
      <c r="J433" s="118"/>
      <c r="K433" s="7"/>
      <c r="L433" s="7"/>
      <c r="M433"/>
      <c r="O433" s="119"/>
      <c r="P433" s="7"/>
      <c r="Q433" s="7"/>
      <c r="W433" s="7"/>
      <c r="X433" s="7"/>
      <c r="Z433" s="7"/>
      <c r="AA433" s="7"/>
      <c r="AB433" s="7"/>
      <c r="AC433" s="7"/>
      <c r="AD433" s="7"/>
      <c r="AI433" s="7"/>
      <c r="AJ433" s="7"/>
      <c r="AK433" s="7"/>
      <c r="AO433" s="7"/>
      <c r="AP433" s="7"/>
    </row>
    <row r="434" spans="2:42">
      <c r="B434" s="112"/>
      <c r="C434" s="7"/>
      <c r="D434" s="7"/>
      <c r="E434" s="7"/>
      <c r="H434" s="7"/>
      <c r="J434" s="118"/>
      <c r="K434" s="7"/>
      <c r="L434" s="7"/>
      <c r="M434"/>
      <c r="O434" s="119"/>
      <c r="P434" s="7"/>
      <c r="Q434" s="7"/>
      <c r="W434" s="7"/>
      <c r="X434" s="7"/>
      <c r="Z434" s="7"/>
      <c r="AA434" s="7"/>
      <c r="AB434" s="7"/>
      <c r="AC434" s="7"/>
      <c r="AD434" s="7"/>
      <c r="AI434" s="7"/>
      <c r="AJ434" s="7"/>
      <c r="AK434" s="7"/>
      <c r="AO434" s="7"/>
      <c r="AP434" s="7"/>
    </row>
    <row r="435" spans="2:42">
      <c r="B435" s="112"/>
      <c r="C435" s="7"/>
      <c r="D435" s="7"/>
      <c r="E435" s="7"/>
      <c r="H435" s="7"/>
      <c r="J435" s="118"/>
      <c r="K435" s="7"/>
      <c r="L435" s="7"/>
      <c r="M435"/>
      <c r="O435" s="119"/>
      <c r="P435" s="7"/>
      <c r="Q435" s="7"/>
      <c r="W435" s="7"/>
      <c r="X435" s="7"/>
      <c r="Z435" s="7"/>
      <c r="AA435" s="7"/>
      <c r="AB435" s="7"/>
      <c r="AC435" s="7"/>
      <c r="AD435" s="7"/>
      <c r="AI435" s="7"/>
      <c r="AJ435" s="7"/>
      <c r="AK435" s="7"/>
      <c r="AO435" s="7"/>
      <c r="AP435" s="7"/>
    </row>
    <row r="436" spans="2:42">
      <c r="B436" s="112"/>
      <c r="C436" s="7"/>
      <c r="D436" s="7"/>
      <c r="E436" s="7"/>
      <c r="H436" s="7"/>
      <c r="J436" s="118"/>
      <c r="K436" s="7"/>
      <c r="L436" s="7"/>
      <c r="M436"/>
      <c r="O436" s="119"/>
      <c r="P436" s="7"/>
      <c r="Q436" s="7"/>
      <c r="W436" s="7"/>
      <c r="X436" s="7"/>
      <c r="Z436" s="7"/>
      <c r="AA436" s="7"/>
      <c r="AB436" s="7"/>
      <c r="AC436" s="7"/>
      <c r="AD436" s="7"/>
      <c r="AI436" s="7"/>
      <c r="AJ436" s="7"/>
      <c r="AK436" s="7"/>
      <c r="AO436" s="7"/>
      <c r="AP436" s="7"/>
    </row>
    <row r="437" spans="2:42">
      <c r="B437" s="112"/>
      <c r="C437" s="7"/>
      <c r="D437" s="7"/>
      <c r="E437" s="7"/>
      <c r="H437" s="7"/>
      <c r="J437" s="118"/>
      <c r="K437" s="7"/>
      <c r="M437" s="124"/>
      <c r="P437" s="7"/>
      <c r="Q437" s="7"/>
      <c r="W437" s="7"/>
      <c r="X437" s="7"/>
      <c r="Z437" s="7"/>
      <c r="AA437" s="7"/>
      <c r="AB437" s="7"/>
      <c r="AC437" s="7"/>
      <c r="AD437" s="7"/>
      <c r="AI437" s="7"/>
      <c r="AJ437" s="7"/>
      <c r="AK437" s="7"/>
      <c r="AO437" s="7"/>
      <c r="AP437" s="7"/>
    </row>
    <row r="438" spans="2:42">
      <c r="B438" s="112"/>
      <c r="C438" s="7"/>
      <c r="D438" s="7"/>
      <c r="E438" s="7"/>
      <c r="H438" s="7"/>
      <c r="J438" s="118"/>
      <c r="K438" s="7"/>
      <c r="M438" s="124"/>
      <c r="P438" s="7"/>
      <c r="Q438" s="7"/>
      <c r="W438" s="7"/>
      <c r="X438" s="7"/>
      <c r="Z438" s="7"/>
      <c r="AA438" s="7"/>
      <c r="AB438" s="7"/>
      <c r="AC438" s="7"/>
      <c r="AD438" s="7"/>
      <c r="AI438" s="7"/>
      <c r="AJ438" s="7"/>
      <c r="AK438" s="7"/>
      <c r="AO438" s="7"/>
      <c r="AP438" s="7"/>
    </row>
    <row r="439" spans="2:42">
      <c r="B439" s="112"/>
      <c r="C439" s="7"/>
      <c r="D439" s="7"/>
      <c r="E439" s="7"/>
      <c r="H439" s="7"/>
      <c r="J439" s="118"/>
      <c r="K439" s="7"/>
      <c r="M439" s="124"/>
      <c r="P439" s="7"/>
      <c r="Q439" s="7"/>
      <c r="W439" s="7"/>
      <c r="X439" s="7"/>
      <c r="Z439" s="7"/>
      <c r="AA439" s="7"/>
      <c r="AB439" s="7"/>
      <c r="AC439" s="7"/>
      <c r="AD439" s="7"/>
      <c r="AI439" s="7"/>
      <c r="AJ439" s="7"/>
      <c r="AK439" s="7"/>
      <c r="AO439" s="7"/>
      <c r="AP439" s="7"/>
    </row>
    <row r="440" spans="2:42">
      <c r="B440" s="112"/>
      <c r="C440" s="7"/>
      <c r="D440" s="7"/>
      <c r="E440" s="7"/>
      <c r="H440" s="7"/>
      <c r="J440" s="118"/>
      <c r="K440" s="7"/>
      <c r="M440" s="124"/>
      <c r="P440" s="7"/>
      <c r="Q440" s="7"/>
      <c r="W440" s="7"/>
      <c r="X440" s="7"/>
      <c r="Z440" s="7"/>
      <c r="AA440" s="7"/>
      <c r="AB440" s="7"/>
      <c r="AC440" s="7"/>
      <c r="AD440" s="7"/>
      <c r="AI440" s="7"/>
      <c r="AJ440" s="7"/>
      <c r="AK440" s="7"/>
      <c r="AO440" s="7"/>
      <c r="AP440" s="7"/>
    </row>
    <row r="441" spans="2:42">
      <c r="B441" s="112"/>
      <c r="C441" s="7"/>
      <c r="D441" s="7"/>
      <c r="E441" s="7"/>
      <c r="H441" s="7"/>
      <c r="J441" s="118"/>
      <c r="K441" s="7"/>
      <c r="M441" s="124"/>
      <c r="P441" s="7"/>
      <c r="Q441" s="7"/>
      <c r="W441" s="112"/>
      <c r="X441" s="7"/>
      <c r="Z441" s="7"/>
      <c r="AA441" s="7"/>
      <c r="AC441" s="7"/>
      <c r="AD441" s="7"/>
      <c r="AI441" s="7"/>
      <c r="AJ441" s="7"/>
      <c r="AK441" s="7"/>
      <c r="AO441" s="7"/>
      <c r="AP441" s="7"/>
    </row>
    <row r="442" spans="2:42">
      <c r="B442" s="112"/>
      <c r="C442" s="7"/>
      <c r="D442" s="7"/>
      <c r="E442" s="7"/>
      <c r="H442" s="7"/>
      <c r="J442" s="118"/>
      <c r="K442" s="7"/>
      <c r="M442" s="124"/>
      <c r="P442" s="7"/>
      <c r="Q442" s="7"/>
      <c r="W442" s="112"/>
      <c r="X442" s="7"/>
      <c r="Z442" s="7"/>
      <c r="AA442" s="7"/>
      <c r="AC442" s="7"/>
      <c r="AD442" s="7"/>
      <c r="AI442" s="7"/>
      <c r="AJ442" s="7"/>
      <c r="AK442" s="7"/>
      <c r="AO442" s="7"/>
      <c r="AP442" s="7"/>
    </row>
    <row r="443" spans="2:42">
      <c r="B443" s="112"/>
      <c r="C443" s="7"/>
      <c r="D443" s="7"/>
      <c r="E443" s="7"/>
      <c r="H443" s="7"/>
      <c r="J443" s="118"/>
      <c r="K443" s="7"/>
      <c r="M443" s="124"/>
      <c r="P443" s="7"/>
      <c r="Q443" s="7"/>
      <c r="W443" s="112"/>
      <c r="X443" s="7"/>
      <c r="Z443" s="7"/>
      <c r="AA443" s="7"/>
      <c r="AC443" s="7"/>
      <c r="AD443" s="7"/>
      <c r="AI443" s="7"/>
      <c r="AJ443" s="7"/>
      <c r="AK443" s="7"/>
      <c r="AO443" s="7"/>
      <c r="AP443" s="7"/>
    </row>
    <row r="444" spans="2:42">
      <c r="B444" s="112"/>
      <c r="C444" s="7"/>
      <c r="D444" s="7"/>
      <c r="E444" s="7"/>
      <c r="H444" s="7"/>
      <c r="J444" s="118"/>
      <c r="K444" s="7"/>
      <c r="M444" s="124"/>
      <c r="P444" s="7"/>
      <c r="Q444" s="7"/>
      <c r="W444" s="7"/>
      <c r="X444" s="7"/>
      <c r="Z444" s="7"/>
      <c r="AA444" s="7"/>
      <c r="AC444" s="7"/>
      <c r="AD444" s="7"/>
      <c r="AI444" s="7"/>
      <c r="AJ444" s="7"/>
      <c r="AK444" s="7"/>
      <c r="AO444" s="7"/>
      <c r="AP444" s="7"/>
    </row>
    <row r="445" spans="2:42">
      <c r="B445" s="112"/>
      <c r="C445" s="7"/>
      <c r="D445" s="7"/>
      <c r="E445" s="7"/>
      <c r="H445" s="7"/>
      <c r="J445" s="118"/>
      <c r="K445" s="7"/>
      <c r="M445" s="124"/>
      <c r="P445" s="7"/>
      <c r="Q445" s="7"/>
      <c r="W445" s="7"/>
      <c r="X445" s="7"/>
      <c r="Z445" s="7"/>
      <c r="AA445" s="7"/>
      <c r="AC445" s="7"/>
      <c r="AD445" s="7"/>
      <c r="AI445" s="7"/>
      <c r="AJ445" s="7"/>
      <c r="AK445" s="7"/>
      <c r="AO445" s="7"/>
      <c r="AP445" s="7"/>
    </row>
    <row r="446" spans="2:42">
      <c r="B446" s="112"/>
      <c r="C446" s="7"/>
      <c r="D446" s="7"/>
      <c r="E446" s="7"/>
      <c r="H446" s="7"/>
      <c r="J446" s="118"/>
      <c r="K446" s="7"/>
      <c r="M446" s="124"/>
      <c r="P446" s="7"/>
      <c r="Q446" s="7"/>
      <c r="W446" s="7"/>
      <c r="X446" s="7"/>
      <c r="Z446" s="7"/>
      <c r="AA446" s="7"/>
      <c r="AC446" s="7"/>
      <c r="AD446" s="7"/>
      <c r="AI446" s="7"/>
      <c r="AJ446" s="7"/>
      <c r="AK446" s="7"/>
      <c r="AO446" s="7"/>
      <c r="AP446" s="7"/>
    </row>
    <row r="447" spans="2:42">
      <c r="B447" s="112"/>
      <c r="C447" s="7"/>
      <c r="D447" s="7"/>
      <c r="E447" s="7"/>
      <c r="H447" s="7"/>
      <c r="J447" s="118"/>
      <c r="K447" s="7"/>
      <c r="M447" s="124"/>
      <c r="P447" s="7"/>
      <c r="Q447" s="7"/>
      <c r="W447" s="7"/>
      <c r="X447" s="7"/>
      <c r="Z447" s="7"/>
      <c r="AA447" s="7"/>
      <c r="AC447" s="7"/>
      <c r="AD447" s="7"/>
      <c r="AI447" s="7"/>
      <c r="AJ447" s="7"/>
      <c r="AK447" s="7"/>
      <c r="AO447" s="7"/>
      <c r="AP447" s="7"/>
    </row>
    <row r="448" spans="2:42">
      <c r="B448" s="112"/>
      <c r="C448" s="7"/>
      <c r="D448" s="7"/>
      <c r="E448" s="7"/>
      <c r="H448" s="7"/>
      <c r="J448" s="118"/>
      <c r="K448" s="7"/>
      <c r="M448" s="124"/>
      <c r="P448" s="7"/>
      <c r="Q448" s="7"/>
      <c r="W448" s="7"/>
      <c r="X448" s="7"/>
      <c r="Z448" s="7"/>
      <c r="AA448" s="7"/>
      <c r="AC448" s="7"/>
      <c r="AD448" s="7"/>
      <c r="AI448" s="7"/>
      <c r="AJ448" s="7"/>
      <c r="AK448" s="7"/>
      <c r="AO448" s="7"/>
      <c r="AP448" s="7"/>
    </row>
    <row r="449" spans="2:42">
      <c r="B449" s="112"/>
      <c r="C449" s="7"/>
      <c r="D449" s="7"/>
      <c r="E449" s="7"/>
      <c r="H449" s="7"/>
      <c r="J449" s="118"/>
      <c r="K449" s="7"/>
      <c r="M449" s="124"/>
      <c r="P449" s="7"/>
      <c r="Q449" s="7"/>
      <c r="W449" s="7"/>
      <c r="X449" s="7"/>
      <c r="Z449" s="7"/>
      <c r="AA449" s="7"/>
      <c r="AC449" s="7"/>
      <c r="AD449" s="7"/>
      <c r="AI449" s="7"/>
      <c r="AJ449" s="7"/>
      <c r="AK449" s="7"/>
      <c r="AO449" s="7"/>
      <c r="AP449" s="7"/>
    </row>
    <row r="450" spans="2:42">
      <c r="B450" s="112"/>
      <c r="C450" s="7"/>
      <c r="D450" s="7"/>
      <c r="E450" s="7"/>
      <c r="H450" s="7"/>
      <c r="J450" s="118"/>
      <c r="K450" s="7"/>
      <c r="M450" s="124"/>
      <c r="P450" s="7"/>
      <c r="Q450" s="7"/>
      <c r="W450" s="7"/>
      <c r="X450" s="7"/>
      <c r="Z450" s="7"/>
      <c r="AA450" s="7"/>
      <c r="AC450" s="7"/>
      <c r="AD450" s="7"/>
      <c r="AI450" s="7"/>
      <c r="AJ450" s="7"/>
      <c r="AK450" s="7"/>
      <c r="AO450" s="7"/>
      <c r="AP450" s="7"/>
    </row>
    <row r="451" spans="2:42">
      <c r="B451" s="112"/>
      <c r="C451" s="7"/>
      <c r="D451" s="7"/>
      <c r="E451" s="7"/>
      <c r="H451" s="7"/>
      <c r="J451" s="118"/>
      <c r="K451" s="7"/>
      <c r="M451" s="124"/>
      <c r="P451" s="7"/>
      <c r="Q451" s="7"/>
      <c r="W451" s="7"/>
      <c r="X451" s="7"/>
      <c r="Z451" s="7"/>
      <c r="AA451" s="7"/>
      <c r="AC451" s="7"/>
      <c r="AD451" s="7"/>
      <c r="AI451" s="7"/>
      <c r="AJ451" s="7"/>
      <c r="AK451" s="7"/>
      <c r="AO451" s="7"/>
      <c r="AP451" s="7"/>
    </row>
    <row r="452" spans="2:42">
      <c r="B452" s="112"/>
      <c r="C452" s="7"/>
      <c r="D452" s="7"/>
      <c r="E452" s="7"/>
      <c r="H452" s="7"/>
      <c r="J452" s="118"/>
      <c r="K452" s="7"/>
      <c r="M452" s="124"/>
      <c r="P452" s="7"/>
      <c r="Q452" s="7"/>
      <c r="W452" s="7"/>
      <c r="X452" s="7"/>
      <c r="Z452" s="7"/>
      <c r="AA452" s="7"/>
      <c r="AC452" s="7"/>
      <c r="AD452" s="7"/>
      <c r="AI452" s="7"/>
      <c r="AJ452" s="7"/>
      <c r="AK452" s="7"/>
      <c r="AO452" s="7"/>
      <c r="AP452" s="7"/>
    </row>
    <row r="453" spans="2:42">
      <c r="B453" s="112"/>
      <c r="C453" s="7"/>
      <c r="D453" s="7"/>
      <c r="E453" s="7"/>
      <c r="H453" s="7"/>
      <c r="J453" s="118"/>
      <c r="K453" s="7"/>
      <c r="M453" s="124"/>
      <c r="P453" s="7"/>
      <c r="Q453" s="7"/>
      <c r="W453" s="7"/>
      <c r="X453" s="7"/>
      <c r="Z453" s="7"/>
      <c r="AA453" s="7"/>
      <c r="AC453" s="7"/>
      <c r="AD453" s="7"/>
      <c r="AI453" s="7"/>
      <c r="AJ453" s="7"/>
      <c r="AK453" s="7"/>
      <c r="AO453" s="7"/>
      <c r="AP453" s="7"/>
    </row>
    <row r="454" spans="2:42">
      <c r="B454" s="112"/>
      <c r="C454" s="7"/>
      <c r="D454" s="7"/>
      <c r="E454" s="7"/>
      <c r="H454" s="7"/>
      <c r="J454" s="118"/>
      <c r="K454" s="7"/>
      <c r="M454" s="124"/>
      <c r="P454" s="7"/>
      <c r="Q454" s="7"/>
      <c r="W454" s="7"/>
      <c r="X454" s="7"/>
      <c r="Z454" s="7"/>
      <c r="AA454" s="7"/>
      <c r="AC454" s="7"/>
      <c r="AD454" s="7"/>
      <c r="AI454" s="7"/>
      <c r="AJ454" s="7"/>
      <c r="AK454" s="7"/>
      <c r="AO454" s="7"/>
      <c r="AP454" s="7"/>
    </row>
    <row r="455" spans="2:42">
      <c r="B455" s="112"/>
      <c r="C455" s="7"/>
      <c r="D455" s="7"/>
      <c r="E455" s="7"/>
      <c r="H455" s="7"/>
      <c r="J455" s="118"/>
      <c r="K455" s="7"/>
      <c r="M455" s="124"/>
      <c r="P455" s="7"/>
      <c r="Q455" s="7"/>
      <c r="W455" s="7"/>
      <c r="X455" s="7"/>
      <c r="Z455" s="7"/>
      <c r="AA455" s="7"/>
      <c r="AC455" s="7"/>
      <c r="AD455" s="7"/>
      <c r="AI455" s="7"/>
      <c r="AJ455" s="7"/>
      <c r="AK455" s="7"/>
      <c r="AO455" s="7"/>
      <c r="AP455" s="7"/>
    </row>
    <row r="456" spans="2:42">
      <c r="B456" s="112"/>
      <c r="C456" s="7"/>
      <c r="D456" s="7"/>
      <c r="E456" s="7"/>
      <c r="H456" s="7"/>
      <c r="J456" s="118"/>
      <c r="K456" s="7"/>
      <c r="M456" s="124"/>
      <c r="P456" s="7"/>
      <c r="Q456" s="7"/>
      <c r="W456" s="7"/>
      <c r="X456" s="7"/>
      <c r="Z456" s="7"/>
      <c r="AA456" s="7"/>
      <c r="AC456" s="7"/>
      <c r="AD456" s="7"/>
      <c r="AI456" s="7"/>
      <c r="AJ456" s="7"/>
      <c r="AK456" s="7"/>
      <c r="AO456" s="7"/>
      <c r="AP456" s="7"/>
    </row>
    <row r="457" spans="2:42">
      <c r="B457" s="113"/>
      <c r="C457" s="7"/>
      <c r="D457" s="7"/>
      <c r="E457" s="7"/>
      <c r="H457" s="7"/>
      <c r="I457" s="113"/>
      <c r="J457" s="118"/>
      <c r="K457" s="7"/>
      <c r="L457" s="7"/>
      <c r="M457" s="124"/>
      <c r="O457" s="119"/>
      <c r="P457" s="7"/>
      <c r="Q457" s="7"/>
      <c r="W457" s="7"/>
      <c r="X457" s="7"/>
      <c r="Z457" s="7"/>
      <c r="AA457" s="7"/>
      <c r="AC457" s="7"/>
      <c r="AD457" s="7"/>
      <c r="AI457" s="7"/>
      <c r="AJ457" s="7"/>
      <c r="AK457" s="7"/>
      <c r="AO457" s="7"/>
      <c r="AP457" s="7"/>
    </row>
    <row r="458" spans="2:42">
      <c r="B458" s="113"/>
      <c r="C458" s="7"/>
      <c r="D458" s="7"/>
      <c r="E458" s="7"/>
      <c r="H458" s="7"/>
      <c r="I458" s="113"/>
      <c r="J458" s="118"/>
      <c r="K458" s="7"/>
      <c r="L458" s="7"/>
      <c r="M458" s="124"/>
      <c r="O458" s="119"/>
      <c r="P458" s="7"/>
      <c r="Q458" s="7"/>
      <c r="W458" s="7"/>
      <c r="X458" s="7"/>
      <c r="Z458" s="7"/>
      <c r="AA458" s="7"/>
      <c r="AC458" s="7"/>
      <c r="AD458" s="7"/>
      <c r="AI458" s="7"/>
      <c r="AJ458" s="7"/>
      <c r="AK458" s="7"/>
      <c r="AO458" s="7"/>
      <c r="AP458" s="7"/>
    </row>
    <row r="459" spans="2:42">
      <c r="B459" s="113"/>
      <c r="C459" s="7"/>
      <c r="D459" s="7"/>
      <c r="E459" s="7"/>
      <c r="H459" s="7"/>
      <c r="I459" s="113"/>
      <c r="J459" s="118"/>
      <c r="K459" s="7"/>
      <c r="L459" s="7"/>
      <c r="M459" s="124"/>
      <c r="O459" s="119"/>
      <c r="P459" s="7"/>
      <c r="Q459" s="7"/>
      <c r="W459" s="7"/>
      <c r="X459" s="7"/>
      <c r="Z459" s="7"/>
      <c r="AA459" s="7"/>
      <c r="AC459" s="7"/>
      <c r="AD459" s="7"/>
      <c r="AI459" s="7"/>
      <c r="AJ459" s="7"/>
      <c r="AK459" s="7"/>
      <c r="AO459" s="7"/>
      <c r="AP459" s="7"/>
    </row>
    <row r="460" spans="2:42">
      <c r="B460" s="113"/>
      <c r="C460" s="7"/>
      <c r="D460" s="7"/>
      <c r="E460" s="7"/>
      <c r="H460" s="7"/>
      <c r="I460" s="113"/>
      <c r="J460" s="118"/>
      <c r="K460" s="7"/>
      <c r="L460" s="7"/>
      <c r="M460" s="124"/>
      <c r="O460" s="119"/>
      <c r="P460" s="7"/>
      <c r="Q460" s="7"/>
      <c r="W460" s="7"/>
      <c r="X460" s="7"/>
      <c r="Z460" s="7"/>
      <c r="AA460" s="7"/>
      <c r="AC460" s="7"/>
      <c r="AD460" s="7"/>
      <c r="AI460" s="7"/>
      <c r="AJ460" s="7"/>
      <c r="AK460" s="7"/>
      <c r="AO460" s="7"/>
      <c r="AP460" s="7"/>
    </row>
    <row r="461" spans="2:42">
      <c r="B461" s="113"/>
      <c r="C461" s="7"/>
      <c r="D461" s="7"/>
      <c r="E461" s="7"/>
      <c r="H461" s="7"/>
      <c r="I461" s="113"/>
      <c r="J461" s="118"/>
      <c r="K461" s="7"/>
      <c r="L461" s="7"/>
      <c r="M461" s="124"/>
      <c r="O461" s="119"/>
      <c r="P461" s="7"/>
      <c r="Q461" s="7"/>
      <c r="W461" s="7"/>
      <c r="X461" s="7"/>
      <c r="Z461" s="7"/>
      <c r="AA461" s="7"/>
      <c r="AC461" s="7"/>
      <c r="AD461" s="7"/>
      <c r="AI461" s="7"/>
      <c r="AJ461" s="7"/>
      <c r="AK461" s="7"/>
      <c r="AO461" s="7"/>
      <c r="AP461" s="7"/>
    </row>
    <row r="462" spans="2:42">
      <c r="B462" s="113"/>
      <c r="C462" s="7"/>
      <c r="D462" s="7"/>
      <c r="E462" s="7"/>
      <c r="H462" s="7"/>
      <c r="I462" s="113"/>
      <c r="J462" s="118"/>
      <c r="K462" s="7"/>
      <c r="L462" s="7"/>
      <c r="M462" s="124"/>
      <c r="O462" s="119"/>
      <c r="P462" s="7"/>
      <c r="Q462" s="7"/>
      <c r="W462" s="7"/>
      <c r="X462" s="7"/>
      <c r="Z462" s="7"/>
      <c r="AA462" s="7"/>
      <c r="AC462" s="7"/>
      <c r="AD462" s="7"/>
      <c r="AI462" s="7"/>
      <c r="AJ462" s="7"/>
      <c r="AK462" s="7"/>
      <c r="AO462" s="7"/>
      <c r="AP462" s="7"/>
    </row>
    <row r="463" spans="2:42">
      <c r="B463" s="113"/>
      <c r="C463" s="7"/>
      <c r="D463" s="7"/>
      <c r="E463" s="7"/>
      <c r="H463" s="7"/>
      <c r="I463" s="113"/>
      <c r="J463" s="118"/>
      <c r="K463" s="7"/>
      <c r="L463" s="7"/>
      <c r="M463" s="124"/>
      <c r="O463" s="119"/>
      <c r="P463" s="7"/>
      <c r="Q463" s="7"/>
      <c r="W463" s="7"/>
      <c r="X463" s="7"/>
      <c r="Z463" s="7"/>
      <c r="AA463" s="7"/>
      <c r="AC463" s="7"/>
      <c r="AD463" s="7"/>
      <c r="AI463" s="7"/>
      <c r="AJ463" s="7"/>
      <c r="AK463" s="7"/>
      <c r="AO463" s="7"/>
      <c r="AP463" s="7"/>
    </row>
    <row r="464" spans="2:42">
      <c r="B464" s="113"/>
      <c r="C464" s="7"/>
      <c r="D464" s="7"/>
      <c r="E464" s="7"/>
      <c r="H464" s="7"/>
      <c r="I464" s="113"/>
      <c r="J464" s="118"/>
      <c r="K464" s="7"/>
      <c r="L464" s="7"/>
      <c r="M464" s="124"/>
      <c r="O464" s="119"/>
      <c r="P464" s="7"/>
      <c r="Q464" s="7"/>
      <c r="W464" s="7"/>
      <c r="X464" s="7"/>
      <c r="Z464" s="7"/>
      <c r="AA464" s="7"/>
      <c r="AC464" s="7"/>
      <c r="AD464" s="7"/>
      <c r="AI464" s="7"/>
      <c r="AJ464" s="7"/>
      <c r="AK464" s="7"/>
      <c r="AO464" s="7"/>
      <c r="AP464" s="7"/>
    </row>
    <row r="465" spans="2:42">
      <c r="B465" s="113"/>
      <c r="C465" s="7"/>
      <c r="D465" s="7"/>
      <c r="E465" s="7"/>
      <c r="H465" s="7"/>
      <c r="I465" s="113"/>
      <c r="J465" s="118"/>
      <c r="K465" s="7"/>
      <c r="L465" s="7"/>
      <c r="M465" s="124"/>
      <c r="O465" s="119"/>
      <c r="P465" s="7"/>
      <c r="Q465" s="7"/>
      <c r="W465" s="7"/>
      <c r="X465" s="7"/>
      <c r="Z465" s="7"/>
      <c r="AA465" s="7"/>
      <c r="AC465" s="7"/>
      <c r="AD465" s="7"/>
      <c r="AI465" s="7"/>
      <c r="AJ465" s="7"/>
      <c r="AK465" s="7"/>
      <c r="AO465" s="7"/>
      <c r="AP465" s="7"/>
    </row>
    <row r="466" spans="2:42">
      <c r="B466" s="113"/>
      <c r="C466" s="7"/>
      <c r="D466" s="7"/>
      <c r="E466" s="7"/>
      <c r="H466" s="7"/>
      <c r="I466" s="113"/>
      <c r="J466" s="118"/>
      <c r="K466" s="7"/>
      <c r="L466" s="7"/>
      <c r="M466" s="124"/>
      <c r="O466" s="119"/>
      <c r="P466" s="7"/>
      <c r="Q466" s="7"/>
      <c r="W466" s="7"/>
      <c r="X466" s="7"/>
      <c r="Z466" s="7"/>
      <c r="AA466" s="7"/>
      <c r="AC466" s="7"/>
      <c r="AD466" s="7"/>
      <c r="AI466" s="7"/>
      <c r="AJ466" s="7"/>
      <c r="AK466" s="7"/>
      <c r="AO466" s="7"/>
      <c r="AP466" s="7"/>
    </row>
    <row r="467" spans="2:42">
      <c r="B467" s="113"/>
      <c r="C467" s="7"/>
      <c r="D467" s="7"/>
      <c r="E467" s="7"/>
      <c r="H467" s="7"/>
      <c r="I467" s="113"/>
      <c r="J467" s="118"/>
      <c r="K467" s="7"/>
      <c r="L467" s="7"/>
      <c r="M467" s="124"/>
      <c r="O467" s="119"/>
      <c r="P467" s="7"/>
      <c r="Q467" s="7"/>
      <c r="W467" s="7"/>
      <c r="X467" s="7"/>
      <c r="Z467" s="7"/>
      <c r="AA467" s="7"/>
      <c r="AC467" s="7"/>
      <c r="AD467" s="7"/>
      <c r="AI467" s="7"/>
      <c r="AJ467" s="7"/>
      <c r="AK467" s="7"/>
      <c r="AO467" s="7"/>
      <c r="AP467" s="7"/>
    </row>
    <row r="468" spans="2:42">
      <c r="B468" s="113"/>
      <c r="C468" s="7"/>
      <c r="D468" s="7"/>
      <c r="E468" s="7"/>
      <c r="H468" s="7"/>
      <c r="I468" s="113"/>
      <c r="J468" s="118"/>
      <c r="K468" s="7"/>
      <c r="L468" s="7"/>
      <c r="M468" s="124"/>
      <c r="O468" s="119"/>
      <c r="P468" s="7"/>
      <c r="Q468" s="7"/>
      <c r="W468" s="7"/>
      <c r="X468" s="7"/>
      <c r="Z468" s="7"/>
      <c r="AA468" s="7"/>
      <c r="AC468" s="7"/>
      <c r="AD468" s="7"/>
      <c r="AI468" s="7"/>
      <c r="AJ468" s="7"/>
      <c r="AK468" s="7"/>
      <c r="AO468" s="7"/>
      <c r="AP468" s="7"/>
    </row>
    <row r="469" spans="2:42">
      <c r="B469" s="113"/>
      <c r="C469" s="7"/>
      <c r="D469" s="7"/>
      <c r="E469" s="7"/>
      <c r="H469" s="7"/>
      <c r="I469" s="113"/>
      <c r="J469" s="118"/>
      <c r="K469" s="7"/>
      <c r="L469" s="7"/>
      <c r="M469" s="124"/>
      <c r="O469" s="119"/>
      <c r="P469" s="7"/>
      <c r="Q469" s="7"/>
      <c r="W469" s="7"/>
      <c r="X469" s="7"/>
      <c r="Z469" s="7"/>
      <c r="AA469" s="7"/>
      <c r="AC469" s="7"/>
      <c r="AD469" s="7"/>
      <c r="AI469" s="7"/>
      <c r="AJ469" s="7"/>
      <c r="AK469" s="7"/>
      <c r="AO469" s="7"/>
      <c r="AP469" s="7"/>
    </row>
    <row r="470" spans="2:42">
      <c r="B470" s="113"/>
      <c r="C470" s="7"/>
      <c r="D470" s="7"/>
      <c r="E470" s="7"/>
      <c r="H470" s="7"/>
      <c r="I470" s="113"/>
      <c r="J470" s="118"/>
      <c r="K470" s="7"/>
      <c r="L470" s="7"/>
      <c r="M470" s="124"/>
      <c r="O470" s="119"/>
      <c r="P470" s="7"/>
      <c r="Q470" s="7"/>
      <c r="W470" s="7"/>
      <c r="X470" s="7"/>
      <c r="Z470" s="7"/>
      <c r="AA470" s="7"/>
      <c r="AC470" s="7"/>
      <c r="AD470" s="7"/>
      <c r="AI470" s="7"/>
      <c r="AJ470" s="7"/>
      <c r="AK470" s="7"/>
      <c r="AO470" s="7"/>
      <c r="AP470" s="7"/>
    </row>
    <row r="471" spans="2:42">
      <c r="B471" s="113"/>
      <c r="C471" s="7"/>
      <c r="D471" s="7"/>
      <c r="E471" s="7"/>
      <c r="H471" s="7"/>
      <c r="I471" s="113"/>
      <c r="J471" s="118"/>
      <c r="K471" s="7"/>
      <c r="L471" s="7"/>
      <c r="M471" s="124"/>
      <c r="O471" s="119"/>
      <c r="P471" s="7"/>
      <c r="Q471" s="7"/>
      <c r="W471" s="7"/>
      <c r="X471" s="7"/>
      <c r="Z471" s="7"/>
      <c r="AA471" s="7"/>
      <c r="AC471" s="7"/>
      <c r="AD471" s="7"/>
      <c r="AI471" s="7"/>
      <c r="AJ471" s="7"/>
      <c r="AK471" s="7"/>
      <c r="AO471" s="7"/>
      <c r="AP471" s="7"/>
    </row>
    <row r="472" spans="2:42">
      <c r="B472" s="113"/>
      <c r="C472" s="7"/>
      <c r="D472" s="7"/>
      <c r="E472" s="7"/>
      <c r="H472" s="7"/>
      <c r="I472" s="113"/>
      <c r="J472" s="118"/>
      <c r="K472" s="7"/>
      <c r="L472" s="7"/>
      <c r="M472" s="124"/>
      <c r="O472" s="119"/>
      <c r="P472" s="7"/>
      <c r="Q472" s="7"/>
      <c r="W472" s="7"/>
      <c r="X472" s="7"/>
      <c r="Z472" s="7"/>
      <c r="AA472" s="7"/>
      <c r="AC472" s="7"/>
      <c r="AD472" s="7"/>
      <c r="AI472" s="7"/>
      <c r="AJ472" s="7"/>
      <c r="AK472" s="7"/>
      <c r="AO472" s="7"/>
      <c r="AP472" s="7"/>
    </row>
    <row r="473" spans="2:42">
      <c r="B473" s="113"/>
      <c r="C473" s="7"/>
      <c r="D473" s="7"/>
      <c r="E473" s="7"/>
      <c r="H473" s="7"/>
      <c r="I473" s="113"/>
      <c r="J473" s="118"/>
      <c r="K473" s="7"/>
      <c r="L473" s="7"/>
      <c r="M473" s="124"/>
      <c r="O473" s="119"/>
      <c r="P473" s="7"/>
      <c r="Q473" s="7"/>
      <c r="W473" s="7"/>
      <c r="X473" s="7"/>
      <c r="Z473" s="7"/>
      <c r="AA473" s="7"/>
      <c r="AC473" s="7"/>
      <c r="AD473" s="7"/>
      <c r="AI473" s="7"/>
      <c r="AJ473" s="7"/>
      <c r="AK473" s="7"/>
      <c r="AO473" s="7"/>
      <c r="AP473" s="7"/>
    </row>
    <row r="474" spans="2:42">
      <c r="B474" s="113"/>
      <c r="C474" s="7"/>
      <c r="D474" s="7"/>
      <c r="E474" s="7"/>
      <c r="H474" s="7"/>
      <c r="I474" s="113"/>
      <c r="J474" s="118"/>
      <c r="K474" s="7"/>
      <c r="L474" s="7"/>
      <c r="M474" s="124"/>
      <c r="O474" s="119"/>
      <c r="P474" s="7"/>
      <c r="Q474" s="7"/>
      <c r="W474" s="7"/>
      <c r="X474" s="7"/>
      <c r="Z474" s="7"/>
      <c r="AA474" s="7"/>
      <c r="AC474" s="7"/>
      <c r="AD474" s="7"/>
      <c r="AI474" s="7"/>
      <c r="AJ474" s="7"/>
      <c r="AK474" s="7"/>
      <c r="AO474" s="7"/>
      <c r="AP474" s="7"/>
    </row>
    <row r="475" spans="2:42">
      <c r="B475" s="113"/>
      <c r="C475" s="7"/>
      <c r="D475" s="7"/>
      <c r="E475" s="7"/>
      <c r="H475" s="7"/>
      <c r="I475" s="113"/>
      <c r="J475" s="118"/>
      <c r="K475" s="7"/>
      <c r="L475" s="7"/>
      <c r="M475" s="124"/>
      <c r="O475" s="119"/>
      <c r="P475" s="7"/>
      <c r="Q475" s="7"/>
      <c r="W475" s="7"/>
      <c r="X475" s="7"/>
      <c r="Z475" s="7"/>
      <c r="AA475" s="7"/>
      <c r="AC475" s="7"/>
      <c r="AD475" s="7"/>
      <c r="AI475" s="7"/>
      <c r="AJ475" s="7"/>
      <c r="AK475" s="7"/>
      <c r="AO475" s="7"/>
      <c r="AP475" s="7"/>
    </row>
    <row r="476" spans="2:42">
      <c r="B476" s="112"/>
      <c r="C476" s="7"/>
      <c r="D476" s="7"/>
      <c r="E476" s="7"/>
      <c r="H476" s="7"/>
      <c r="J476" s="118"/>
      <c r="K476" s="7"/>
      <c r="L476" s="7"/>
      <c r="O476" s="119"/>
      <c r="P476" s="7"/>
      <c r="Q476" s="7"/>
      <c r="W476" s="112"/>
      <c r="X476" s="7"/>
      <c r="Z476" s="7"/>
      <c r="AA476" s="7"/>
      <c r="AC476" s="7"/>
      <c r="AD476" s="7"/>
      <c r="AI476" s="7"/>
      <c r="AJ476" s="7"/>
      <c r="AK476" s="7"/>
      <c r="AO476" s="7"/>
      <c r="AP476" s="7"/>
    </row>
    <row r="477" spans="2:42">
      <c r="B477" s="112"/>
      <c r="C477" s="7"/>
      <c r="D477" s="7"/>
      <c r="E477" s="7"/>
      <c r="H477" s="7"/>
      <c r="J477" s="118"/>
      <c r="K477" s="7"/>
      <c r="L477" s="7"/>
      <c r="O477" s="119"/>
      <c r="P477" s="7"/>
      <c r="Q477" s="7"/>
      <c r="W477" s="112"/>
      <c r="X477" s="7"/>
      <c r="Z477" s="7"/>
      <c r="AA477" s="7"/>
      <c r="AC477" s="7"/>
      <c r="AD477" s="7"/>
      <c r="AI477" s="7"/>
      <c r="AJ477" s="7"/>
      <c r="AK477" s="7"/>
      <c r="AO477" s="7"/>
      <c r="AP477" s="7"/>
    </row>
    <row r="478" spans="2:42">
      <c r="B478" s="112"/>
      <c r="C478" s="7"/>
      <c r="D478" s="7"/>
      <c r="E478" s="7"/>
      <c r="H478" s="7"/>
      <c r="J478" s="118"/>
      <c r="K478" s="7"/>
      <c r="L478" s="7"/>
      <c r="O478" s="119"/>
      <c r="P478" s="7"/>
      <c r="Q478" s="7"/>
      <c r="W478" s="112"/>
      <c r="X478" s="7"/>
      <c r="Z478" s="7"/>
      <c r="AA478" s="7"/>
      <c r="AC478" s="7"/>
      <c r="AD478" s="7"/>
      <c r="AI478" s="7"/>
      <c r="AJ478" s="7"/>
      <c r="AK478" s="7"/>
      <c r="AO478" s="7"/>
      <c r="AP478" s="7"/>
    </row>
    <row r="479" spans="2:42">
      <c r="B479" s="112"/>
      <c r="C479" s="7"/>
      <c r="D479" s="7"/>
      <c r="E479" s="7"/>
      <c r="H479" s="7"/>
      <c r="J479" s="118"/>
      <c r="K479" s="7"/>
      <c r="L479" s="7"/>
      <c r="O479" s="119"/>
      <c r="P479" s="7"/>
      <c r="Q479" s="7"/>
      <c r="W479" s="112"/>
      <c r="X479" s="7"/>
      <c r="Z479" s="7"/>
      <c r="AA479" s="7"/>
      <c r="AC479" s="7"/>
      <c r="AD479" s="7"/>
      <c r="AI479" s="7"/>
      <c r="AJ479" s="7"/>
      <c r="AK479" s="7"/>
      <c r="AO479" s="7"/>
      <c r="AP479" s="7"/>
    </row>
    <row r="480" spans="2:42">
      <c r="B480" s="112"/>
      <c r="C480" s="7"/>
      <c r="D480" s="7"/>
      <c r="E480" s="7"/>
      <c r="H480" s="7"/>
      <c r="J480" s="118"/>
      <c r="K480" s="7"/>
      <c r="L480" s="7"/>
      <c r="O480" s="119"/>
      <c r="P480" s="7"/>
      <c r="Q480" s="7"/>
      <c r="W480" s="112"/>
      <c r="X480" s="7"/>
      <c r="Z480" s="7"/>
      <c r="AA480" s="7"/>
      <c r="AC480" s="7"/>
      <c r="AD480" s="7"/>
      <c r="AI480" s="7"/>
      <c r="AJ480" s="7"/>
      <c r="AK480" s="7"/>
      <c r="AO480" s="7"/>
      <c r="AP480" s="7"/>
    </row>
    <row r="481" spans="2:42">
      <c r="B481" s="112"/>
      <c r="C481" s="7"/>
      <c r="D481" s="7"/>
      <c r="E481" s="7"/>
      <c r="H481" s="7"/>
      <c r="J481" s="118"/>
      <c r="K481" s="7"/>
      <c r="L481" s="7"/>
      <c r="O481" s="119"/>
      <c r="P481" s="7"/>
      <c r="Q481" s="7"/>
      <c r="W481" s="112"/>
      <c r="X481" s="7"/>
      <c r="Z481" s="7"/>
      <c r="AA481" s="7"/>
      <c r="AC481" s="7"/>
      <c r="AD481" s="7"/>
      <c r="AI481" s="7"/>
      <c r="AJ481" s="7"/>
      <c r="AK481" s="7"/>
      <c r="AO481" s="7"/>
      <c r="AP481" s="7"/>
    </row>
    <row r="482" spans="2:42">
      <c r="B482" s="112"/>
      <c r="C482" s="7"/>
      <c r="D482" s="7"/>
      <c r="E482" s="7"/>
      <c r="H482" s="7"/>
      <c r="J482" s="118"/>
      <c r="K482" s="7"/>
      <c r="L482" s="7"/>
      <c r="O482" s="119"/>
      <c r="P482" s="7"/>
      <c r="Q482" s="7"/>
      <c r="W482" s="112"/>
      <c r="X482" s="7"/>
      <c r="Z482" s="7"/>
      <c r="AA482" s="7"/>
      <c r="AC482" s="7"/>
      <c r="AD482" s="7"/>
      <c r="AI482" s="7"/>
      <c r="AJ482" s="7"/>
      <c r="AK482" s="7"/>
      <c r="AO482" s="7"/>
      <c r="AP482" s="7"/>
    </row>
    <row r="483" spans="2:42">
      <c r="B483" s="112"/>
      <c r="C483" s="7"/>
      <c r="D483" s="7"/>
      <c r="E483" s="7"/>
      <c r="H483" s="7"/>
      <c r="J483" s="118"/>
      <c r="K483" s="7"/>
      <c r="L483" s="7"/>
      <c r="O483" s="119"/>
      <c r="P483" s="7"/>
      <c r="Q483" s="7"/>
      <c r="W483" s="112"/>
      <c r="X483" s="7"/>
      <c r="Z483" s="7"/>
      <c r="AA483" s="7"/>
      <c r="AC483" s="7"/>
      <c r="AD483" s="7"/>
      <c r="AI483" s="7"/>
      <c r="AJ483" s="7"/>
      <c r="AK483" s="7"/>
      <c r="AO483" s="7"/>
      <c r="AP483" s="7"/>
    </row>
    <row r="484" spans="2:42">
      <c r="B484" s="112"/>
      <c r="C484" s="7"/>
      <c r="D484" s="7"/>
      <c r="E484" s="7"/>
      <c r="H484" s="7"/>
      <c r="J484" s="118"/>
      <c r="K484" s="7"/>
      <c r="L484" s="7"/>
      <c r="O484" s="119"/>
      <c r="P484" s="7"/>
      <c r="Q484" s="7"/>
      <c r="W484" s="112"/>
      <c r="X484" s="7"/>
      <c r="Z484" s="7"/>
      <c r="AA484" s="7"/>
      <c r="AC484" s="7"/>
      <c r="AD484" s="7"/>
      <c r="AI484" s="7"/>
      <c r="AJ484" s="7"/>
      <c r="AK484" s="7"/>
      <c r="AO484" s="7"/>
      <c r="AP484" s="7"/>
    </row>
    <row r="485" spans="2:42">
      <c r="B485" s="112"/>
      <c r="C485" s="7"/>
      <c r="D485" s="7"/>
      <c r="E485" s="7"/>
      <c r="H485" s="7"/>
      <c r="J485" s="118"/>
      <c r="K485" s="7"/>
      <c r="L485" s="7"/>
      <c r="O485" s="119"/>
      <c r="P485" s="7"/>
      <c r="Q485" s="7"/>
      <c r="W485" s="112"/>
      <c r="X485" s="7"/>
      <c r="Z485" s="7"/>
      <c r="AA485" s="7"/>
      <c r="AC485" s="7"/>
      <c r="AD485" s="7"/>
      <c r="AI485" s="7"/>
      <c r="AJ485" s="7"/>
      <c r="AK485" s="7"/>
      <c r="AO485" s="7"/>
      <c r="AP485" s="7"/>
    </row>
    <row r="486" spans="2:42">
      <c r="B486" s="112"/>
      <c r="C486" s="7"/>
      <c r="D486" s="7"/>
      <c r="E486" s="7"/>
      <c r="H486" s="7"/>
      <c r="J486" s="118"/>
      <c r="K486" s="7"/>
      <c r="L486" s="7"/>
      <c r="O486" s="119"/>
      <c r="P486" s="7"/>
      <c r="Q486" s="7"/>
      <c r="W486" s="112"/>
      <c r="X486" s="7"/>
      <c r="Z486" s="7"/>
      <c r="AA486" s="7"/>
      <c r="AC486" s="7"/>
      <c r="AD486" s="7"/>
      <c r="AI486" s="7"/>
      <c r="AJ486" s="7"/>
      <c r="AK486" s="7"/>
      <c r="AO486" s="7"/>
      <c r="AP486" s="7"/>
    </row>
    <row r="487" spans="2:42">
      <c r="B487" s="112"/>
      <c r="C487" s="7"/>
      <c r="D487" s="7"/>
      <c r="E487" s="7"/>
      <c r="H487" s="7"/>
      <c r="I487" s="7"/>
      <c r="J487" s="118"/>
      <c r="K487" s="7"/>
      <c r="L487" s="7"/>
      <c r="N487" s="112"/>
      <c r="O487" s="119"/>
      <c r="P487" s="7"/>
      <c r="Q487" s="7"/>
      <c r="W487" s="7"/>
      <c r="X487" s="7"/>
      <c r="Z487" s="7"/>
      <c r="AA487" s="7"/>
      <c r="AC487" s="7"/>
      <c r="AD487" s="7"/>
      <c r="AI487" s="7"/>
      <c r="AJ487" s="7"/>
      <c r="AK487" s="7"/>
      <c r="AO487" s="7"/>
      <c r="AP487" s="7"/>
    </row>
    <row r="488" spans="2:42">
      <c r="B488" s="112"/>
      <c r="C488" s="7"/>
      <c r="D488" s="7"/>
      <c r="E488" s="7"/>
      <c r="H488" s="7"/>
      <c r="I488" s="7"/>
      <c r="J488" s="118"/>
      <c r="K488" s="7"/>
      <c r="L488" s="7"/>
      <c r="N488" s="112"/>
      <c r="O488" s="119"/>
      <c r="P488" s="7"/>
      <c r="Q488" s="7"/>
      <c r="W488" s="7"/>
      <c r="X488" s="7"/>
      <c r="Z488" s="7"/>
      <c r="AA488" s="7"/>
      <c r="AC488" s="7"/>
      <c r="AD488" s="7"/>
      <c r="AI488" s="7"/>
      <c r="AJ488" s="7"/>
      <c r="AK488" s="7"/>
      <c r="AO488" s="7"/>
      <c r="AP488" s="7"/>
    </row>
    <row r="489" spans="2:42">
      <c r="B489" s="112"/>
      <c r="C489" s="7"/>
      <c r="D489" s="7"/>
      <c r="E489" s="7"/>
      <c r="H489" s="7"/>
      <c r="I489" s="7"/>
      <c r="J489" s="118"/>
      <c r="K489" s="7"/>
      <c r="L489" s="7"/>
      <c r="N489" s="112"/>
      <c r="O489" s="119"/>
      <c r="P489" s="7"/>
      <c r="Q489" s="7"/>
      <c r="W489" s="7"/>
      <c r="X489" s="7"/>
      <c r="Z489" s="7"/>
      <c r="AA489" s="7"/>
      <c r="AC489" s="7"/>
      <c r="AD489" s="7"/>
      <c r="AI489" s="7"/>
      <c r="AJ489" s="7"/>
      <c r="AK489" s="7"/>
      <c r="AO489" s="7"/>
      <c r="AP489" s="7"/>
    </row>
    <row r="490" spans="2:42">
      <c r="B490" s="112"/>
      <c r="C490" s="7"/>
      <c r="D490" s="7"/>
      <c r="E490" s="7"/>
      <c r="H490" s="7"/>
      <c r="I490" s="7"/>
      <c r="J490" s="118"/>
      <c r="K490" s="7"/>
      <c r="L490" s="7"/>
      <c r="N490" s="112"/>
      <c r="O490" s="119"/>
      <c r="P490" s="7"/>
      <c r="Q490" s="7"/>
      <c r="W490" s="7"/>
      <c r="X490" s="7"/>
      <c r="Z490" s="7"/>
      <c r="AA490" s="7"/>
      <c r="AC490" s="7"/>
      <c r="AD490" s="7"/>
      <c r="AI490" s="7"/>
      <c r="AJ490" s="7"/>
      <c r="AK490" s="7"/>
      <c r="AO490" s="7"/>
      <c r="AP490" s="7"/>
    </row>
    <row r="491" s="114" customFormat="1" spans="2:42">
      <c r="B491" s="125"/>
      <c r="C491" s="126"/>
      <c r="D491" s="126"/>
      <c r="E491" s="7"/>
      <c r="H491" s="7"/>
      <c r="I491" s="126"/>
      <c r="J491" s="127"/>
      <c r="K491" s="126"/>
      <c r="L491" s="126"/>
      <c r="M491" s="121"/>
      <c r="P491" s="126"/>
      <c r="Q491" s="126"/>
      <c r="W491" s="126"/>
      <c r="X491" s="126"/>
      <c r="Z491" s="126"/>
      <c r="AA491" s="7"/>
      <c r="AB491" s="125"/>
      <c r="AC491" s="126"/>
      <c r="AD491" s="126"/>
      <c r="AI491" s="126"/>
      <c r="AJ491" s="126"/>
      <c r="AK491" s="126"/>
      <c r="AN491" s="125"/>
      <c r="AO491" s="126"/>
      <c r="AP491" s="126"/>
    </row>
    <row r="492" s="114" customFormat="1" spans="2:42">
      <c r="B492" s="125"/>
      <c r="C492" s="126"/>
      <c r="D492" s="126"/>
      <c r="E492" s="7"/>
      <c r="H492" s="7"/>
      <c r="I492" s="126"/>
      <c r="J492" s="127"/>
      <c r="K492" s="126"/>
      <c r="L492" s="126"/>
      <c r="M492" s="121"/>
      <c r="P492" s="126"/>
      <c r="Q492" s="126"/>
      <c r="W492" s="126"/>
      <c r="X492" s="126"/>
      <c r="Z492" s="126"/>
      <c r="AA492" s="7"/>
      <c r="AB492" s="125"/>
      <c r="AC492" s="126"/>
      <c r="AD492" s="126"/>
      <c r="AI492" s="126"/>
      <c r="AJ492" s="126"/>
      <c r="AK492" s="126"/>
      <c r="AN492" s="125"/>
      <c r="AO492" s="126"/>
      <c r="AP492" s="126"/>
    </row>
    <row r="493" spans="2:42">
      <c r="B493" s="112"/>
      <c r="C493" s="7"/>
      <c r="D493" s="7"/>
      <c r="E493" s="7"/>
      <c r="H493" s="7"/>
      <c r="I493" s="7"/>
      <c r="J493" s="118"/>
      <c r="K493" s="7"/>
      <c r="L493" s="7"/>
      <c r="P493" s="7"/>
      <c r="Q493" s="7"/>
      <c r="W493" s="7"/>
      <c r="X493" s="7"/>
      <c r="Z493" s="7"/>
      <c r="AA493" s="7"/>
      <c r="AC493" s="7"/>
      <c r="AD493" s="7"/>
      <c r="AI493" s="7"/>
      <c r="AJ493" s="7"/>
      <c r="AK493" s="7"/>
      <c r="AO493" s="7"/>
      <c r="AP493" s="7"/>
    </row>
    <row r="494" spans="2:42">
      <c r="B494" s="112"/>
      <c r="C494" s="7"/>
      <c r="D494" s="7"/>
      <c r="E494" s="7"/>
      <c r="H494" s="7"/>
      <c r="I494" s="7"/>
      <c r="J494" s="118"/>
      <c r="K494" s="7"/>
      <c r="L494" s="7"/>
      <c r="P494" s="7"/>
      <c r="Q494" s="7"/>
      <c r="W494" s="7"/>
      <c r="X494" s="7"/>
      <c r="Z494" s="7"/>
      <c r="AA494" s="7"/>
      <c r="AC494" s="7"/>
      <c r="AD494" s="7"/>
      <c r="AI494" s="7"/>
      <c r="AJ494" s="7"/>
      <c r="AK494" s="7"/>
      <c r="AO494" s="7"/>
      <c r="AP494" s="7"/>
    </row>
    <row r="495" spans="2:42">
      <c r="B495" s="112"/>
      <c r="C495" s="7"/>
      <c r="D495" s="7"/>
      <c r="E495" s="7"/>
      <c r="H495" s="7"/>
      <c r="I495" s="7"/>
      <c r="J495" s="118"/>
      <c r="K495" s="7"/>
      <c r="L495" s="7"/>
      <c r="P495" s="7"/>
      <c r="Q495" s="7"/>
      <c r="W495" s="7"/>
      <c r="X495" s="7"/>
      <c r="Z495" s="7"/>
      <c r="AA495" s="7"/>
      <c r="AC495" s="7"/>
      <c r="AD495" s="7"/>
      <c r="AI495" s="7"/>
      <c r="AJ495" s="7"/>
      <c r="AK495" s="7"/>
      <c r="AO495" s="7"/>
      <c r="AP495" s="7"/>
    </row>
    <row r="496" spans="2:42">
      <c r="B496" s="112"/>
      <c r="C496" s="7"/>
      <c r="D496" s="7"/>
      <c r="E496" s="7"/>
      <c r="H496" s="7"/>
      <c r="I496" s="7"/>
      <c r="J496" s="118"/>
      <c r="K496" s="7"/>
      <c r="L496" s="7"/>
      <c r="P496" s="7"/>
      <c r="Q496" s="7"/>
      <c r="W496" s="7"/>
      <c r="X496" s="7"/>
      <c r="Z496" s="7"/>
      <c r="AA496" s="7"/>
      <c r="AC496" s="7"/>
      <c r="AD496" s="7"/>
      <c r="AI496" s="7"/>
      <c r="AJ496" s="7"/>
      <c r="AK496" s="7"/>
      <c r="AO496" s="7"/>
      <c r="AP496" s="7"/>
    </row>
    <row r="497" spans="2:42">
      <c r="B497" s="112"/>
      <c r="C497" s="7"/>
      <c r="D497" s="7"/>
      <c r="E497" s="7"/>
      <c r="H497" s="7"/>
      <c r="I497" s="7"/>
      <c r="J497" s="118"/>
      <c r="K497" s="7"/>
      <c r="L497" s="7"/>
      <c r="P497" s="7"/>
      <c r="Q497" s="7"/>
      <c r="W497" s="7"/>
      <c r="X497" s="7"/>
      <c r="Z497" s="7"/>
      <c r="AA497" s="7"/>
      <c r="AC497" s="7"/>
      <c r="AD497" s="7"/>
      <c r="AI497" s="7"/>
      <c r="AJ497" s="7"/>
      <c r="AK497" s="7"/>
      <c r="AO497" s="7"/>
      <c r="AP497" s="7"/>
    </row>
    <row r="498" spans="2:42">
      <c r="B498" s="112"/>
      <c r="C498" s="7"/>
      <c r="D498" s="7"/>
      <c r="E498" s="7"/>
      <c r="H498" s="7"/>
      <c r="I498" s="7"/>
      <c r="J498" s="118"/>
      <c r="K498" s="7"/>
      <c r="L498" s="7"/>
      <c r="P498" s="7"/>
      <c r="Q498" s="7"/>
      <c r="W498" s="7"/>
      <c r="X498" s="7"/>
      <c r="Z498" s="7"/>
      <c r="AA498" s="7"/>
      <c r="AC498" s="7"/>
      <c r="AD498" s="7"/>
      <c r="AI498" s="7"/>
      <c r="AJ498" s="7"/>
      <c r="AK498" s="7"/>
      <c r="AO498" s="7"/>
      <c r="AP498" s="7"/>
    </row>
    <row r="499" spans="2:42">
      <c r="B499" s="112"/>
      <c r="C499" s="7"/>
      <c r="D499" s="7"/>
      <c r="E499" s="7"/>
      <c r="H499" s="7"/>
      <c r="I499" s="7"/>
      <c r="J499" s="118"/>
      <c r="K499" s="7"/>
      <c r="L499" s="7"/>
      <c r="P499" s="7"/>
      <c r="Q499" s="7"/>
      <c r="W499" s="7"/>
      <c r="X499" s="7"/>
      <c r="Z499" s="7"/>
      <c r="AA499" s="7"/>
      <c r="AC499" s="7"/>
      <c r="AD499" s="7"/>
      <c r="AI499" s="7"/>
      <c r="AJ499" s="7"/>
      <c r="AK499" s="7"/>
      <c r="AO499" s="7"/>
      <c r="AP499" s="7"/>
    </row>
    <row r="500" spans="2:42">
      <c r="B500" s="112"/>
      <c r="C500" s="7"/>
      <c r="D500" s="7"/>
      <c r="E500" s="7"/>
      <c r="H500" s="7"/>
      <c r="I500" s="7"/>
      <c r="J500" s="118"/>
      <c r="K500" s="7"/>
      <c r="L500" s="7"/>
      <c r="P500" s="7"/>
      <c r="Q500" s="7"/>
      <c r="W500" s="7"/>
      <c r="X500" s="7"/>
      <c r="Z500" s="7"/>
      <c r="AA500" s="7"/>
      <c r="AC500" s="7"/>
      <c r="AD500" s="7"/>
      <c r="AI500" s="7"/>
      <c r="AJ500" s="7"/>
      <c r="AK500" s="7"/>
      <c r="AO500" s="7"/>
      <c r="AP500" s="7"/>
    </row>
    <row r="501" spans="2:42">
      <c r="B501" s="112"/>
      <c r="C501" s="7"/>
      <c r="D501" s="7"/>
      <c r="E501" s="7"/>
      <c r="H501" s="7"/>
      <c r="I501" s="7"/>
      <c r="J501" s="118"/>
      <c r="K501" s="7"/>
      <c r="L501" s="7"/>
      <c r="P501" s="7"/>
      <c r="Q501" s="7"/>
      <c r="W501" s="7"/>
      <c r="X501" s="7"/>
      <c r="Z501" s="7"/>
      <c r="AA501" s="7"/>
      <c r="AC501" s="7"/>
      <c r="AD501" s="7"/>
      <c r="AI501" s="7"/>
      <c r="AJ501" s="7"/>
      <c r="AK501" s="7"/>
      <c r="AO501" s="7"/>
      <c r="AP501" s="7"/>
    </row>
    <row r="502" spans="2:42">
      <c r="B502" s="112"/>
      <c r="C502" s="7"/>
      <c r="D502" s="7"/>
      <c r="E502" s="7"/>
      <c r="H502" s="7"/>
      <c r="I502" s="7"/>
      <c r="J502" s="118"/>
      <c r="K502" s="7"/>
      <c r="L502" s="7"/>
      <c r="P502" s="7"/>
      <c r="Q502" s="7"/>
      <c r="W502" s="7"/>
      <c r="X502" s="7"/>
      <c r="Z502" s="7"/>
      <c r="AA502" s="7"/>
      <c r="AC502" s="7"/>
      <c r="AD502" s="7"/>
      <c r="AI502" s="7"/>
      <c r="AJ502" s="7"/>
      <c r="AK502" s="7"/>
      <c r="AO502" s="7"/>
      <c r="AP502" s="7"/>
    </row>
    <row r="503" spans="2:42">
      <c r="B503" s="112"/>
      <c r="C503" s="7"/>
      <c r="D503" s="7"/>
      <c r="E503" s="7"/>
      <c r="H503" s="7"/>
      <c r="I503" s="7"/>
      <c r="J503" s="118"/>
      <c r="K503" s="7"/>
      <c r="L503" s="7"/>
      <c r="P503" s="7"/>
      <c r="Q503" s="7"/>
      <c r="W503" s="7"/>
      <c r="X503" s="7"/>
      <c r="Z503" s="7"/>
      <c r="AA503" s="7"/>
      <c r="AC503" s="7"/>
      <c r="AD503" s="7"/>
      <c r="AI503" s="7"/>
      <c r="AJ503" s="7"/>
      <c r="AK503" s="7"/>
      <c r="AO503" s="7"/>
      <c r="AP503" s="7"/>
    </row>
    <row r="504" spans="2:42">
      <c r="B504" s="112"/>
      <c r="C504" s="7"/>
      <c r="D504" s="7"/>
      <c r="E504" s="7"/>
      <c r="H504" s="7"/>
      <c r="I504" s="7"/>
      <c r="J504" s="118"/>
      <c r="K504" s="7"/>
      <c r="L504" s="7"/>
      <c r="P504" s="7"/>
      <c r="Q504" s="7"/>
      <c r="W504" s="7"/>
      <c r="X504" s="7"/>
      <c r="Z504" s="7"/>
      <c r="AA504" s="7"/>
      <c r="AC504" s="7"/>
      <c r="AD504" s="7"/>
      <c r="AI504" s="7"/>
      <c r="AJ504" s="7"/>
      <c r="AK504" s="7"/>
      <c r="AO504" s="7"/>
      <c r="AP504" s="7"/>
    </row>
    <row r="505" spans="2:42">
      <c r="B505" s="112"/>
      <c r="C505" s="7"/>
      <c r="D505" s="7"/>
      <c r="E505" s="7"/>
      <c r="H505" s="7"/>
      <c r="I505" s="7"/>
      <c r="J505" s="118"/>
      <c r="K505" s="7"/>
      <c r="L505" s="7"/>
      <c r="P505" s="7"/>
      <c r="Q505" s="7"/>
      <c r="W505" s="7"/>
      <c r="X505" s="7"/>
      <c r="Z505" s="7"/>
      <c r="AA505" s="7"/>
      <c r="AC505" s="7"/>
      <c r="AD505" s="7"/>
      <c r="AI505" s="7"/>
      <c r="AJ505" s="7"/>
      <c r="AK505" s="7"/>
      <c r="AO505" s="7"/>
      <c r="AP505" s="7"/>
    </row>
    <row r="506" spans="2:42">
      <c r="B506" s="112"/>
      <c r="C506" s="7"/>
      <c r="D506" s="7"/>
      <c r="E506" s="7"/>
      <c r="H506" s="7"/>
      <c r="I506" s="7"/>
      <c r="J506" s="118"/>
      <c r="K506" s="7"/>
      <c r="L506" s="7"/>
      <c r="P506" s="7"/>
      <c r="Q506" s="7"/>
      <c r="W506" s="7"/>
      <c r="X506" s="7"/>
      <c r="Z506" s="7"/>
      <c r="AA506" s="7"/>
      <c r="AC506" s="7"/>
      <c r="AD506" s="7"/>
      <c r="AI506" s="7"/>
      <c r="AJ506" s="7"/>
      <c r="AK506" s="7"/>
      <c r="AO506" s="7"/>
      <c r="AP506" s="7"/>
    </row>
    <row r="507" spans="2:42">
      <c r="B507" s="112"/>
      <c r="C507" s="7"/>
      <c r="D507" s="7"/>
      <c r="E507" s="7"/>
      <c r="H507" s="7"/>
      <c r="I507" s="7"/>
      <c r="J507" s="118"/>
      <c r="K507" s="7"/>
      <c r="L507" s="7"/>
      <c r="P507" s="7"/>
      <c r="Q507" s="7"/>
      <c r="W507" s="7"/>
      <c r="X507" s="7"/>
      <c r="Z507" s="7"/>
      <c r="AA507" s="7"/>
      <c r="AC507" s="7"/>
      <c r="AD507" s="7"/>
      <c r="AI507" s="7"/>
      <c r="AJ507" s="7"/>
      <c r="AK507" s="7"/>
      <c r="AO507" s="7"/>
      <c r="AP507" s="7"/>
    </row>
    <row r="508" spans="2:42">
      <c r="B508" s="112"/>
      <c r="C508" s="7"/>
      <c r="D508" s="7"/>
      <c r="E508" s="7"/>
      <c r="H508" s="7"/>
      <c r="I508" s="7"/>
      <c r="J508" s="118"/>
      <c r="K508" s="7"/>
      <c r="L508" s="7"/>
      <c r="P508" s="7"/>
      <c r="Q508" s="7"/>
      <c r="W508" s="7"/>
      <c r="X508" s="7"/>
      <c r="Z508" s="7"/>
      <c r="AA508" s="7"/>
      <c r="AC508" s="7"/>
      <c r="AD508" s="7"/>
      <c r="AI508" s="7"/>
      <c r="AJ508" s="7"/>
      <c r="AK508" s="7"/>
      <c r="AO508" s="7"/>
      <c r="AP508" s="7"/>
    </row>
    <row r="509" spans="2:42">
      <c r="B509" s="112"/>
      <c r="C509" s="7"/>
      <c r="D509" s="7"/>
      <c r="E509" s="7"/>
      <c r="H509" s="7"/>
      <c r="I509" s="7"/>
      <c r="J509" s="118"/>
      <c r="K509" s="7"/>
      <c r="L509" s="7"/>
      <c r="P509" s="7"/>
      <c r="Q509" s="7"/>
      <c r="W509" s="7"/>
      <c r="X509" s="7"/>
      <c r="Z509" s="7"/>
      <c r="AA509" s="7"/>
      <c r="AC509" s="7"/>
      <c r="AD509" s="7"/>
      <c r="AI509" s="7"/>
      <c r="AJ509" s="7"/>
      <c r="AK509" s="7"/>
      <c r="AO509" s="7"/>
      <c r="AP509" s="7"/>
    </row>
    <row r="510" spans="2:42">
      <c r="B510" s="112"/>
      <c r="C510" s="7"/>
      <c r="D510" s="7"/>
      <c r="E510" s="7"/>
      <c r="H510" s="7"/>
      <c r="I510" s="7"/>
      <c r="J510" s="118"/>
      <c r="K510" s="7"/>
      <c r="L510" s="7"/>
      <c r="P510" s="7"/>
      <c r="Q510" s="7"/>
      <c r="W510" s="7"/>
      <c r="X510" s="7"/>
      <c r="Z510" s="7"/>
      <c r="AA510" s="7"/>
      <c r="AC510" s="7"/>
      <c r="AD510" s="7"/>
      <c r="AI510" s="7"/>
      <c r="AJ510" s="7"/>
      <c r="AK510" s="7"/>
      <c r="AO510" s="7"/>
      <c r="AP510" s="7"/>
    </row>
    <row r="511" spans="2:42">
      <c r="B511" s="112"/>
      <c r="C511" s="7"/>
      <c r="D511" s="7"/>
      <c r="E511" s="7"/>
      <c r="H511" s="7"/>
      <c r="I511" s="7"/>
      <c r="J511" s="118"/>
      <c r="K511" s="7"/>
      <c r="L511" s="7"/>
      <c r="P511" s="7"/>
      <c r="Q511" s="7"/>
      <c r="W511" s="7"/>
      <c r="X511" s="7"/>
      <c r="Z511" s="7"/>
      <c r="AA511" s="7"/>
      <c r="AC511" s="7"/>
      <c r="AD511" s="7"/>
      <c r="AI511" s="7"/>
      <c r="AJ511" s="7"/>
      <c r="AK511" s="7"/>
      <c r="AO511" s="7"/>
      <c r="AP511" s="7"/>
    </row>
    <row r="512" spans="2:42">
      <c r="B512" s="112"/>
      <c r="C512" s="7"/>
      <c r="D512" s="7"/>
      <c r="E512" s="7"/>
      <c r="H512" s="7"/>
      <c r="I512" s="113"/>
      <c r="J512" s="118"/>
      <c r="K512" s="7"/>
      <c r="L512" s="7"/>
      <c r="P512" s="7"/>
      <c r="Q512" s="7"/>
      <c r="V512" s="7"/>
      <c r="W512" s="112"/>
      <c r="X512" s="7"/>
      <c r="Z512" s="7"/>
      <c r="AA512" s="7"/>
      <c r="AB512" s="7"/>
      <c r="AC512" s="7"/>
      <c r="AD512" s="7"/>
      <c r="AI512" s="7"/>
      <c r="AJ512" s="7"/>
      <c r="AK512" s="7"/>
      <c r="AO512" s="7"/>
      <c r="AP512" s="7"/>
    </row>
    <row r="513" spans="2:42">
      <c r="B513" s="112"/>
      <c r="C513" s="7"/>
      <c r="D513" s="7"/>
      <c r="E513" s="7"/>
      <c r="H513" s="7"/>
      <c r="I513" s="118"/>
      <c r="J513" s="118"/>
      <c r="K513" s="7"/>
      <c r="L513" s="7"/>
      <c r="P513" s="7"/>
      <c r="Q513" s="7"/>
      <c r="V513" s="7"/>
      <c r="W513" s="112"/>
      <c r="X513" s="7"/>
      <c r="Z513" s="7"/>
      <c r="AA513" s="7"/>
      <c r="AB513" s="7"/>
      <c r="AC513" s="7"/>
      <c r="AD513" s="7"/>
      <c r="AI513" s="7"/>
      <c r="AJ513" s="7"/>
      <c r="AK513" s="7"/>
      <c r="AO513" s="7"/>
      <c r="AP513" s="7"/>
    </row>
    <row r="514" spans="2:42">
      <c r="B514" s="112"/>
      <c r="C514" s="7"/>
      <c r="D514" s="7"/>
      <c r="E514" s="7"/>
      <c r="H514" s="7"/>
      <c r="I514" s="118"/>
      <c r="J514" s="118"/>
      <c r="K514" s="7"/>
      <c r="L514" s="7"/>
      <c r="P514" s="7"/>
      <c r="Q514" s="7"/>
      <c r="V514" s="7"/>
      <c r="W514" s="112"/>
      <c r="X514" s="7"/>
      <c r="Z514" s="7"/>
      <c r="AA514" s="7"/>
      <c r="AB514" s="7"/>
      <c r="AC514" s="7"/>
      <c r="AD514" s="7"/>
      <c r="AI514" s="7"/>
      <c r="AJ514" s="7"/>
      <c r="AK514" s="7"/>
      <c r="AO514" s="7"/>
      <c r="AP514" s="7"/>
    </row>
    <row r="515" spans="2:42">
      <c r="B515" s="112"/>
      <c r="C515" s="7"/>
      <c r="D515" s="7"/>
      <c r="E515" s="7"/>
      <c r="H515" s="7"/>
      <c r="I515" s="118"/>
      <c r="J515" s="118"/>
      <c r="K515" s="7"/>
      <c r="L515" s="7"/>
      <c r="P515" s="7"/>
      <c r="Q515" s="7"/>
      <c r="V515" s="7"/>
      <c r="W515" s="112"/>
      <c r="X515" s="7"/>
      <c r="Z515" s="7"/>
      <c r="AA515" s="7"/>
      <c r="AB515" s="7"/>
      <c r="AC515" s="7"/>
      <c r="AD515" s="7"/>
      <c r="AI515" s="7"/>
      <c r="AJ515" s="7"/>
      <c r="AK515" s="7"/>
      <c r="AO515" s="7"/>
      <c r="AP515" s="7"/>
    </row>
    <row r="516" spans="2:42">
      <c r="B516" s="112"/>
      <c r="C516" s="7"/>
      <c r="D516" s="7"/>
      <c r="E516" s="7"/>
      <c r="H516" s="7"/>
      <c r="I516" s="118"/>
      <c r="J516" s="118"/>
      <c r="K516" s="7"/>
      <c r="L516" s="7"/>
      <c r="P516" s="7"/>
      <c r="Q516" s="7"/>
      <c r="V516" s="7"/>
      <c r="W516" s="112"/>
      <c r="X516" s="7"/>
      <c r="Z516" s="7"/>
      <c r="AA516" s="7"/>
      <c r="AB516" s="7"/>
      <c r="AC516" s="7"/>
      <c r="AD516" s="7"/>
      <c r="AI516" s="7"/>
      <c r="AJ516" s="7"/>
      <c r="AK516" s="7"/>
      <c r="AO516" s="7"/>
      <c r="AP516" s="7"/>
    </row>
    <row r="517" spans="2:42">
      <c r="B517" s="112"/>
      <c r="C517" s="7"/>
      <c r="D517" s="7"/>
      <c r="E517" s="7"/>
      <c r="H517" s="7"/>
      <c r="I517" s="118"/>
      <c r="J517" s="118"/>
      <c r="K517" s="7"/>
      <c r="L517" s="7"/>
      <c r="P517" s="7"/>
      <c r="Q517" s="7"/>
      <c r="V517" s="7"/>
      <c r="W517" s="112"/>
      <c r="X517" s="7"/>
      <c r="Z517" s="7"/>
      <c r="AA517" s="7"/>
      <c r="AB517" s="7"/>
      <c r="AC517" s="7"/>
      <c r="AD517" s="7"/>
      <c r="AI517" s="7"/>
      <c r="AJ517" s="7"/>
      <c r="AK517" s="7"/>
      <c r="AO517" s="7"/>
      <c r="AP517" s="7"/>
    </row>
    <row r="518" spans="2:42">
      <c r="B518" s="112"/>
      <c r="C518" s="7"/>
      <c r="D518" s="7"/>
      <c r="E518" s="7"/>
      <c r="H518" s="7"/>
      <c r="I518" s="118"/>
      <c r="J518" s="118"/>
      <c r="K518" s="7"/>
      <c r="L518" s="7"/>
      <c r="P518" s="7"/>
      <c r="Q518" s="7"/>
      <c r="V518" s="7"/>
      <c r="W518" s="112"/>
      <c r="X518" s="7"/>
      <c r="Z518" s="7"/>
      <c r="AA518" s="7"/>
      <c r="AB518" s="7"/>
      <c r="AC518" s="7"/>
      <c r="AD518" s="7"/>
      <c r="AI518" s="7"/>
      <c r="AJ518" s="7"/>
      <c r="AK518" s="7"/>
      <c r="AO518" s="7"/>
      <c r="AP518" s="7"/>
    </row>
    <row r="519" spans="2:42">
      <c r="B519" s="112"/>
      <c r="C519" s="7"/>
      <c r="D519" s="7"/>
      <c r="E519" s="7"/>
      <c r="H519" s="7"/>
      <c r="I519" s="118"/>
      <c r="J519" s="118"/>
      <c r="K519" s="7"/>
      <c r="L519" s="7"/>
      <c r="P519" s="7"/>
      <c r="Q519" s="7"/>
      <c r="V519" s="7"/>
      <c r="W519" s="112"/>
      <c r="X519" s="7"/>
      <c r="Z519" s="7"/>
      <c r="AA519" s="7"/>
      <c r="AB519" s="7"/>
      <c r="AC519" s="7"/>
      <c r="AD519" s="7"/>
      <c r="AI519" s="7"/>
      <c r="AJ519" s="7"/>
      <c r="AK519" s="7"/>
      <c r="AO519" s="7"/>
      <c r="AP519" s="7"/>
    </row>
    <row r="520" spans="2:42">
      <c r="B520" s="112"/>
      <c r="C520" s="7"/>
      <c r="D520" s="7"/>
      <c r="E520" s="7"/>
      <c r="H520" s="7"/>
      <c r="I520" s="118"/>
      <c r="J520" s="118"/>
      <c r="K520" s="7"/>
      <c r="L520" s="7"/>
      <c r="P520" s="7"/>
      <c r="Q520" s="7"/>
      <c r="V520" s="7"/>
      <c r="W520" s="112"/>
      <c r="X520" s="7"/>
      <c r="Z520" s="7"/>
      <c r="AA520" s="7"/>
      <c r="AB520" s="7"/>
      <c r="AC520" s="7"/>
      <c r="AD520" s="7"/>
      <c r="AI520" s="7"/>
      <c r="AJ520" s="7"/>
      <c r="AK520" s="7"/>
      <c r="AO520" s="7"/>
      <c r="AP520" s="7"/>
    </row>
    <row r="521" spans="2:42">
      <c r="B521" s="7"/>
      <c r="C521" s="7"/>
      <c r="D521" s="7"/>
      <c r="E521" s="7"/>
      <c r="F521" s="7"/>
      <c r="G521" s="7"/>
      <c r="H521" s="7"/>
      <c r="I521" s="7"/>
      <c r="J521" s="118"/>
      <c r="K521" s="118"/>
      <c r="L521" s="7"/>
      <c r="M521" s="119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</row>
    <row r="522" spans="2:42">
      <c r="B522" s="7"/>
      <c r="C522" s="7"/>
      <c r="D522" s="7"/>
      <c r="E522" s="7"/>
      <c r="F522" s="7"/>
      <c r="G522" s="7"/>
      <c r="H522" s="7"/>
      <c r="I522" s="7"/>
      <c r="J522" s="118"/>
      <c r="K522" s="118"/>
      <c r="L522" s="7"/>
      <c r="M522" s="119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</row>
    <row r="523" spans="2:42">
      <c r="B523" s="7"/>
      <c r="C523" s="7"/>
      <c r="D523" s="7"/>
      <c r="E523" s="7"/>
      <c r="F523" s="7"/>
      <c r="G523" s="7"/>
      <c r="H523" s="7"/>
      <c r="I523" s="7"/>
      <c r="J523" s="118"/>
      <c r="K523" s="118"/>
      <c r="L523" s="7"/>
      <c r="M523" s="119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</row>
    <row r="524" spans="2:42">
      <c r="B524" s="7"/>
      <c r="C524" s="7"/>
      <c r="D524" s="7"/>
      <c r="E524" s="7"/>
      <c r="F524" s="7"/>
      <c r="G524" s="7"/>
      <c r="H524" s="7"/>
      <c r="I524" s="7"/>
      <c r="J524" s="118"/>
      <c r="K524" s="118"/>
      <c r="L524" s="7"/>
      <c r="M524" s="119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</row>
    <row r="525" spans="2:42">
      <c r="B525" s="7"/>
      <c r="C525" s="7"/>
      <c r="D525" s="7"/>
      <c r="E525" s="7"/>
      <c r="F525" s="7"/>
      <c r="G525" s="7"/>
      <c r="H525" s="7"/>
      <c r="I525" s="7"/>
      <c r="J525" s="118"/>
      <c r="K525" s="118"/>
      <c r="L525" s="7"/>
      <c r="M525" s="119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</row>
    <row r="526" spans="2:42">
      <c r="B526" s="7"/>
      <c r="C526" s="7"/>
      <c r="D526" s="7"/>
      <c r="E526" s="7"/>
      <c r="F526" s="7"/>
      <c r="G526" s="7"/>
      <c r="H526" s="7"/>
      <c r="I526" s="7"/>
      <c r="J526" s="118"/>
      <c r="K526" s="118"/>
      <c r="L526" s="7"/>
      <c r="M526" s="119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</row>
    <row r="527" spans="2:42">
      <c r="B527" s="7"/>
      <c r="C527" s="7"/>
      <c r="D527" s="7"/>
      <c r="E527" s="7"/>
      <c r="F527" s="7"/>
      <c r="G527" s="7"/>
      <c r="H527" s="7"/>
      <c r="I527" s="7"/>
      <c r="J527" s="118"/>
      <c r="K527" s="118"/>
      <c r="L527" s="7"/>
      <c r="M527" s="119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</row>
    <row r="528" spans="2:42">
      <c r="B528" s="7"/>
      <c r="C528" s="7"/>
      <c r="D528" s="7"/>
      <c r="E528" s="7"/>
      <c r="H528" s="7"/>
      <c r="I528" s="118"/>
      <c r="J528" s="118"/>
      <c r="K528" s="7"/>
      <c r="L528" s="7"/>
      <c r="M528" s="128"/>
      <c r="O528" s="7"/>
      <c r="P528" s="7"/>
      <c r="Q528" s="7"/>
      <c r="W528" s="7"/>
      <c r="X528" s="7"/>
      <c r="Z528" s="7"/>
      <c r="AA528" s="7"/>
      <c r="AC528" s="7"/>
      <c r="AD528" s="7"/>
      <c r="AI528" s="7"/>
      <c r="AJ528" s="7"/>
      <c r="AK528" s="7"/>
      <c r="AO528" s="7"/>
      <c r="AP528" s="7"/>
    </row>
    <row r="529" spans="2:42">
      <c r="B529" s="7"/>
      <c r="C529" s="7"/>
      <c r="D529" s="7"/>
      <c r="E529" s="7"/>
      <c r="H529" s="7"/>
      <c r="I529" s="118"/>
      <c r="J529" s="118"/>
      <c r="K529" s="7"/>
      <c r="L529" s="7"/>
      <c r="M529" s="128"/>
      <c r="O529" s="7"/>
      <c r="P529" s="7"/>
      <c r="Q529" s="7"/>
      <c r="W529" s="7"/>
      <c r="X529" s="7"/>
      <c r="Z529" s="7"/>
      <c r="AA529" s="7"/>
      <c r="AC529" s="7"/>
      <c r="AD529" s="7"/>
      <c r="AI529" s="7"/>
      <c r="AJ529" s="7"/>
      <c r="AK529" s="7"/>
      <c r="AO529" s="7"/>
      <c r="AP529" s="7"/>
    </row>
    <row r="530" spans="2:42">
      <c r="B530" s="7"/>
      <c r="C530" s="7"/>
      <c r="D530" s="7"/>
      <c r="E530" s="7"/>
      <c r="H530" s="7"/>
      <c r="I530" s="118"/>
      <c r="J530" s="118"/>
      <c r="K530" s="7"/>
      <c r="L530" s="7"/>
      <c r="M530" s="129"/>
      <c r="O530" s="7"/>
      <c r="P530" s="7"/>
      <c r="Q530" s="7"/>
      <c r="W530" s="7"/>
      <c r="X530" s="7"/>
      <c r="Z530" s="7"/>
      <c r="AA530" s="7"/>
      <c r="AC530" s="7"/>
      <c r="AD530" s="7"/>
      <c r="AI530" s="112"/>
      <c r="AJ530" s="7"/>
      <c r="AK530" s="7"/>
      <c r="AO530" s="7"/>
      <c r="AP530" s="7"/>
    </row>
    <row r="531" spans="2:42">
      <c r="B531" s="7"/>
      <c r="C531" s="7"/>
      <c r="D531" s="7"/>
      <c r="E531" s="7"/>
      <c r="H531" s="7"/>
      <c r="I531" s="118"/>
      <c r="J531" s="118"/>
      <c r="K531" s="7"/>
      <c r="L531" s="7"/>
      <c r="M531" s="128"/>
      <c r="O531" s="7"/>
      <c r="P531" s="7"/>
      <c r="Q531" s="7"/>
      <c r="W531" s="7"/>
      <c r="X531" s="7"/>
      <c r="Z531" s="7"/>
      <c r="AA531" s="7"/>
      <c r="AC531" s="7"/>
      <c r="AD531" s="7"/>
      <c r="AI531" s="112"/>
      <c r="AJ531" s="7"/>
      <c r="AK531" s="7"/>
      <c r="AO531" s="7"/>
      <c r="AP531" s="7"/>
    </row>
    <row r="532" spans="2:42">
      <c r="B532" s="7"/>
      <c r="C532" s="7"/>
      <c r="D532" s="7"/>
      <c r="E532" s="7"/>
      <c r="H532" s="7"/>
      <c r="I532" s="118"/>
      <c r="J532" s="118"/>
      <c r="K532" s="7"/>
      <c r="L532" s="7"/>
      <c r="M532" s="128"/>
      <c r="O532" s="7"/>
      <c r="P532" s="7"/>
      <c r="Q532" s="7"/>
      <c r="W532" s="7"/>
      <c r="X532" s="7"/>
      <c r="Z532" s="7"/>
      <c r="AA532" s="7"/>
      <c r="AC532" s="7"/>
      <c r="AD532" s="7"/>
      <c r="AI532" s="7"/>
      <c r="AJ532" s="7"/>
      <c r="AK532" s="7"/>
      <c r="AO532" s="7"/>
      <c r="AP532" s="7"/>
    </row>
    <row r="533" spans="2:42">
      <c r="B533" s="7"/>
      <c r="C533" s="7"/>
      <c r="D533" s="7"/>
      <c r="E533" s="7"/>
      <c r="H533" s="7"/>
      <c r="I533" s="7"/>
      <c r="J533" s="118"/>
      <c r="K533" s="7"/>
      <c r="L533" s="7"/>
      <c r="M533" s="128"/>
      <c r="N533" s="112"/>
      <c r="O533" s="130"/>
      <c r="P533" s="7"/>
      <c r="Q533" s="7"/>
      <c r="W533" s="7"/>
      <c r="X533" s="7"/>
      <c r="Z533" s="7"/>
      <c r="AA533" s="7"/>
      <c r="AB533" s="7"/>
      <c r="AC533" s="7"/>
      <c r="AD533" s="7"/>
      <c r="AJ533" s="7"/>
      <c r="AK533" s="7"/>
      <c r="AO533" s="7"/>
      <c r="AP533" s="7"/>
    </row>
    <row r="534" spans="2:42">
      <c r="B534" s="7"/>
      <c r="C534" s="7"/>
      <c r="D534" s="7"/>
      <c r="E534" s="7"/>
      <c r="H534" s="7"/>
      <c r="I534" s="7"/>
      <c r="J534" s="118"/>
      <c r="K534" s="7"/>
      <c r="L534" s="7"/>
      <c r="M534" s="128"/>
      <c r="N534" s="112"/>
      <c r="O534" s="130"/>
      <c r="P534" s="7"/>
      <c r="Q534" s="7"/>
      <c r="W534" s="7"/>
      <c r="X534" s="7"/>
      <c r="Z534" s="7"/>
      <c r="AA534" s="7"/>
      <c r="AB534" s="7"/>
      <c r="AC534" s="7"/>
      <c r="AD534" s="7"/>
      <c r="AJ534" s="7"/>
      <c r="AK534" s="7"/>
      <c r="AO534" s="7"/>
      <c r="AP534" s="7"/>
    </row>
    <row r="535" spans="2:42">
      <c r="B535" s="7"/>
      <c r="C535" s="7"/>
      <c r="D535" s="7"/>
      <c r="E535" s="7"/>
      <c r="H535" s="7"/>
      <c r="I535" s="7"/>
      <c r="J535" s="118"/>
      <c r="K535" s="7"/>
      <c r="L535" s="7"/>
      <c r="M535" s="128"/>
      <c r="N535" s="112"/>
      <c r="O535" s="130"/>
      <c r="P535" s="7"/>
      <c r="Q535" s="7"/>
      <c r="W535" s="7"/>
      <c r="X535" s="7"/>
      <c r="Z535" s="7"/>
      <c r="AA535" s="7"/>
      <c r="AB535" s="7"/>
      <c r="AC535" s="7"/>
      <c r="AD535" s="7"/>
      <c r="AJ535" s="7"/>
      <c r="AK535" s="7"/>
      <c r="AO535" s="7"/>
      <c r="AP535" s="7"/>
    </row>
    <row r="536" spans="2:42">
      <c r="B536" s="7"/>
      <c r="C536" s="7"/>
      <c r="D536" s="7"/>
      <c r="E536" s="7"/>
      <c r="H536" s="7"/>
      <c r="I536" s="7"/>
      <c r="J536" s="118"/>
      <c r="K536" s="7"/>
      <c r="L536" s="7"/>
      <c r="M536" s="128"/>
      <c r="N536" s="112"/>
      <c r="O536" s="130"/>
      <c r="P536" s="7"/>
      <c r="Q536" s="7"/>
      <c r="W536" s="7"/>
      <c r="X536" s="7"/>
      <c r="Z536" s="7"/>
      <c r="AA536" s="7"/>
      <c r="AB536" s="7"/>
      <c r="AC536" s="7"/>
      <c r="AD536" s="7"/>
      <c r="AJ536" s="7"/>
      <c r="AK536" s="7"/>
      <c r="AO536" s="7"/>
      <c r="AP536" s="7"/>
    </row>
    <row r="537" spans="2:42">
      <c r="B537" s="7"/>
      <c r="C537" s="7"/>
      <c r="D537" s="7"/>
      <c r="E537" s="7"/>
      <c r="H537" s="7"/>
      <c r="I537" s="7"/>
      <c r="J537" s="118"/>
      <c r="K537" s="7"/>
      <c r="L537" s="7"/>
      <c r="M537" s="128"/>
      <c r="N537" s="112"/>
      <c r="O537" s="130"/>
      <c r="P537" s="7"/>
      <c r="Q537" s="7"/>
      <c r="W537" s="7"/>
      <c r="X537" s="7"/>
      <c r="Z537" s="7"/>
      <c r="AA537" s="7"/>
      <c r="AB537" s="7"/>
      <c r="AC537" s="7"/>
      <c r="AD537" s="7"/>
      <c r="AJ537" s="7"/>
      <c r="AK537" s="7"/>
      <c r="AO537" s="7"/>
      <c r="AP537" s="7"/>
    </row>
    <row r="538" spans="2:42">
      <c r="B538" s="7"/>
      <c r="C538" s="7"/>
      <c r="D538" s="7"/>
      <c r="E538" s="7"/>
      <c r="H538" s="7"/>
      <c r="I538" s="7"/>
      <c r="J538" s="118"/>
      <c r="K538" s="7"/>
      <c r="L538" s="7"/>
      <c r="M538" s="128"/>
      <c r="N538" s="112"/>
      <c r="O538" s="130"/>
      <c r="P538" s="7"/>
      <c r="Q538" s="7"/>
      <c r="W538" s="7"/>
      <c r="X538" s="7"/>
      <c r="Z538" s="7"/>
      <c r="AA538" s="7"/>
      <c r="AB538" s="7"/>
      <c r="AC538" s="7"/>
      <c r="AD538" s="7"/>
      <c r="AJ538" s="7"/>
      <c r="AK538" s="7"/>
      <c r="AO538" s="7"/>
      <c r="AP538" s="7"/>
    </row>
    <row r="539" spans="2:42">
      <c r="B539" s="7"/>
      <c r="C539" s="7"/>
      <c r="D539" s="7"/>
      <c r="E539" s="7"/>
      <c r="H539" s="7"/>
      <c r="I539" s="7"/>
      <c r="J539" s="118"/>
      <c r="K539" s="7"/>
      <c r="L539" s="7"/>
      <c r="M539" s="128"/>
      <c r="N539" s="112"/>
      <c r="O539" s="130"/>
      <c r="P539" s="7"/>
      <c r="Q539" s="7"/>
      <c r="W539" s="7"/>
      <c r="X539" s="7"/>
      <c r="Z539" s="7"/>
      <c r="AA539" s="7"/>
      <c r="AB539" s="7"/>
      <c r="AC539" s="7"/>
      <c r="AD539" s="7"/>
      <c r="AJ539" s="7"/>
      <c r="AK539" s="7"/>
      <c r="AO539" s="7"/>
      <c r="AP539" s="7"/>
    </row>
    <row r="540" spans="2:42">
      <c r="B540" s="7"/>
      <c r="C540" s="7"/>
      <c r="D540" s="7"/>
      <c r="E540" s="7"/>
      <c r="H540" s="7"/>
      <c r="I540" s="7"/>
      <c r="J540" s="118"/>
      <c r="K540" s="7"/>
      <c r="L540" s="7"/>
      <c r="M540" s="128"/>
      <c r="N540" s="112"/>
      <c r="O540" s="130"/>
      <c r="P540" s="7"/>
      <c r="Q540" s="7"/>
      <c r="W540" s="7"/>
      <c r="X540" s="7"/>
      <c r="Z540" s="7"/>
      <c r="AA540" s="7"/>
      <c r="AB540" s="7"/>
      <c r="AC540" s="7"/>
      <c r="AD540" s="7"/>
      <c r="AJ540" s="7"/>
      <c r="AK540" s="7"/>
      <c r="AO540" s="7"/>
      <c r="AP540" s="7"/>
    </row>
    <row r="541" spans="2:42">
      <c r="B541" s="7"/>
      <c r="C541" s="7"/>
      <c r="D541" s="7"/>
      <c r="E541" s="7"/>
      <c r="H541" s="7"/>
      <c r="I541" s="7"/>
      <c r="J541" s="118"/>
      <c r="K541" s="7"/>
      <c r="L541" s="7"/>
      <c r="M541" s="128"/>
      <c r="N541" s="112"/>
      <c r="O541" s="130"/>
      <c r="P541" s="7"/>
      <c r="Q541" s="7"/>
      <c r="W541" s="7"/>
      <c r="X541" s="7"/>
      <c r="Z541" s="7"/>
      <c r="AA541" s="7"/>
      <c r="AB541" s="7"/>
      <c r="AC541" s="7"/>
      <c r="AD541" s="7"/>
      <c r="AJ541" s="7"/>
      <c r="AK541" s="7"/>
      <c r="AO541" s="7"/>
      <c r="AP541" s="7"/>
    </row>
    <row r="542" spans="2:42">
      <c r="B542" s="7"/>
      <c r="C542" s="7"/>
      <c r="D542" s="7"/>
      <c r="E542" s="7"/>
      <c r="H542" s="7"/>
      <c r="I542" s="7"/>
      <c r="J542" s="118"/>
      <c r="K542" s="7"/>
      <c r="L542" s="7"/>
      <c r="M542" s="128"/>
      <c r="N542" s="112"/>
      <c r="O542" s="130"/>
      <c r="P542" s="7"/>
      <c r="Q542" s="7"/>
      <c r="W542" s="7"/>
      <c r="X542" s="7"/>
      <c r="Z542" s="7"/>
      <c r="AA542" s="7"/>
      <c r="AB542" s="7"/>
      <c r="AC542" s="7"/>
      <c r="AD542" s="7"/>
      <c r="AJ542" s="7"/>
      <c r="AK542" s="7"/>
      <c r="AO542" s="7"/>
      <c r="AP542" s="7"/>
    </row>
    <row r="543" spans="2:42">
      <c r="B543" s="7"/>
      <c r="C543" s="7"/>
      <c r="D543" s="7"/>
      <c r="E543" s="7"/>
      <c r="H543" s="7"/>
      <c r="I543" s="7"/>
      <c r="J543" s="118"/>
      <c r="K543" s="7"/>
      <c r="L543" s="7"/>
      <c r="M543" s="128"/>
      <c r="N543" s="112"/>
      <c r="O543" s="130"/>
      <c r="P543" s="7"/>
      <c r="Q543" s="7"/>
      <c r="W543" s="7"/>
      <c r="X543" s="7"/>
      <c r="Z543" s="7"/>
      <c r="AA543" s="7"/>
      <c r="AB543" s="7"/>
      <c r="AC543" s="7"/>
      <c r="AD543" s="7"/>
      <c r="AJ543" s="7"/>
      <c r="AK543" s="7"/>
      <c r="AO543" s="7"/>
      <c r="AP543" s="7"/>
    </row>
    <row r="544" spans="2:42">
      <c r="B544" s="7"/>
      <c r="C544" s="7"/>
      <c r="D544" s="7"/>
      <c r="E544" s="7"/>
      <c r="H544" s="7"/>
      <c r="I544" s="7"/>
      <c r="J544" s="118"/>
      <c r="K544" s="7"/>
      <c r="L544" s="7"/>
      <c r="M544" s="128"/>
      <c r="N544" s="112"/>
      <c r="O544" s="130"/>
      <c r="P544" s="7"/>
      <c r="Q544" s="7"/>
      <c r="W544" s="7"/>
      <c r="X544" s="7"/>
      <c r="Z544" s="7"/>
      <c r="AA544" s="7"/>
      <c r="AB544" s="7"/>
      <c r="AC544" s="7"/>
      <c r="AD544" s="7"/>
      <c r="AJ544" s="7"/>
      <c r="AK544" s="7"/>
      <c r="AO544" s="7"/>
      <c r="AP544" s="7"/>
    </row>
    <row r="545" spans="2:42">
      <c r="B545" s="7"/>
      <c r="C545" s="7"/>
      <c r="D545" s="7"/>
      <c r="E545" s="7"/>
      <c r="H545" s="7"/>
      <c r="I545" s="7"/>
      <c r="J545" s="118"/>
      <c r="K545" s="7"/>
      <c r="L545" s="7"/>
      <c r="M545" s="128"/>
      <c r="N545" s="112"/>
      <c r="O545" s="130"/>
      <c r="P545" s="7"/>
      <c r="Q545" s="7"/>
      <c r="W545" s="7"/>
      <c r="X545" s="7"/>
      <c r="Z545" s="7"/>
      <c r="AA545" s="7"/>
      <c r="AB545" s="7"/>
      <c r="AC545" s="7"/>
      <c r="AD545" s="7"/>
      <c r="AJ545" s="7"/>
      <c r="AK545" s="7"/>
      <c r="AO545" s="7"/>
      <c r="AP545" s="7"/>
    </row>
    <row r="546" spans="2:42">
      <c r="B546" s="7"/>
      <c r="C546" s="7"/>
      <c r="D546" s="7"/>
      <c r="E546" s="7"/>
      <c r="H546" s="7"/>
      <c r="I546" s="7"/>
      <c r="J546" s="118"/>
      <c r="K546" s="7"/>
      <c r="L546" s="7"/>
      <c r="M546" s="128"/>
      <c r="N546" s="112"/>
      <c r="O546" s="130"/>
      <c r="P546" s="7"/>
      <c r="Q546" s="7"/>
      <c r="W546" s="7"/>
      <c r="X546" s="7"/>
      <c r="Z546" s="7"/>
      <c r="AA546" s="7"/>
      <c r="AB546" s="7"/>
      <c r="AC546" s="7"/>
      <c r="AD546" s="7"/>
      <c r="AJ546" s="7"/>
      <c r="AK546" s="7"/>
      <c r="AO546" s="7"/>
      <c r="AP546" s="7"/>
    </row>
    <row r="547" spans="2:42">
      <c r="B547" s="7"/>
      <c r="C547" s="7"/>
      <c r="D547" s="7"/>
      <c r="E547" s="7"/>
      <c r="H547" s="7"/>
      <c r="I547" s="7"/>
      <c r="J547" s="118"/>
      <c r="K547" s="7"/>
      <c r="L547" s="7"/>
      <c r="M547" s="128"/>
      <c r="N547" s="112"/>
      <c r="O547" s="130"/>
      <c r="P547" s="7"/>
      <c r="Q547" s="7"/>
      <c r="W547" s="7"/>
      <c r="X547" s="7"/>
      <c r="Z547" s="7"/>
      <c r="AA547" s="7"/>
      <c r="AB547" s="7"/>
      <c r="AC547" s="7"/>
      <c r="AD547" s="7"/>
      <c r="AJ547" s="7"/>
      <c r="AK547" s="7"/>
      <c r="AO547" s="7"/>
      <c r="AP547" s="7"/>
    </row>
    <row r="548" spans="2:42">
      <c r="B548" s="7"/>
      <c r="C548" s="7"/>
      <c r="D548" s="7"/>
      <c r="E548" s="7"/>
      <c r="H548" s="7"/>
      <c r="I548" s="7"/>
      <c r="J548" s="118"/>
      <c r="K548" s="7"/>
      <c r="L548" s="7"/>
      <c r="M548" s="128"/>
      <c r="N548" s="112"/>
      <c r="O548" s="130"/>
      <c r="P548" s="7"/>
      <c r="Q548" s="7"/>
      <c r="W548" s="7"/>
      <c r="X548" s="7"/>
      <c r="Z548" s="7"/>
      <c r="AA548" s="7"/>
      <c r="AB548" s="7"/>
      <c r="AC548" s="7"/>
      <c r="AD548" s="7"/>
      <c r="AJ548" s="7"/>
      <c r="AK548" s="7"/>
      <c r="AO548" s="7"/>
      <c r="AP548" s="7"/>
    </row>
    <row r="549" spans="2:42">
      <c r="B549" s="7"/>
      <c r="C549" s="7"/>
      <c r="D549" s="7"/>
      <c r="E549" s="7"/>
      <c r="H549" s="7"/>
      <c r="I549" s="7"/>
      <c r="J549" s="118"/>
      <c r="K549" s="7"/>
      <c r="L549" s="7"/>
      <c r="M549" s="128"/>
      <c r="N549" s="112"/>
      <c r="O549" s="130"/>
      <c r="P549" s="7"/>
      <c r="Q549" s="7"/>
      <c r="W549" s="7"/>
      <c r="X549" s="7"/>
      <c r="Z549" s="7"/>
      <c r="AA549" s="7"/>
      <c r="AB549" s="7"/>
      <c r="AC549" s="7"/>
      <c r="AD549" s="7"/>
      <c r="AJ549" s="7"/>
      <c r="AK549" s="7"/>
      <c r="AO549" s="7"/>
      <c r="AP549" s="7"/>
    </row>
    <row r="550" spans="2:42">
      <c r="B550" s="7"/>
      <c r="C550" s="7"/>
      <c r="D550" s="7"/>
      <c r="E550" s="7"/>
      <c r="H550" s="7"/>
      <c r="I550" s="7"/>
      <c r="J550" s="118"/>
      <c r="K550" s="7"/>
      <c r="L550" s="7"/>
      <c r="M550" s="128"/>
      <c r="N550" s="112"/>
      <c r="O550" s="130"/>
      <c r="P550" s="7"/>
      <c r="Q550" s="7"/>
      <c r="W550" s="7"/>
      <c r="X550" s="7"/>
      <c r="Z550" s="7"/>
      <c r="AA550" s="7"/>
      <c r="AB550" s="7"/>
      <c r="AC550" s="7"/>
      <c r="AD550" s="7"/>
      <c r="AJ550" s="7"/>
      <c r="AK550" s="7"/>
      <c r="AO550" s="7"/>
      <c r="AP550" s="7"/>
    </row>
    <row r="551" spans="2:42">
      <c r="B551" s="7"/>
      <c r="C551" s="7"/>
      <c r="D551" s="7"/>
      <c r="E551" s="7"/>
      <c r="H551" s="7"/>
      <c r="I551" s="7"/>
      <c r="J551" s="118"/>
      <c r="K551" s="7"/>
      <c r="L551" s="7"/>
      <c r="M551" s="128"/>
      <c r="N551" s="112"/>
      <c r="O551" s="130"/>
      <c r="P551" s="7"/>
      <c r="Q551" s="7"/>
      <c r="W551" s="7"/>
      <c r="X551" s="7"/>
      <c r="Z551" s="7"/>
      <c r="AA551" s="7"/>
      <c r="AB551" s="7"/>
      <c r="AC551" s="7"/>
      <c r="AD551" s="7"/>
      <c r="AJ551" s="7"/>
      <c r="AK551" s="7"/>
      <c r="AO551" s="7"/>
      <c r="AP551" s="7"/>
    </row>
    <row r="552" spans="2:42">
      <c r="B552" s="7"/>
      <c r="C552" s="7"/>
      <c r="D552" s="7"/>
      <c r="E552" s="7"/>
      <c r="H552" s="7"/>
      <c r="I552" s="7"/>
      <c r="J552" s="118"/>
      <c r="K552" s="7"/>
      <c r="L552" s="7"/>
      <c r="M552" s="128"/>
      <c r="N552" s="112"/>
      <c r="O552" s="130"/>
      <c r="P552" s="7"/>
      <c r="Q552" s="7"/>
      <c r="W552" s="7"/>
      <c r="X552" s="7"/>
      <c r="Z552" s="7"/>
      <c r="AA552" s="7"/>
      <c r="AB552" s="7"/>
      <c r="AC552" s="7"/>
      <c r="AD552" s="7"/>
      <c r="AJ552" s="7"/>
      <c r="AK552" s="7"/>
      <c r="AO552" s="7"/>
      <c r="AP552" s="7"/>
    </row>
    <row r="553" spans="2:42">
      <c r="B553" s="7"/>
      <c r="C553" s="7"/>
      <c r="D553" s="7"/>
      <c r="E553" s="7"/>
      <c r="H553" s="7"/>
      <c r="I553" s="7"/>
      <c r="J553" s="118"/>
      <c r="K553" s="7"/>
      <c r="L553" s="7"/>
      <c r="M553" s="129"/>
      <c r="N553" s="112"/>
      <c r="O553" s="130"/>
      <c r="P553" s="7"/>
      <c r="Q553" s="7"/>
      <c r="W553" s="7"/>
      <c r="X553" s="7"/>
      <c r="Z553" s="7"/>
      <c r="AA553" s="7"/>
      <c r="AB553" s="7"/>
      <c r="AC553" s="7"/>
      <c r="AD553" s="7"/>
      <c r="AJ553" s="7"/>
      <c r="AK553" s="7"/>
      <c r="AO553" s="7"/>
      <c r="AP553" s="7"/>
    </row>
    <row r="554" spans="2:42">
      <c r="B554" s="7"/>
      <c r="C554" s="7"/>
      <c r="D554" s="7"/>
      <c r="E554" s="7"/>
      <c r="H554" s="7"/>
      <c r="I554" s="7"/>
      <c r="J554" s="118"/>
      <c r="K554" s="7"/>
      <c r="L554" s="7"/>
      <c r="M554" s="129"/>
      <c r="N554" s="112"/>
      <c r="O554" s="130"/>
      <c r="P554" s="7"/>
      <c r="Q554" s="7"/>
      <c r="W554" s="7"/>
      <c r="X554" s="7"/>
      <c r="Z554" s="7"/>
      <c r="AA554" s="7"/>
      <c r="AB554" s="7"/>
      <c r="AC554" s="7"/>
      <c r="AD554" s="7"/>
      <c r="AJ554" s="7"/>
      <c r="AK554" s="7"/>
      <c r="AO554" s="7"/>
      <c r="AP554" s="7"/>
    </row>
    <row r="555" spans="2:42">
      <c r="B555" s="7"/>
      <c r="C555" s="7"/>
      <c r="D555" s="7"/>
      <c r="E555" s="7"/>
      <c r="H555" s="7"/>
      <c r="I555" s="7"/>
      <c r="J555" s="118"/>
      <c r="K555" s="7"/>
      <c r="L555" s="7"/>
      <c r="M555" s="129"/>
      <c r="N555" s="112"/>
      <c r="O555" s="130"/>
      <c r="P555" s="7"/>
      <c r="Q555" s="7"/>
      <c r="W555" s="7"/>
      <c r="X555" s="7"/>
      <c r="Z555" s="7"/>
      <c r="AA555" s="7"/>
      <c r="AB555" s="7"/>
      <c r="AC555" s="7"/>
      <c r="AD555" s="7"/>
      <c r="AJ555" s="7"/>
      <c r="AK555" s="7"/>
      <c r="AO555" s="7"/>
      <c r="AP555" s="7"/>
    </row>
    <row r="556" spans="2:42">
      <c r="B556" s="7"/>
      <c r="C556" s="7"/>
      <c r="D556" s="7"/>
      <c r="E556" s="7"/>
      <c r="H556" s="7"/>
      <c r="I556" s="7"/>
      <c r="J556" s="118"/>
      <c r="K556" s="7"/>
      <c r="L556" s="7"/>
      <c r="M556" s="129"/>
      <c r="N556" s="112"/>
      <c r="O556" s="130"/>
      <c r="P556" s="7"/>
      <c r="Q556" s="7"/>
      <c r="W556" s="7"/>
      <c r="X556" s="7"/>
      <c r="Z556" s="7"/>
      <c r="AA556" s="7"/>
      <c r="AB556" s="7"/>
      <c r="AC556" s="7"/>
      <c r="AD556" s="7"/>
      <c r="AJ556" s="7"/>
      <c r="AK556" s="7"/>
      <c r="AO556" s="7"/>
      <c r="AP556" s="7"/>
    </row>
    <row r="557" spans="2:42">
      <c r="B557" s="7"/>
      <c r="C557" s="7"/>
      <c r="D557" s="7"/>
      <c r="E557" s="7"/>
      <c r="H557" s="7"/>
      <c r="I557" s="7"/>
      <c r="J557" s="118"/>
      <c r="K557" s="7"/>
      <c r="L557" s="7"/>
      <c r="M557" s="129"/>
      <c r="N557" s="112"/>
      <c r="O557" s="130"/>
      <c r="P557" s="7"/>
      <c r="Q557" s="7"/>
      <c r="W557" s="7"/>
      <c r="X557" s="7"/>
      <c r="Z557" s="7"/>
      <c r="AA557" s="7"/>
      <c r="AB557" s="7"/>
      <c r="AC557" s="7"/>
      <c r="AD557" s="7"/>
      <c r="AJ557" s="7"/>
      <c r="AK557" s="7"/>
      <c r="AO557" s="7"/>
      <c r="AP557" s="7"/>
    </row>
    <row r="558" spans="2:42">
      <c r="B558" s="7"/>
      <c r="C558" s="7"/>
      <c r="D558" s="7"/>
      <c r="E558" s="7"/>
      <c r="H558" s="7"/>
      <c r="I558" s="7"/>
      <c r="J558" s="118"/>
      <c r="K558" s="7"/>
      <c r="L558" s="7"/>
      <c r="M558" s="129"/>
      <c r="N558" s="112"/>
      <c r="O558" s="130"/>
      <c r="P558" s="7"/>
      <c r="Q558" s="7"/>
      <c r="W558" s="7"/>
      <c r="X558" s="7"/>
      <c r="Z558" s="7"/>
      <c r="AA558" s="7"/>
      <c r="AB558" s="7"/>
      <c r="AC558" s="7"/>
      <c r="AD558" s="7"/>
      <c r="AJ558" s="7"/>
      <c r="AK558" s="7"/>
      <c r="AO558" s="7"/>
      <c r="AP558" s="7"/>
    </row>
    <row r="559" spans="2:42">
      <c r="B559" s="7"/>
      <c r="C559" s="7"/>
      <c r="D559" s="7"/>
      <c r="E559" s="7"/>
      <c r="H559" s="7"/>
      <c r="I559" s="7"/>
      <c r="J559" s="118"/>
      <c r="K559" s="7"/>
      <c r="L559" s="7"/>
      <c r="M559" s="129"/>
      <c r="N559" s="112"/>
      <c r="O559" s="130"/>
      <c r="P559" s="7"/>
      <c r="Q559" s="7"/>
      <c r="W559" s="7"/>
      <c r="X559" s="7"/>
      <c r="Z559" s="7"/>
      <c r="AA559" s="7"/>
      <c r="AB559" s="7"/>
      <c r="AC559" s="7"/>
      <c r="AD559" s="7"/>
      <c r="AJ559" s="7"/>
      <c r="AK559" s="7"/>
      <c r="AO559" s="7"/>
      <c r="AP559" s="7"/>
    </row>
    <row r="560" spans="2:42">
      <c r="B560" s="7"/>
      <c r="C560" s="7"/>
      <c r="D560" s="7"/>
      <c r="E560" s="7"/>
      <c r="H560" s="7"/>
      <c r="I560" s="7"/>
      <c r="J560" s="118"/>
      <c r="K560" s="7"/>
      <c r="L560" s="7"/>
      <c r="M560" s="129"/>
      <c r="N560" s="112"/>
      <c r="O560" s="130"/>
      <c r="P560" s="7"/>
      <c r="Q560" s="7"/>
      <c r="W560" s="7"/>
      <c r="X560" s="7"/>
      <c r="Z560" s="7"/>
      <c r="AA560" s="7"/>
      <c r="AB560" s="7"/>
      <c r="AC560" s="7"/>
      <c r="AD560" s="7"/>
      <c r="AJ560" s="7"/>
      <c r="AK560" s="7"/>
      <c r="AO560" s="7"/>
      <c r="AP560" s="7"/>
    </row>
    <row r="561" spans="2:42">
      <c r="B561" s="7"/>
      <c r="C561" s="7"/>
      <c r="D561" s="7"/>
      <c r="E561" s="7"/>
      <c r="H561" s="7"/>
      <c r="I561" s="7"/>
      <c r="J561" s="118"/>
      <c r="K561" s="7"/>
      <c r="L561" s="7"/>
      <c r="M561" s="129"/>
      <c r="N561" s="112"/>
      <c r="O561" s="130"/>
      <c r="P561" s="7"/>
      <c r="Q561" s="7"/>
      <c r="W561" s="7"/>
      <c r="X561" s="7"/>
      <c r="Z561" s="7"/>
      <c r="AA561" s="7"/>
      <c r="AB561" s="7"/>
      <c r="AC561" s="7"/>
      <c r="AD561" s="7"/>
      <c r="AJ561" s="7"/>
      <c r="AK561" s="7"/>
      <c r="AO561" s="7"/>
      <c r="AP561" s="7"/>
    </row>
    <row r="562" spans="2:42">
      <c r="B562" s="7"/>
      <c r="C562" s="7"/>
      <c r="D562" s="7"/>
      <c r="E562" s="7"/>
      <c r="H562" s="7"/>
      <c r="I562" s="7"/>
      <c r="J562" s="118"/>
      <c r="K562" s="7"/>
      <c r="L562" s="7"/>
      <c r="M562" s="129"/>
      <c r="N562" s="112"/>
      <c r="O562" s="130"/>
      <c r="P562" s="7"/>
      <c r="Q562" s="7"/>
      <c r="W562" s="7"/>
      <c r="X562" s="7"/>
      <c r="Z562" s="7"/>
      <c r="AA562" s="7"/>
      <c r="AB562" s="7"/>
      <c r="AC562" s="7"/>
      <c r="AD562" s="7"/>
      <c r="AJ562" s="7"/>
      <c r="AK562" s="7"/>
      <c r="AO562" s="7"/>
      <c r="AP562" s="7"/>
    </row>
    <row r="563" spans="2:42">
      <c r="B563" s="7"/>
      <c r="C563" s="7"/>
      <c r="D563" s="7"/>
      <c r="E563" s="7"/>
      <c r="H563" s="7"/>
      <c r="I563" s="7"/>
      <c r="J563" s="118"/>
      <c r="K563" s="7"/>
      <c r="L563" s="7"/>
      <c r="M563" s="128"/>
      <c r="N563" s="112"/>
      <c r="O563" s="130"/>
      <c r="P563" s="7"/>
      <c r="Q563" s="7"/>
      <c r="W563" s="7"/>
      <c r="X563" s="7"/>
      <c r="Z563" s="7"/>
      <c r="AA563" s="7"/>
      <c r="AB563" s="7"/>
      <c r="AC563" s="7"/>
      <c r="AD563" s="7"/>
      <c r="AJ563" s="7"/>
      <c r="AK563" s="7"/>
      <c r="AO563" s="7"/>
      <c r="AP563" s="7"/>
    </row>
    <row r="564" spans="2:42">
      <c r="B564" s="7"/>
      <c r="C564" s="7"/>
      <c r="D564" s="7"/>
      <c r="E564" s="7"/>
      <c r="H564" s="7"/>
      <c r="I564" s="7"/>
      <c r="J564" s="118"/>
      <c r="K564" s="7"/>
      <c r="L564" s="7"/>
      <c r="M564" s="128"/>
      <c r="N564" s="112"/>
      <c r="O564" s="130"/>
      <c r="P564" s="7"/>
      <c r="Q564" s="7"/>
      <c r="W564" s="7"/>
      <c r="X564" s="7"/>
      <c r="Z564" s="7"/>
      <c r="AA564" s="7"/>
      <c r="AB564" s="7"/>
      <c r="AC564" s="7"/>
      <c r="AD564" s="7"/>
      <c r="AJ564" s="7"/>
      <c r="AK564" s="7"/>
      <c r="AO564" s="7"/>
      <c r="AP564" s="7"/>
    </row>
    <row r="565" spans="2:42">
      <c r="B565" s="7"/>
      <c r="C565" s="7"/>
      <c r="D565" s="7"/>
      <c r="E565" s="7"/>
      <c r="H565" s="7"/>
      <c r="I565" s="7"/>
      <c r="J565" s="118"/>
      <c r="K565" s="7"/>
      <c r="L565" s="7"/>
      <c r="M565" s="128"/>
      <c r="N565" s="112"/>
      <c r="O565" s="130"/>
      <c r="P565" s="7"/>
      <c r="Q565" s="7"/>
      <c r="W565" s="7"/>
      <c r="X565" s="7"/>
      <c r="Z565" s="7"/>
      <c r="AA565" s="7"/>
      <c r="AB565" s="7"/>
      <c r="AC565" s="7"/>
      <c r="AD565" s="7"/>
      <c r="AJ565" s="7"/>
      <c r="AK565" s="7"/>
      <c r="AO565" s="7"/>
      <c r="AP565" s="7"/>
    </row>
    <row r="566" spans="2:42">
      <c r="B566" s="7"/>
      <c r="C566" s="7"/>
      <c r="D566" s="7"/>
      <c r="E566" s="7"/>
      <c r="H566" s="7"/>
      <c r="I566" s="7"/>
      <c r="J566" s="118"/>
      <c r="K566" s="7"/>
      <c r="L566" s="7"/>
      <c r="M566" s="128"/>
      <c r="N566" s="112"/>
      <c r="O566" s="130"/>
      <c r="P566" s="7"/>
      <c r="Q566" s="7"/>
      <c r="W566" s="7"/>
      <c r="X566" s="7"/>
      <c r="Z566" s="7"/>
      <c r="AA566" s="7"/>
      <c r="AB566" s="7"/>
      <c r="AC566" s="7"/>
      <c r="AD566" s="7"/>
      <c r="AJ566" s="7"/>
      <c r="AK566" s="7"/>
      <c r="AO566" s="7"/>
      <c r="AP566" s="7"/>
    </row>
    <row r="567" spans="2:42">
      <c r="B567" s="7"/>
      <c r="C567" s="7"/>
      <c r="D567" s="7"/>
      <c r="E567" s="7"/>
      <c r="H567" s="7"/>
      <c r="I567" s="7"/>
      <c r="J567" s="118"/>
      <c r="K567" s="7"/>
      <c r="L567" s="7"/>
      <c r="M567" s="128"/>
      <c r="N567" s="112"/>
      <c r="O567" s="130"/>
      <c r="P567" s="7"/>
      <c r="Q567" s="7"/>
      <c r="W567" s="7"/>
      <c r="X567" s="7"/>
      <c r="Z567" s="7"/>
      <c r="AA567" s="7"/>
      <c r="AB567" s="7"/>
      <c r="AC567" s="7"/>
      <c r="AD567" s="7"/>
      <c r="AJ567" s="7"/>
      <c r="AK567" s="7"/>
      <c r="AO567" s="7"/>
      <c r="AP567" s="7"/>
    </row>
    <row r="568" spans="2:42">
      <c r="B568" s="7"/>
      <c r="C568" s="7"/>
      <c r="D568" s="7"/>
      <c r="E568" s="7"/>
      <c r="H568" s="7"/>
      <c r="I568" s="7"/>
      <c r="J568" s="118"/>
      <c r="K568" s="7"/>
      <c r="L568" s="7"/>
      <c r="M568" s="128"/>
      <c r="N568" s="112"/>
      <c r="O568" s="130"/>
      <c r="P568" s="7"/>
      <c r="Q568" s="7"/>
      <c r="W568" s="7"/>
      <c r="X568" s="7"/>
      <c r="Z568" s="7"/>
      <c r="AA568" s="7"/>
      <c r="AB568" s="7"/>
      <c r="AC568" s="7"/>
      <c r="AD568" s="7"/>
      <c r="AJ568" s="7"/>
      <c r="AK568" s="7"/>
      <c r="AO568" s="7"/>
      <c r="AP568" s="7"/>
    </row>
    <row r="569" spans="2:42">
      <c r="B569" s="7"/>
      <c r="C569" s="7"/>
      <c r="D569" s="7"/>
      <c r="E569" s="7"/>
      <c r="H569" s="7"/>
      <c r="I569" s="7"/>
      <c r="J569" s="118"/>
      <c r="K569" s="7"/>
      <c r="L569" s="7"/>
      <c r="M569" s="128"/>
      <c r="N569" s="112"/>
      <c r="O569" s="130"/>
      <c r="P569" s="7"/>
      <c r="Q569" s="7"/>
      <c r="W569" s="7"/>
      <c r="X569" s="7"/>
      <c r="Z569" s="7"/>
      <c r="AA569" s="7"/>
      <c r="AB569" s="7"/>
      <c r="AC569" s="7"/>
      <c r="AD569" s="7"/>
      <c r="AJ569" s="7"/>
      <c r="AK569" s="7"/>
      <c r="AO569" s="7"/>
      <c r="AP569" s="7"/>
    </row>
    <row r="570" spans="2:42">
      <c r="B570" s="7"/>
      <c r="C570" s="7"/>
      <c r="D570" s="7"/>
      <c r="E570" s="7"/>
      <c r="H570" s="7"/>
      <c r="I570" s="7"/>
      <c r="J570" s="118"/>
      <c r="K570" s="7"/>
      <c r="L570" s="7"/>
      <c r="M570" s="128"/>
      <c r="N570" s="112"/>
      <c r="O570" s="130"/>
      <c r="P570" s="7"/>
      <c r="Q570" s="7"/>
      <c r="W570" s="7"/>
      <c r="X570" s="7"/>
      <c r="Z570" s="7"/>
      <c r="AA570" s="7"/>
      <c r="AB570" s="7"/>
      <c r="AC570" s="7"/>
      <c r="AD570" s="7"/>
      <c r="AJ570" s="7"/>
      <c r="AK570" s="7"/>
      <c r="AO570" s="7"/>
      <c r="AP570" s="7"/>
    </row>
    <row r="571" spans="2:42">
      <c r="B571" s="7"/>
      <c r="C571" s="7"/>
      <c r="D571" s="7"/>
      <c r="E571" s="7"/>
      <c r="H571" s="7"/>
      <c r="I571" s="7"/>
      <c r="J571" s="118"/>
      <c r="K571" s="7"/>
      <c r="L571" s="7"/>
      <c r="M571" s="128"/>
      <c r="N571" s="112"/>
      <c r="O571" s="130"/>
      <c r="P571" s="7"/>
      <c r="Q571" s="7"/>
      <c r="W571" s="7"/>
      <c r="X571" s="7"/>
      <c r="Z571" s="7"/>
      <c r="AA571" s="7"/>
      <c r="AB571" s="7"/>
      <c r="AC571" s="7"/>
      <c r="AD571" s="7"/>
      <c r="AJ571" s="7"/>
      <c r="AK571" s="7"/>
      <c r="AO571" s="7"/>
      <c r="AP571" s="7"/>
    </row>
    <row r="572" spans="2:42">
      <c r="B572" s="7"/>
      <c r="C572" s="7"/>
      <c r="D572" s="7"/>
      <c r="E572" s="7"/>
      <c r="H572" s="7"/>
      <c r="I572" s="7"/>
      <c r="J572" s="118"/>
      <c r="K572" s="7"/>
      <c r="L572" s="7"/>
      <c r="M572" s="128"/>
      <c r="N572" s="112"/>
      <c r="O572" s="130"/>
      <c r="P572" s="7"/>
      <c r="Q572" s="7"/>
      <c r="W572" s="7"/>
      <c r="X572" s="7"/>
      <c r="Z572" s="7"/>
      <c r="AA572" s="7"/>
      <c r="AB572" s="7"/>
      <c r="AC572" s="7"/>
      <c r="AD572" s="7"/>
      <c r="AJ572" s="7"/>
      <c r="AK572" s="7"/>
      <c r="AO572" s="7"/>
      <c r="AP572" s="7"/>
    </row>
    <row r="573" spans="2:42">
      <c r="B573" s="7"/>
      <c r="C573" s="7"/>
      <c r="D573" s="7"/>
      <c r="E573" s="7"/>
      <c r="H573" s="7"/>
      <c r="I573" s="7"/>
      <c r="J573" s="118"/>
      <c r="K573" s="7"/>
      <c r="M573" s="128"/>
      <c r="N573" s="112"/>
      <c r="O573" s="130"/>
      <c r="P573" s="7"/>
      <c r="Q573" s="7"/>
      <c r="W573" s="7"/>
      <c r="X573" s="7"/>
      <c r="Z573" s="7"/>
      <c r="AA573" s="7"/>
      <c r="AB573" s="7"/>
      <c r="AC573" s="7"/>
      <c r="AD573" s="7"/>
      <c r="AJ573" s="7"/>
      <c r="AK573" s="7"/>
      <c r="AO573" s="7"/>
      <c r="AP573" s="7"/>
    </row>
    <row r="574" spans="2:42">
      <c r="B574" s="7"/>
      <c r="C574" s="7"/>
      <c r="D574" s="7"/>
      <c r="E574" s="7"/>
      <c r="H574" s="7"/>
      <c r="I574" s="7"/>
      <c r="J574" s="118"/>
      <c r="K574" s="7"/>
      <c r="M574" s="128"/>
      <c r="N574" s="112"/>
      <c r="O574" s="130"/>
      <c r="P574" s="7"/>
      <c r="Q574" s="7"/>
      <c r="W574" s="7"/>
      <c r="X574" s="7"/>
      <c r="Z574" s="7"/>
      <c r="AA574" s="7"/>
      <c r="AB574" s="7"/>
      <c r="AC574" s="7"/>
      <c r="AD574" s="7"/>
      <c r="AJ574" s="7"/>
      <c r="AK574" s="7"/>
      <c r="AO574" s="7"/>
      <c r="AP574" s="7"/>
    </row>
    <row r="575" spans="2:42">
      <c r="B575" s="7"/>
      <c r="C575" s="7"/>
      <c r="D575" s="7"/>
      <c r="E575" s="7"/>
      <c r="H575" s="7"/>
      <c r="I575" s="7"/>
      <c r="J575" s="118"/>
      <c r="K575" s="7"/>
      <c r="M575" s="128"/>
      <c r="N575" s="112"/>
      <c r="O575" s="130"/>
      <c r="P575" s="7"/>
      <c r="Q575" s="7"/>
      <c r="W575" s="7"/>
      <c r="X575" s="7"/>
      <c r="Z575" s="7"/>
      <c r="AA575" s="7"/>
      <c r="AB575" s="7"/>
      <c r="AC575" s="7"/>
      <c r="AD575" s="7"/>
      <c r="AJ575" s="7"/>
      <c r="AK575" s="7"/>
      <c r="AO575" s="7"/>
      <c r="AP575" s="7"/>
    </row>
    <row r="576" spans="2:42">
      <c r="B576" s="7"/>
      <c r="C576" s="7"/>
      <c r="D576" s="7"/>
      <c r="E576" s="7"/>
      <c r="H576" s="7"/>
      <c r="I576" s="7"/>
      <c r="J576" s="118"/>
      <c r="K576" s="7"/>
      <c r="M576" s="128"/>
      <c r="N576" s="112"/>
      <c r="O576" s="130"/>
      <c r="P576" s="7"/>
      <c r="Q576" s="7"/>
      <c r="W576" s="7"/>
      <c r="X576" s="7"/>
      <c r="Z576" s="7"/>
      <c r="AA576" s="7"/>
      <c r="AB576" s="7"/>
      <c r="AC576" s="7"/>
      <c r="AD576" s="7"/>
      <c r="AJ576" s="7"/>
      <c r="AK576" s="7"/>
      <c r="AO576" s="7"/>
      <c r="AP576" s="7"/>
    </row>
    <row r="577" spans="2:42">
      <c r="B577" s="7"/>
      <c r="C577" s="7"/>
      <c r="D577" s="7"/>
      <c r="E577" s="7"/>
      <c r="H577" s="7"/>
      <c r="I577" s="7"/>
      <c r="J577" s="118"/>
      <c r="K577" s="7"/>
      <c r="M577" s="128"/>
      <c r="N577" s="112"/>
      <c r="O577" s="130"/>
      <c r="P577" s="7"/>
      <c r="Q577" s="7"/>
      <c r="W577" s="7"/>
      <c r="X577" s="7"/>
      <c r="Z577" s="7"/>
      <c r="AA577" s="7"/>
      <c r="AB577" s="7"/>
      <c r="AC577" s="7"/>
      <c r="AD577" s="7"/>
      <c r="AJ577" s="7"/>
      <c r="AK577" s="7"/>
      <c r="AO577" s="7"/>
      <c r="AP577" s="7"/>
    </row>
    <row r="578" spans="2:42">
      <c r="B578" s="7"/>
      <c r="C578" s="7"/>
      <c r="D578" s="7"/>
      <c r="E578" s="7"/>
      <c r="H578" s="7"/>
      <c r="I578" s="7"/>
      <c r="J578" s="118"/>
      <c r="K578" s="7"/>
      <c r="M578" s="128"/>
      <c r="N578" s="112"/>
      <c r="O578" s="130"/>
      <c r="P578" s="7"/>
      <c r="Q578" s="7"/>
      <c r="W578" s="7"/>
      <c r="X578" s="7"/>
      <c r="Z578" s="7"/>
      <c r="AA578" s="7"/>
      <c r="AB578" s="7"/>
      <c r="AC578" s="7"/>
      <c r="AD578" s="7"/>
      <c r="AJ578" s="7"/>
      <c r="AK578" s="7"/>
      <c r="AO578" s="7"/>
      <c r="AP578" s="7"/>
    </row>
    <row r="579" spans="2:42">
      <c r="B579" s="7"/>
      <c r="C579" s="7"/>
      <c r="D579" s="7"/>
      <c r="E579" s="7"/>
      <c r="H579" s="7"/>
      <c r="I579" s="7"/>
      <c r="J579" s="118"/>
      <c r="K579" s="7"/>
      <c r="M579" s="128"/>
      <c r="N579" s="112"/>
      <c r="O579" s="130"/>
      <c r="P579" s="7"/>
      <c r="Q579" s="7"/>
      <c r="W579" s="7"/>
      <c r="X579" s="7"/>
      <c r="Z579" s="7"/>
      <c r="AA579" s="7"/>
      <c r="AB579" s="7"/>
      <c r="AC579" s="7"/>
      <c r="AD579" s="7"/>
      <c r="AJ579" s="7"/>
      <c r="AK579" s="7"/>
      <c r="AO579" s="7"/>
      <c r="AP579" s="7"/>
    </row>
    <row r="580" spans="2:42">
      <c r="B580" s="7"/>
      <c r="C580" s="7"/>
      <c r="D580" s="7"/>
      <c r="E580" s="7"/>
      <c r="H580" s="7"/>
      <c r="I580" s="7"/>
      <c r="J580" s="118"/>
      <c r="K580" s="7"/>
      <c r="M580" s="128"/>
      <c r="N580" s="112"/>
      <c r="O580" s="130"/>
      <c r="P580" s="7"/>
      <c r="Q580" s="7"/>
      <c r="W580" s="7"/>
      <c r="X580" s="7"/>
      <c r="Z580" s="7"/>
      <c r="AA580" s="7"/>
      <c r="AB580" s="7"/>
      <c r="AC580" s="7"/>
      <c r="AD580" s="7"/>
      <c r="AJ580" s="7"/>
      <c r="AK580" s="7"/>
      <c r="AO580" s="7"/>
      <c r="AP580" s="7"/>
    </row>
    <row r="581" spans="2:42">
      <c r="B581" s="7"/>
      <c r="C581" s="7"/>
      <c r="D581" s="7"/>
      <c r="E581" s="7"/>
      <c r="H581" s="7"/>
      <c r="I581" s="7"/>
      <c r="J581" s="118"/>
      <c r="K581" s="7"/>
      <c r="M581" s="128"/>
      <c r="N581" s="112"/>
      <c r="O581" s="130"/>
      <c r="P581" s="7"/>
      <c r="Q581" s="7"/>
      <c r="W581" s="7"/>
      <c r="X581" s="7"/>
      <c r="Z581" s="7"/>
      <c r="AA581" s="7"/>
      <c r="AB581" s="7"/>
      <c r="AC581" s="7"/>
      <c r="AD581" s="7"/>
      <c r="AJ581" s="7"/>
      <c r="AK581" s="7"/>
      <c r="AO581" s="7"/>
      <c r="AP581" s="7"/>
    </row>
    <row r="582" spans="2:42">
      <c r="B582" s="7"/>
      <c r="C582" s="7"/>
      <c r="D582" s="7"/>
      <c r="E582" s="7"/>
      <c r="H582" s="7"/>
      <c r="I582" s="7"/>
      <c r="J582" s="118"/>
      <c r="K582" s="7"/>
      <c r="M582" s="128"/>
      <c r="N582" s="112"/>
      <c r="O582" s="130"/>
      <c r="P582" s="7"/>
      <c r="Q582" s="7"/>
      <c r="W582" s="7"/>
      <c r="X582" s="7"/>
      <c r="Z582" s="7"/>
      <c r="AA582" s="7"/>
      <c r="AB582" s="7"/>
      <c r="AC582" s="7"/>
      <c r="AD582" s="7"/>
      <c r="AJ582" s="7"/>
      <c r="AK582" s="7"/>
      <c r="AO582" s="7"/>
      <c r="AP582" s="7"/>
    </row>
    <row r="583" spans="2:37">
      <c r="B583" s="7"/>
      <c r="C583" s="7"/>
      <c r="D583" s="7"/>
      <c r="E583" s="7"/>
      <c r="H583" s="7"/>
      <c r="I583" s="7"/>
      <c r="J583" s="118"/>
      <c r="K583" s="7"/>
      <c r="L583" s="7"/>
      <c r="M583" s="130"/>
      <c r="O583" s="116"/>
      <c r="P583" s="7"/>
      <c r="Q583" s="7"/>
      <c r="V583" s="7"/>
      <c r="W583" s="112"/>
      <c r="X583" s="7"/>
      <c r="Z583" s="7"/>
      <c r="AA583" s="7"/>
      <c r="AC583" s="7"/>
      <c r="AD583" s="7"/>
      <c r="AJ583" s="7"/>
      <c r="AK583" s="7"/>
    </row>
    <row r="584" spans="2:37">
      <c r="B584" s="7"/>
      <c r="C584" s="7"/>
      <c r="D584" s="7"/>
      <c r="E584" s="7"/>
      <c r="H584" s="7"/>
      <c r="I584" s="7"/>
      <c r="J584" s="118"/>
      <c r="K584" s="7"/>
      <c r="L584" s="7"/>
      <c r="M584" s="130"/>
      <c r="O584" s="116"/>
      <c r="P584" s="7"/>
      <c r="Q584" s="7"/>
      <c r="V584" s="7"/>
      <c r="W584" s="112"/>
      <c r="X584" s="7"/>
      <c r="Z584" s="7"/>
      <c r="AA584" s="7"/>
      <c r="AB584" s="7"/>
      <c r="AC584" s="7"/>
      <c r="AD584" s="7"/>
      <c r="AJ584" s="7"/>
      <c r="AK584" s="7"/>
    </row>
    <row r="585" spans="2:37">
      <c r="B585" s="7"/>
      <c r="C585" s="7"/>
      <c r="D585" s="7"/>
      <c r="E585" s="7"/>
      <c r="H585" s="7"/>
      <c r="I585" s="7"/>
      <c r="J585" s="118"/>
      <c r="K585" s="7"/>
      <c r="L585" s="7"/>
      <c r="M585" s="130"/>
      <c r="O585" s="116"/>
      <c r="P585" s="7"/>
      <c r="Q585" s="7"/>
      <c r="V585" s="7"/>
      <c r="W585" s="112"/>
      <c r="X585" s="7"/>
      <c r="Z585" s="7"/>
      <c r="AA585" s="7"/>
      <c r="AB585" s="7"/>
      <c r="AC585" s="7"/>
      <c r="AD585" s="7"/>
      <c r="AJ585" s="7"/>
      <c r="AK585" s="7"/>
    </row>
    <row r="586" spans="2:37">
      <c r="B586" s="7"/>
      <c r="C586" s="7"/>
      <c r="D586" s="7"/>
      <c r="E586" s="7"/>
      <c r="H586" s="7"/>
      <c r="I586" s="7"/>
      <c r="J586" s="118"/>
      <c r="K586" s="7"/>
      <c r="L586" s="7"/>
      <c r="M586" s="130"/>
      <c r="O586" s="116"/>
      <c r="P586" s="7"/>
      <c r="Q586" s="7"/>
      <c r="V586" s="7"/>
      <c r="W586" s="112"/>
      <c r="X586" s="7"/>
      <c r="Z586" s="7"/>
      <c r="AA586" s="7"/>
      <c r="AB586" s="7"/>
      <c r="AC586" s="7"/>
      <c r="AD586" s="7"/>
      <c r="AJ586" s="7"/>
      <c r="AK586" s="7"/>
    </row>
    <row r="587" s="115" customFormat="1" spans="2:40">
      <c r="B587" s="131"/>
      <c r="C587" s="131"/>
      <c r="D587" s="131"/>
      <c r="E587" s="7"/>
      <c r="H587" s="7"/>
      <c r="I587" s="131"/>
      <c r="J587" s="132"/>
      <c r="K587" s="131"/>
      <c r="L587" s="131"/>
      <c r="M587" s="133"/>
      <c r="O587" s="134"/>
      <c r="P587" s="131"/>
      <c r="Q587" s="131"/>
      <c r="V587" s="131"/>
      <c r="W587" s="135"/>
      <c r="X587" s="131"/>
      <c r="Z587" s="131"/>
      <c r="AA587" s="131"/>
      <c r="AB587" s="135"/>
      <c r="AC587" s="131"/>
      <c r="AD587" s="131"/>
      <c r="AJ587" s="131"/>
      <c r="AK587" s="131"/>
      <c r="AN587" s="135"/>
    </row>
    <row r="588" s="115" customFormat="1" spans="2:40">
      <c r="B588" s="131"/>
      <c r="C588" s="131"/>
      <c r="D588" s="131"/>
      <c r="E588" s="7"/>
      <c r="H588" s="7"/>
      <c r="I588" s="131"/>
      <c r="J588" s="132"/>
      <c r="K588" s="131"/>
      <c r="L588" s="131"/>
      <c r="M588" s="133"/>
      <c r="O588" s="134"/>
      <c r="P588" s="131"/>
      <c r="Q588" s="131"/>
      <c r="V588" s="131"/>
      <c r="W588" s="135"/>
      <c r="X588" s="131"/>
      <c r="Z588" s="131"/>
      <c r="AA588" s="131"/>
      <c r="AB588" s="135"/>
      <c r="AC588" s="131"/>
      <c r="AD588" s="131"/>
      <c r="AJ588" s="131"/>
      <c r="AK588" s="131"/>
      <c r="AN588" s="135"/>
    </row>
    <row r="589" s="115" customFormat="1" spans="2:40">
      <c r="B589" s="131"/>
      <c r="C589" s="131"/>
      <c r="D589" s="131"/>
      <c r="E589" s="7"/>
      <c r="H589" s="7"/>
      <c r="I589" s="131"/>
      <c r="J589" s="132"/>
      <c r="K589" s="131"/>
      <c r="L589" s="131"/>
      <c r="M589" s="133"/>
      <c r="O589" s="134"/>
      <c r="P589" s="131"/>
      <c r="Q589" s="131"/>
      <c r="V589" s="131"/>
      <c r="W589" s="135"/>
      <c r="X589" s="131"/>
      <c r="Z589" s="131"/>
      <c r="AA589" s="131"/>
      <c r="AB589" s="135"/>
      <c r="AC589" s="131"/>
      <c r="AD589" s="131"/>
      <c r="AJ589" s="131"/>
      <c r="AK589" s="131"/>
      <c r="AN589" s="135"/>
    </row>
    <row r="590" s="115" customFormat="1" spans="2:40">
      <c r="B590" s="131"/>
      <c r="C590" s="131"/>
      <c r="D590" s="131"/>
      <c r="E590" s="7"/>
      <c r="H590" s="7"/>
      <c r="I590" s="131"/>
      <c r="J590" s="132"/>
      <c r="K590" s="131"/>
      <c r="L590" s="131"/>
      <c r="M590" s="133"/>
      <c r="O590" s="134"/>
      <c r="P590" s="131"/>
      <c r="Q590" s="131"/>
      <c r="V590" s="131"/>
      <c r="W590" s="135"/>
      <c r="X590" s="131"/>
      <c r="Z590" s="131"/>
      <c r="AA590" s="131"/>
      <c r="AB590" s="135"/>
      <c r="AC590" s="131"/>
      <c r="AD590" s="131"/>
      <c r="AJ590" s="131"/>
      <c r="AK590" s="131"/>
      <c r="AN590" s="135"/>
    </row>
    <row r="591" spans="2:42">
      <c r="B591" s="7"/>
      <c r="C591" s="7"/>
      <c r="D591" s="7"/>
      <c r="E591" s="7"/>
      <c r="H591" s="7"/>
      <c r="I591" s="7"/>
      <c r="J591" s="118"/>
      <c r="K591" s="7"/>
      <c r="L591" s="7"/>
      <c r="M591" s="130"/>
      <c r="O591" s="116"/>
      <c r="P591" s="7"/>
      <c r="Q591" s="7"/>
      <c r="W591" s="7"/>
      <c r="X591" s="7"/>
      <c r="Z591" s="7"/>
      <c r="AA591" s="7"/>
      <c r="AC591" s="7"/>
      <c r="AD591" s="7"/>
      <c r="AJ591" s="7"/>
      <c r="AK591" s="7"/>
      <c r="AO591" s="7"/>
      <c r="AP591" s="7"/>
    </row>
    <row r="592" spans="2:42">
      <c r="B592" s="7"/>
      <c r="C592" s="7"/>
      <c r="D592" s="7"/>
      <c r="E592" s="7"/>
      <c r="H592" s="7"/>
      <c r="I592" s="7"/>
      <c r="J592" s="118"/>
      <c r="K592" s="7"/>
      <c r="L592" s="7"/>
      <c r="M592" s="130"/>
      <c r="O592" s="116"/>
      <c r="P592" s="7"/>
      <c r="Q592" s="7"/>
      <c r="W592" s="7"/>
      <c r="X592" s="7"/>
      <c r="Z592" s="7"/>
      <c r="AA592" s="7"/>
      <c r="AB592" s="7"/>
      <c r="AC592" s="7"/>
      <c r="AD592" s="7"/>
      <c r="AJ592" s="7"/>
      <c r="AK592" s="7"/>
      <c r="AO592" s="7"/>
      <c r="AP592" s="7"/>
    </row>
    <row r="593" spans="2:42">
      <c r="B593" s="7"/>
      <c r="C593" s="7"/>
      <c r="D593" s="7"/>
      <c r="E593" s="7"/>
      <c r="H593" s="7"/>
      <c r="I593" s="7"/>
      <c r="J593" s="118"/>
      <c r="K593" s="7"/>
      <c r="L593" s="7"/>
      <c r="M593" s="130"/>
      <c r="O593" s="116"/>
      <c r="P593" s="7"/>
      <c r="Q593" s="7"/>
      <c r="W593" s="7"/>
      <c r="X593" s="7"/>
      <c r="Z593" s="7"/>
      <c r="AA593" s="7"/>
      <c r="AB593" s="7"/>
      <c r="AC593" s="7"/>
      <c r="AD593" s="7"/>
      <c r="AJ593" s="7"/>
      <c r="AK593" s="7"/>
      <c r="AO593" s="7"/>
      <c r="AP593" s="7"/>
    </row>
    <row r="594" spans="2:42">
      <c r="B594" s="7"/>
      <c r="C594" s="7"/>
      <c r="D594" s="7"/>
      <c r="E594" s="7"/>
      <c r="H594" s="7"/>
      <c r="I594" s="7"/>
      <c r="J594" s="118"/>
      <c r="K594" s="7"/>
      <c r="L594" s="7"/>
      <c r="M594" s="130"/>
      <c r="O594" s="116"/>
      <c r="P594" s="7"/>
      <c r="Q594" s="7"/>
      <c r="W594" s="7"/>
      <c r="X594" s="7"/>
      <c r="Z594" s="7"/>
      <c r="AA594" s="7"/>
      <c r="AB594" s="7"/>
      <c r="AC594" s="7"/>
      <c r="AD594" s="7"/>
      <c r="AJ594" s="7"/>
      <c r="AK594" s="7"/>
      <c r="AO594" s="7"/>
      <c r="AP594" s="7"/>
    </row>
    <row r="595" s="115" customFormat="1" spans="2:42">
      <c r="B595" s="131"/>
      <c r="C595" s="131"/>
      <c r="D595" s="131"/>
      <c r="E595" s="7"/>
      <c r="H595" s="7"/>
      <c r="I595" s="131"/>
      <c r="J595" s="132"/>
      <c r="K595" s="131"/>
      <c r="L595" s="131"/>
      <c r="M595" s="133"/>
      <c r="O595" s="134"/>
      <c r="P595" s="131"/>
      <c r="Q595" s="131"/>
      <c r="W595" s="131"/>
      <c r="X595" s="131"/>
      <c r="Z595" s="131"/>
      <c r="AA595" s="131"/>
      <c r="AB595" s="135"/>
      <c r="AC595" s="131"/>
      <c r="AD595" s="131"/>
      <c r="AJ595" s="131"/>
      <c r="AK595" s="131"/>
      <c r="AN595" s="135"/>
      <c r="AO595" s="131"/>
      <c r="AP595" s="131"/>
    </row>
    <row r="596" s="115" customFormat="1" spans="2:42">
      <c r="B596" s="131"/>
      <c r="C596" s="131"/>
      <c r="D596" s="131"/>
      <c r="E596" s="7"/>
      <c r="H596" s="7"/>
      <c r="I596" s="131"/>
      <c r="J596" s="132"/>
      <c r="K596" s="131"/>
      <c r="L596" s="131"/>
      <c r="M596" s="133"/>
      <c r="O596" s="134"/>
      <c r="P596" s="131"/>
      <c r="Q596" s="131"/>
      <c r="W596" s="131"/>
      <c r="X596" s="131"/>
      <c r="Z596" s="131"/>
      <c r="AA596" s="131"/>
      <c r="AB596" s="135"/>
      <c r="AC596" s="131"/>
      <c r="AD596" s="131"/>
      <c r="AJ596" s="131"/>
      <c r="AK596" s="131"/>
      <c r="AN596" s="135"/>
      <c r="AO596" s="131"/>
      <c r="AP596" s="131"/>
    </row>
    <row r="597" s="115" customFormat="1" spans="2:42">
      <c r="B597" s="131"/>
      <c r="C597" s="131"/>
      <c r="D597" s="131"/>
      <c r="E597" s="7"/>
      <c r="H597" s="7"/>
      <c r="I597" s="131"/>
      <c r="J597" s="132"/>
      <c r="K597" s="131"/>
      <c r="L597" s="131"/>
      <c r="M597" s="133"/>
      <c r="O597" s="134"/>
      <c r="P597" s="131"/>
      <c r="Q597" s="131"/>
      <c r="W597" s="131"/>
      <c r="X597" s="131"/>
      <c r="Z597" s="131"/>
      <c r="AA597" s="131"/>
      <c r="AB597" s="135"/>
      <c r="AC597" s="131"/>
      <c r="AD597" s="131"/>
      <c r="AJ597" s="131"/>
      <c r="AK597" s="131"/>
      <c r="AN597" s="135"/>
      <c r="AO597" s="131"/>
      <c r="AP597" s="131"/>
    </row>
    <row r="598" s="115" customFormat="1" spans="2:42">
      <c r="B598" s="131"/>
      <c r="C598" s="131"/>
      <c r="D598" s="131"/>
      <c r="E598" s="7"/>
      <c r="H598" s="7"/>
      <c r="I598" s="131"/>
      <c r="J598" s="132"/>
      <c r="K598" s="131"/>
      <c r="L598" s="131"/>
      <c r="M598" s="133"/>
      <c r="O598" s="134"/>
      <c r="P598" s="131"/>
      <c r="Q598" s="131"/>
      <c r="W598" s="131"/>
      <c r="X598" s="131"/>
      <c r="Z598" s="131"/>
      <c r="AA598" s="131"/>
      <c r="AB598" s="135"/>
      <c r="AC598" s="131"/>
      <c r="AD598" s="131"/>
      <c r="AJ598" s="131"/>
      <c r="AK598" s="131"/>
      <c r="AN598" s="135"/>
      <c r="AO598" s="131"/>
      <c r="AP598" s="131"/>
    </row>
    <row r="599" spans="2:42">
      <c r="B599" s="7"/>
      <c r="C599" s="7"/>
      <c r="D599" s="7"/>
      <c r="E599" s="7"/>
      <c r="H599" s="7"/>
      <c r="I599" s="7"/>
      <c r="J599" s="118"/>
      <c r="K599" s="7"/>
      <c r="L599" s="7"/>
      <c r="M599" s="119"/>
      <c r="O599" s="7"/>
      <c r="P599" s="7"/>
      <c r="Q599" s="7"/>
      <c r="W599" s="7"/>
      <c r="X599" s="7"/>
      <c r="Z599" s="7"/>
      <c r="AA599" s="7"/>
      <c r="AC599" s="7"/>
      <c r="AD599" s="7"/>
      <c r="AI599" s="7"/>
      <c r="AJ599" s="7"/>
      <c r="AK599" s="7"/>
      <c r="AO599" s="7"/>
      <c r="AP599" s="7"/>
    </row>
    <row r="600" spans="2:42">
      <c r="B600" s="7"/>
      <c r="C600" s="7"/>
      <c r="D600" s="7"/>
      <c r="E600" s="7"/>
      <c r="H600" s="7"/>
      <c r="I600" s="7"/>
      <c r="J600" s="118"/>
      <c r="K600" s="7"/>
      <c r="L600" s="7"/>
      <c r="M600" s="119"/>
      <c r="O600" s="7"/>
      <c r="P600" s="7"/>
      <c r="Q600" s="7"/>
      <c r="W600" s="7"/>
      <c r="X600" s="7"/>
      <c r="Z600" s="7"/>
      <c r="AA600" s="7"/>
      <c r="AC600" s="7"/>
      <c r="AD600" s="7"/>
      <c r="AI600" s="7"/>
      <c r="AJ600" s="7"/>
      <c r="AK600" s="7"/>
      <c r="AO600" s="7"/>
      <c r="AP600" s="7"/>
    </row>
    <row r="601" spans="2:42">
      <c r="B601" s="7"/>
      <c r="C601" s="7"/>
      <c r="D601" s="7"/>
      <c r="E601" s="7"/>
      <c r="H601" s="7"/>
      <c r="I601" s="7"/>
      <c r="J601" s="118"/>
      <c r="K601" s="7"/>
      <c r="L601" s="7"/>
      <c r="M601" s="119"/>
      <c r="O601" s="7"/>
      <c r="P601" s="7"/>
      <c r="Q601" s="7"/>
      <c r="W601" s="7"/>
      <c r="X601" s="7"/>
      <c r="Z601" s="7"/>
      <c r="AA601" s="7"/>
      <c r="AC601" s="7"/>
      <c r="AD601" s="7"/>
      <c r="AI601" s="7"/>
      <c r="AJ601" s="7"/>
      <c r="AK601" s="7"/>
      <c r="AO601" s="7"/>
      <c r="AP601" s="7"/>
    </row>
    <row r="602" spans="2:42">
      <c r="B602" s="7"/>
      <c r="C602" s="7"/>
      <c r="D602" s="7"/>
      <c r="E602" s="7"/>
      <c r="H602" s="7"/>
      <c r="I602" s="7"/>
      <c r="J602" s="118"/>
      <c r="K602" s="7"/>
      <c r="L602" s="7"/>
      <c r="M602" s="119"/>
      <c r="O602" s="7"/>
      <c r="P602" s="7"/>
      <c r="Q602" s="7"/>
      <c r="W602" s="7"/>
      <c r="X602" s="7"/>
      <c r="Z602" s="7"/>
      <c r="AA602" s="7"/>
      <c r="AC602" s="7"/>
      <c r="AD602" s="7"/>
      <c r="AI602" s="7"/>
      <c r="AJ602" s="7"/>
      <c r="AK602" s="7"/>
      <c r="AO602" s="7"/>
      <c r="AP602" s="7"/>
    </row>
    <row r="603" spans="2:42">
      <c r="B603" s="7"/>
      <c r="C603" s="7"/>
      <c r="D603" s="7"/>
      <c r="E603" s="7"/>
      <c r="H603" s="7"/>
      <c r="I603" s="7"/>
      <c r="J603" s="118"/>
      <c r="K603" s="7"/>
      <c r="L603" s="7"/>
      <c r="M603" s="119"/>
      <c r="O603" s="7"/>
      <c r="P603" s="7"/>
      <c r="Q603" s="7"/>
      <c r="W603" s="7"/>
      <c r="X603" s="7"/>
      <c r="Z603" s="7"/>
      <c r="AA603" s="7"/>
      <c r="AC603" s="7"/>
      <c r="AD603" s="7"/>
      <c r="AI603" s="7"/>
      <c r="AJ603" s="7"/>
      <c r="AK603" s="7"/>
      <c r="AO603" s="7"/>
      <c r="AP603" s="7"/>
    </row>
    <row r="604" spans="2:42">
      <c r="B604" s="7"/>
      <c r="C604" s="7"/>
      <c r="D604" s="7"/>
      <c r="E604" s="7"/>
      <c r="H604" s="7"/>
      <c r="I604" s="7"/>
      <c r="J604" s="118"/>
      <c r="K604" s="7"/>
      <c r="L604" s="7"/>
      <c r="M604" s="119"/>
      <c r="O604" s="7"/>
      <c r="P604" s="7"/>
      <c r="Q604" s="7"/>
      <c r="W604" s="7"/>
      <c r="X604" s="7"/>
      <c r="Z604" s="7"/>
      <c r="AA604" s="7"/>
      <c r="AC604" s="7"/>
      <c r="AD604" s="7"/>
      <c r="AI604" s="7"/>
      <c r="AJ604" s="7"/>
      <c r="AK604" s="7"/>
      <c r="AO604" s="7"/>
      <c r="AP604" s="7"/>
    </row>
    <row r="605" spans="2:42">
      <c r="B605" s="7"/>
      <c r="C605" s="7"/>
      <c r="D605" s="7"/>
      <c r="E605" s="7"/>
      <c r="H605" s="7"/>
      <c r="I605" s="7"/>
      <c r="J605" s="118"/>
      <c r="K605" s="7"/>
      <c r="L605" s="7"/>
      <c r="M605" s="119"/>
      <c r="O605" s="7"/>
      <c r="P605" s="7"/>
      <c r="Q605" s="7"/>
      <c r="W605" s="7"/>
      <c r="X605" s="7"/>
      <c r="Z605" s="7"/>
      <c r="AA605" s="7"/>
      <c r="AC605" s="7"/>
      <c r="AD605" s="7"/>
      <c r="AI605" s="7"/>
      <c r="AJ605" s="7"/>
      <c r="AK605" s="7"/>
      <c r="AO605" s="7"/>
      <c r="AP605" s="7"/>
    </row>
    <row r="606" spans="2:42">
      <c r="B606" s="7"/>
      <c r="C606" s="7"/>
      <c r="D606" s="7"/>
      <c r="E606" s="7"/>
      <c r="H606" s="7"/>
      <c r="I606" s="7"/>
      <c r="J606" s="118"/>
      <c r="K606" s="7"/>
      <c r="L606" s="7"/>
      <c r="M606" s="119"/>
      <c r="O606" s="7"/>
      <c r="P606" s="7"/>
      <c r="Q606" s="7"/>
      <c r="W606" s="7"/>
      <c r="X606" s="7"/>
      <c r="Z606" s="7"/>
      <c r="AA606" s="7"/>
      <c r="AC606" s="7"/>
      <c r="AD606" s="7"/>
      <c r="AI606" s="7"/>
      <c r="AJ606" s="7"/>
      <c r="AK606" s="7"/>
      <c r="AO606" s="7"/>
      <c r="AP606" s="7"/>
    </row>
    <row r="607" spans="2:42">
      <c r="B607" s="7"/>
      <c r="C607" s="7"/>
      <c r="D607" s="7"/>
      <c r="E607" s="7"/>
      <c r="H607" s="7"/>
      <c r="I607" s="7"/>
      <c r="J607" s="118"/>
      <c r="K607" s="7"/>
      <c r="L607" s="7"/>
      <c r="M607" s="119"/>
      <c r="O607" s="7"/>
      <c r="P607" s="7"/>
      <c r="Q607" s="7"/>
      <c r="W607" s="7"/>
      <c r="X607" s="7"/>
      <c r="Z607" s="7"/>
      <c r="AA607" s="7"/>
      <c r="AC607" s="7"/>
      <c r="AD607" s="7"/>
      <c r="AI607" s="7"/>
      <c r="AJ607" s="7"/>
      <c r="AK607" s="7"/>
      <c r="AO607" s="7"/>
      <c r="AP607" s="7"/>
    </row>
    <row r="608" spans="2:42">
      <c r="B608" s="7"/>
      <c r="C608" s="7"/>
      <c r="D608" s="7"/>
      <c r="E608" s="7"/>
      <c r="H608" s="7"/>
      <c r="I608" s="7"/>
      <c r="J608" s="118"/>
      <c r="K608" s="7"/>
      <c r="L608" s="7"/>
      <c r="M608" s="119"/>
      <c r="O608" s="7"/>
      <c r="P608" s="7"/>
      <c r="Q608" s="7"/>
      <c r="W608" s="7"/>
      <c r="X608" s="7"/>
      <c r="Z608" s="7"/>
      <c r="AA608" s="7"/>
      <c r="AC608" s="7"/>
      <c r="AD608" s="7"/>
      <c r="AI608" s="7"/>
      <c r="AJ608" s="7"/>
      <c r="AK608" s="7"/>
      <c r="AO608" s="7"/>
      <c r="AP608" s="7"/>
    </row>
    <row r="609" spans="2:42">
      <c r="B609" s="7"/>
      <c r="C609" s="7"/>
      <c r="D609" s="7"/>
      <c r="E609" s="7"/>
      <c r="H609" s="7"/>
      <c r="I609" s="7"/>
      <c r="J609" s="118"/>
      <c r="K609" s="7"/>
      <c r="L609" s="7"/>
      <c r="M609" s="119"/>
      <c r="O609" s="7"/>
      <c r="P609" s="7"/>
      <c r="Q609" s="7"/>
      <c r="W609" s="7"/>
      <c r="X609" s="7"/>
      <c r="Z609" s="7"/>
      <c r="AA609" s="7"/>
      <c r="AC609" s="7"/>
      <c r="AD609" s="7"/>
      <c r="AI609" s="7"/>
      <c r="AJ609" s="7"/>
      <c r="AK609" s="7"/>
      <c r="AO609" s="7"/>
      <c r="AP609" s="7"/>
    </row>
    <row r="610" spans="2:42">
      <c r="B610" s="7"/>
      <c r="C610" s="7"/>
      <c r="D610" s="7"/>
      <c r="E610" s="7"/>
      <c r="H610" s="7"/>
      <c r="I610" s="7"/>
      <c r="J610" s="118"/>
      <c r="K610" s="7"/>
      <c r="L610" s="7"/>
      <c r="M610" s="119"/>
      <c r="O610" s="7"/>
      <c r="P610" s="7"/>
      <c r="Q610" s="7"/>
      <c r="W610" s="7"/>
      <c r="X610" s="7"/>
      <c r="Z610" s="7"/>
      <c r="AA610" s="7"/>
      <c r="AC610" s="7"/>
      <c r="AD610" s="7"/>
      <c r="AI610" s="7"/>
      <c r="AJ610" s="7"/>
      <c r="AK610" s="7"/>
      <c r="AO610" s="7"/>
      <c r="AP610" s="7"/>
    </row>
    <row r="611" spans="2:42">
      <c r="B611" s="7"/>
      <c r="C611" s="7"/>
      <c r="D611" s="7"/>
      <c r="E611" s="7"/>
      <c r="H611" s="7"/>
      <c r="I611" s="7"/>
      <c r="J611" s="118"/>
      <c r="K611" s="7"/>
      <c r="L611" s="7"/>
      <c r="M611" s="119"/>
      <c r="O611" s="7"/>
      <c r="P611" s="7"/>
      <c r="Q611" s="7"/>
      <c r="W611" s="7"/>
      <c r="X611" s="7"/>
      <c r="Z611" s="7"/>
      <c r="AA611" s="7"/>
      <c r="AC611" s="7"/>
      <c r="AD611" s="7"/>
      <c r="AI611" s="7"/>
      <c r="AJ611" s="7"/>
      <c r="AK611" s="7"/>
      <c r="AO611" s="7"/>
      <c r="AP611" s="7"/>
    </row>
    <row r="612" spans="2:42">
      <c r="B612" s="7"/>
      <c r="C612" s="7"/>
      <c r="D612" s="7"/>
      <c r="E612" s="7"/>
      <c r="H612" s="7"/>
      <c r="I612" s="7"/>
      <c r="J612" s="118"/>
      <c r="K612" s="7"/>
      <c r="L612" s="7"/>
      <c r="M612" s="119"/>
      <c r="O612" s="7"/>
      <c r="P612" s="7"/>
      <c r="Q612" s="7"/>
      <c r="W612" s="7"/>
      <c r="X612" s="7"/>
      <c r="Z612" s="7"/>
      <c r="AA612" s="7"/>
      <c r="AC612" s="7"/>
      <c r="AD612" s="7"/>
      <c r="AI612" s="7"/>
      <c r="AJ612" s="7"/>
      <c r="AK612" s="7"/>
      <c r="AO612" s="7"/>
      <c r="AP612" s="7"/>
    </row>
    <row r="613" spans="2:42">
      <c r="B613" s="118"/>
      <c r="C613" s="7"/>
      <c r="D613" s="7"/>
      <c r="E613" s="7"/>
      <c r="H613" s="7"/>
      <c r="I613" s="118"/>
      <c r="J613" s="118"/>
      <c r="K613" s="7"/>
      <c r="L613" s="7"/>
      <c r="M613" s="119"/>
      <c r="O613" s="7"/>
      <c r="P613" s="7"/>
      <c r="Q613" s="7"/>
      <c r="W613" s="7"/>
      <c r="X613" s="7"/>
      <c r="Z613" s="7"/>
      <c r="AA613" s="7"/>
      <c r="AC613" s="7"/>
      <c r="AD613" s="7"/>
      <c r="AI613" s="7"/>
      <c r="AJ613" s="7"/>
      <c r="AK613" s="7"/>
      <c r="AO613" s="7"/>
      <c r="AP613" s="7"/>
    </row>
    <row r="614" spans="2:42">
      <c r="B614" s="7"/>
      <c r="C614" s="7"/>
      <c r="D614" s="7"/>
      <c r="E614" s="7"/>
      <c r="H614" s="7"/>
      <c r="I614" s="7"/>
      <c r="J614" s="118"/>
      <c r="K614" s="7"/>
      <c r="L614" s="7"/>
      <c r="O614" s="116"/>
      <c r="P614" s="7"/>
      <c r="Q614" s="7"/>
      <c r="V614" s="7"/>
      <c r="W614" s="112"/>
      <c r="X614" s="7"/>
      <c r="Z614" s="7"/>
      <c r="AA614" s="7"/>
      <c r="AC614" s="7"/>
      <c r="AD614" s="7"/>
      <c r="AI614" s="7"/>
      <c r="AJ614" s="7"/>
      <c r="AK614" s="7"/>
      <c r="AO614" s="7"/>
      <c r="AP614" s="7"/>
    </row>
    <row r="615" spans="2:42">
      <c r="B615" s="7"/>
      <c r="C615" s="7"/>
      <c r="D615" s="7"/>
      <c r="E615" s="7"/>
      <c r="H615" s="7"/>
      <c r="I615" s="7"/>
      <c r="J615" s="118"/>
      <c r="K615" s="7"/>
      <c r="L615" s="7"/>
      <c r="P615" s="7"/>
      <c r="Q615" s="7"/>
      <c r="W615" s="7"/>
      <c r="X615" s="7"/>
      <c r="Z615" s="7"/>
      <c r="AA615" s="7"/>
      <c r="AC615" s="7"/>
      <c r="AD615" s="7"/>
      <c r="AI615" s="7"/>
      <c r="AJ615" s="7"/>
      <c r="AK615" s="7"/>
      <c r="AO615" s="7"/>
      <c r="AP615" s="7"/>
    </row>
    <row r="616" spans="2:42">
      <c r="B616" s="7"/>
      <c r="C616" s="7"/>
      <c r="D616" s="7"/>
      <c r="E616" s="7"/>
      <c r="H616" s="7"/>
      <c r="I616" s="7"/>
      <c r="J616" s="118"/>
      <c r="K616" s="7"/>
      <c r="L616" s="7"/>
      <c r="P616" s="7"/>
      <c r="Q616" s="7"/>
      <c r="W616" s="7"/>
      <c r="X616" s="7"/>
      <c r="Z616" s="7"/>
      <c r="AA616" s="7"/>
      <c r="AC616" s="7"/>
      <c r="AD616" s="7"/>
      <c r="AI616" s="7"/>
      <c r="AJ616" s="7"/>
      <c r="AK616" s="7"/>
      <c r="AO616" s="7"/>
      <c r="AP616" s="7"/>
    </row>
    <row r="617" spans="2:42">
      <c r="B617" s="7"/>
      <c r="C617" s="7"/>
      <c r="D617" s="7"/>
      <c r="E617" s="7"/>
      <c r="H617" s="7"/>
      <c r="I617" s="7"/>
      <c r="J617" s="118"/>
      <c r="K617" s="7"/>
      <c r="L617" s="7"/>
      <c r="P617" s="7"/>
      <c r="Q617" s="7"/>
      <c r="W617" s="7"/>
      <c r="X617" s="7"/>
      <c r="Z617" s="7"/>
      <c r="AA617" s="7"/>
      <c r="AC617" s="7"/>
      <c r="AD617" s="7"/>
      <c r="AI617" s="7"/>
      <c r="AJ617" s="7"/>
      <c r="AK617" s="7"/>
      <c r="AO617" s="7"/>
      <c r="AP617" s="7"/>
    </row>
    <row r="618" spans="2:42">
      <c r="B618" s="7"/>
      <c r="C618" s="7"/>
      <c r="D618" s="7"/>
      <c r="E618" s="7"/>
      <c r="H618" s="7"/>
      <c r="I618" s="7"/>
      <c r="J618" s="118"/>
      <c r="K618" s="7"/>
      <c r="L618" s="7"/>
      <c r="P618" s="7"/>
      <c r="Q618" s="7"/>
      <c r="W618" s="7"/>
      <c r="X618" s="7"/>
      <c r="Z618" s="7"/>
      <c r="AA618" s="7"/>
      <c r="AC618" s="7"/>
      <c r="AD618" s="7"/>
      <c r="AI618" s="7"/>
      <c r="AJ618" s="7"/>
      <c r="AK618" s="7"/>
      <c r="AO618" s="7"/>
      <c r="AP618" s="7"/>
    </row>
    <row r="619" spans="2:42">
      <c r="B619" s="7"/>
      <c r="C619" s="7"/>
      <c r="D619" s="7"/>
      <c r="E619" s="7"/>
      <c r="H619" s="7"/>
      <c r="I619" s="7"/>
      <c r="J619" s="118"/>
      <c r="K619" s="7"/>
      <c r="L619" s="7"/>
      <c r="P619" s="7"/>
      <c r="Q619" s="7"/>
      <c r="W619" s="7"/>
      <c r="X619" s="7"/>
      <c r="Z619" s="7"/>
      <c r="AA619" s="7"/>
      <c r="AC619" s="7"/>
      <c r="AD619" s="7"/>
      <c r="AI619" s="7"/>
      <c r="AJ619" s="7"/>
      <c r="AK619" s="7"/>
      <c r="AO619" s="7"/>
      <c r="AP619" s="7"/>
    </row>
    <row r="620" spans="2:42">
      <c r="B620" s="7"/>
      <c r="C620" s="7"/>
      <c r="D620" s="7"/>
      <c r="E620" s="7"/>
      <c r="H620" s="7"/>
      <c r="I620" s="7"/>
      <c r="J620" s="118"/>
      <c r="K620" s="7"/>
      <c r="L620" s="7"/>
      <c r="P620" s="7"/>
      <c r="Q620" s="7"/>
      <c r="W620" s="7"/>
      <c r="X620" s="7"/>
      <c r="Z620" s="7"/>
      <c r="AA620" s="7"/>
      <c r="AC620" s="7"/>
      <c r="AD620" s="7"/>
      <c r="AI620" s="7"/>
      <c r="AJ620" s="7"/>
      <c r="AK620" s="7"/>
      <c r="AO620" s="7"/>
      <c r="AP620" s="7"/>
    </row>
    <row r="621" spans="2:42">
      <c r="B621" s="7"/>
      <c r="C621" s="7"/>
      <c r="D621" s="7"/>
      <c r="E621" s="7"/>
      <c r="H621" s="7"/>
      <c r="I621" s="7"/>
      <c r="J621" s="118"/>
      <c r="K621" s="7"/>
      <c r="L621" s="7"/>
      <c r="P621" s="7"/>
      <c r="Q621" s="7"/>
      <c r="W621" s="7"/>
      <c r="X621" s="7"/>
      <c r="Z621" s="7"/>
      <c r="AA621" s="7"/>
      <c r="AC621" s="7"/>
      <c r="AD621" s="7"/>
      <c r="AI621" s="7"/>
      <c r="AJ621" s="7"/>
      <c r="AK621" s="7"/>
      <c r="AO621" s="7"/>
      <c r="AP621" s="7"/>
    </row>
    <row r="622" spans="2:42">
      <c r="B622" s="7"/>
      <c r="C622" s="7"/>
      <c r="D622" s="7"/>
      <c r="E622" s="7"/>
      <c r="H622" s="7"/>
      <c r="I622" s="7"/>
      <c r="J622" s="118"/>
      <c r="K622" s="7"/>
      <c r="L622" s="7"/>
      <c r="P622" s="7"/>
      <c r="Q622" s="7"/>
      <c r="W622" s="7"/>
      <c r="X622" s="7"/>
      <c r="Z622" s="7"/>
      <c r="AA622" s="7"/>
      <c r="AC622" s="7"/>
      <c r="AD622" s="7"/>
      <c r="AI622" s="7"/>
      <c r="AJ622" s="7"/>
      <c r="AK622" s="7"/>
      <c r="AO622" s="7"/>
      <c r="AP622" s="7"/>
    </row>
    <row r="623" spans="2:37">
      <c r="B623" s="7"/>
      <c r="C623" s="7"/>
      <c r="D623" s="7"/>
      <c r="E623" s="7"/>
      <c r="H623" s="7"/>
      <c r="I623" s="7"/>
      <c r="J623" s="118"/>
      <c r="K623" s="7"/>
      <c r="L623" s="7"/>
      <c r="P623" s="7"/>
      <c r="Q623" s="7"/>
      <c r="W623" s="7"/>
      <c r="X623" s="7"/>
      <c r="Z623" s="7"/>
      <c r="AA623" s="7"/>
      <c r="AC623" s="7"/>
      <c r="AD623" s="7"/>
      <c r="AI623" s="7"/>
      <c r="AJ623" s="7"/>
      <c r="AK623" s="7"/>
    </row>
    <row r="624" spans="2:42">
      <c r="B624" s="7"/>
      <c r="C624" s="7"/>
      <c r="D624" s="7"/>
      <c r="E624" s="7"/>
      <c r="H624" s="7"/>
      <c r="I624" s="7"/>
      <c r="J624" s="118"/>
      <c r="K624" s="7"/>
      <c r="L624" s="7"/>
      <c r="P624" s="7"/>
      <c r="Q624" s="7"/>
      <c r="R624" s="112"/>
      <c r="S624" s="112"/>
      <c r="T624" s="112"/>
      <c r="W624" s="7"/>
      <c r="X624" s="7"/>
      <c r="Z624" s="7"/>
      <c r="AA624" s="7"/>
      <c r="AC624" s="7"/>
      <c r="AD624" s="7"/>
      <c r="AI624" s="7"/>
      <c r="AJ624" s="7"/>
      <c r="AK624" s="7"/>
      <c r="AO624" s="7"/>
      <c r="AP624" s="7"/>
    </row>
    <row r="625" spans="2:42">
      <c r="B625" s="7"/>
      <c r="C625" s="7"/>
      <c r="D625" s="7"/>
      <c r="E625" s="7"/>
      <c r="H625" s="7"/>
      <c r="I625" s="7"/>
      <c r="J625" s="118"/>
      <c r="K625" s="7"/>
      <c r="L625" s="7"/>
      <c r="P625" s="7"/>
      <c r="Q625" s="7"/>
      <c r="R625" s="112"/>
      <c r="S625" s="112"/>
      <c r="T625" s="112"/>
      <c r="W625" s="7"/>
      <c r="X625" s="7"/>
      <c r="Z625" s="7"/>
      <c r="AA625" s="7"/>
      <c r="AC625" s="7"/>
      <c r="AD625" s="7"/>
      <c r="AJ625" s="7"/>
      <c r="AK625" s="7"/>
      <c r="AO625" s="7"/>
      <c r="AP625" s="7"/>
    </row>
    <row r="626" spans="2:37">
      <c r="B626" s="7"/>
      <c r="C626" s="7"/>
      <c r="D626" s="7"/>
      <c r="E626" s="7"/>
      <c r="H626" s="7"/>
      <c r="I626" s="7"/>
      <c r="J626" s="118"/>
      <c r="K626" s="7"/>
      <c r="L626" s="7"/>
      <c r="P626" s="7"/>
      <c r="Q626" s="7"/>
      <c r="R626" s="112"/>
      <c r="S626" s="112"/>
      <c r="T626" s="112"/>
      <c r="W626" s="7"/>
      <c r="X626" s="7"/>
      <c r="Z626" s="7"/>
      <c r="AA626" s="7"/>
      <c r="AC626" s="7"/>
      <c r="AD626" s="7"/>
      <c r="AJ626" s="7"/>
      <c r="AK626" s="7"/>
    </row>
    <row r="627" spans="2:37">
      <c r="B627" s="7"/>
      <c r="C627" s="7"/>
      <c r="D627" s="7"/>
      <c r="E627" s="7"/>
      <c r="H627" s="7"/>
      <c r="I627" s="7"/>
      <c r="J627" s="118"/>
      <c r="K627" s="7"/>
      <c r="L627" s="7"/>
      <c r="P627" s="7"/>
      <c r="Q627" s="7"/>
      <c r="R627" s="112"/>
      <c r="S627" s="112"/>
      <c r="T627" s="112"/>
      <c r="W627" s="7"/>
      <c r="X627" s="7"/>
      <c r="Z627" s="7"/>
      <c r="AA627" s="7"/>
      <c r="AC627" s="7"/>
      <c r="AD627" s="7"/>
      <c r="AJ627" s="7"/>
      <c r="AK627" s="7"/>
    </row>
    <row r="628" spans="2:37">
      <c r="B628" s="7"/>
      <c r="C628" s="7"/>
      <c r="D628" s="7"/>
      <c r="E628" s="7"/>
      <c r="H628" s="7"/>
      <c r="I628" s="7"/>
      <c r="J628" s="118"/>
      <c r="K628" s="7"/>
      <c r="L628" s="7"/>
      <c r="P628" s="7"/>
      <c r="Q628" s="7"/>
      <c r="R628" s="112"/>
      <c r="S628" s="112"/>
      <c r="T628" s="112"/>
      <c r="W628" s="7"/>
      <c r="X628" s="7"/>
      <c r="Z628" s="7"/>
      <c r="AA628" s="7"/>
      <c r="AC628" s="7"/>
      <c r="AD628" s="7"/>
      <c r="AJ628" s="7"/>
      <c r="AK628" s="7"/>
    </row>
    <row r="629" spans="2:37">
      <c r="B629" s="7"/>
      <c r="C629" s="7"/>
      <c r="D629" s="7"/>
      <c r="E629" s="7"/>
      <c r="H629" s="7"/>
      <c r="I629" s="7"/>
      <c r="J629" s="118"/>
      <c r="K629" s="7"/>
      <c r="L629" s="7"/>
      <c r="P629" s="7"/>
      <c r="Q629" s="7"/>
      <c r="R629" s="112"/>
      <c r="S629" s="112"/>
      <c r="T629" s="112"/>
      <c r="W629" s="7"/>
      <c r="X629" s="7"/>
      <c r="Z629" s="7"/>
      <c r="AA629" s="7"/>
      <c r="AC629" s="7"/>
      <c r="AD629" s="7"/>
      <c r="AJ629" s="7"/>
      <c r="AK629" s="7"/>
    </row>
    <row r="630" spans="2:37">
      <c r="B630" s="7"/>
      <c r="C630" s="7"/>
      <c r="D630" s="7"/>
      <c r="E630" s="7"/>
      <c r="H630" s="7"/>
      <c r="I630" s="7"/>
      <c r="J630" s="118"/>
      <c r="K630" s="7"/>
      <c r="L630" s="7"/>
      <c r="P630" s="7"/>
      <c r="Q630" s="7"/>
      <c r="R630" s="112"/>
      <c r="S630" s="112"/>
      <c r="T630" s="112"/>
      <c r="W630" s="7"/>
      <c r="X630" s="7"/>
      <c r="Z630" s="7"/>
      <c r="AA630" s="7"/>
      <c r="AC630" s="7"/>
      <c r="AD630" s="7"/>
      <c r="AJ630" s="7"/>
      <c r="AK630" s="7"/>
    </row>
    <row r="631" spans="2:37">
      <c r="B631" s="7"/>
      <c r="C631" s="7"/>
      <c r="D631" s="7"/>
      <c r="E631" s="7"/>
      <c r="H631" s="7"/>
      <c r="I631" s="7"/>
      <c r="J631" s="118"/>
      <c r="K631" s="7"/>
      <c r="L631" s="7"/>
      <c r="P631" s="7"/>
      <c r="Q631" s="7"/>
      <c r="R631" s="112"/>
      <c r="S631" s="112"/>
      <c r="T631" s="112"/>
      <c r="W631" s="7"/>
      <c r="X631" s="7"/>
      <c r="Z631" s="7"/>
      <c r="AA631" s="7"/>
      <c r="AC631" s="7"/>
      <c r="AD631" s="7"/>
      <c r="AJ631" s="7"/>
      <c r="AK631" s="7"/>
    </row>
    <row r="632" spans="2:37">
      <c r="B632" s="7"/>
      <c r="C632" s="7"/>
      <c r="D632" s="7"/>
      <c r="E632" s="7"/>
      <c r="H632" s="7"/>
      <c r="I632" s="7"/>
      <c r="J632" s="118"/>
      <c r="K632" s="7"/>
      <c r="L632" s="7"/>
      <c r="P632" s="7"/>
      <c r="Q632" s="7"/>
      <c r="R632" s="112"/>
      <c r="S632" s="112"/>
      <c r="T632" s="112"/>
      <c r="W632" s="7"/>
      <c r="X632" s="7"/>
      <c r="Z632" s="7"/>
      <c r="AA632" s="7"/>
      <c r="AC632" s="7"/>
      <c r="AD632" s="7"/>
      <c r="AJ632" s="7"/>
      <c r="AK632" s="7"/>
    </row>
    <row r="633" spans="2:41">
      <c r="B633" s="7"/>
      <c r="C633" s="7"/>
      <c r="D633" s="7"/>
      <c r="E633" s="7"/>
      <c r="H633" s="7"/>
      <c r="I633" s="116"/>
      <c r="J633" s="118"/>
      <c r="K633" s="7"/>
      <c r="M633" s="124"/>
      <c r="W633" s="7"/>
      <c r="Z633" s="7"/>
      <c r="AA633" s="7"/>
      <c r="AC633" s="7"/>
      <c r="AD633" s="7"/>
      <c r="AI633" s="7"/>
      <c r="AO633" s="7"/>
    </row>
    <row r="634" spans="2:41">
      <c r="B634" s="7"/>
      <c r="C634" s="7"/>
      <c r="D634" s="7"/>
      <c r="E634" s="7"/>
      <c r="H634" s="7"/>
      <c r="I634" s="116"/>
      <c r="J634" s="118"/>
      <c r="K634" s="7"/>
      <c r="M634" s="124"/>
      <c r="W634" s="7"/>
      <c r="Z634" s="7"/>
      <c r="AA634" s="7"/>
      <c r="AC634" s="7"/>
      <c r="AD634" s="7"/>
      <c r="AI634" s="7"/>
      <c r="AO634" s="7"/>
    </row>
    <row r="635" spans="2:41">
      <c r="B635" s="7"/>
      <c r="C635" s="7"/>
      <c r="D635" s="7"/>
      <c r="E635" s="7"/>
      <c r="H635" s="7"/>
      <c r="I635" s="116"/>
      <c r="J635" s="118"/>
      <c r="K635" s="7"/>
      <c r="M635" s="124"/>
      <c r="W635" s="7"/>
      <c r="Z635" s="7"/>
      <c r="AA635" s="7"/>
      <c r="AC635" s="7"/>
      <c r="AD635" s="7"/>
      <c r="AI635" s="7"/>
      <c r="AO635" s="7"/>
    </row>
    <row r="636" spans="2:41">
      <c r="B636" s="7"/>
      <c r="C636" s="7"/>
      <c r="D636" s="7"/>
      <c r="E636" s="7"/>
      <c r="H636" s="7"/>
      <c r="I636" s="116"/>
      <c r="J636" s="118"/>
      <c r="K636" s="7"/>
      <c r="M636" s="124"/>
      <c r="W636" s="7"/>
      <c r="Z636" s="7"/>
      <c r="AA636" s="7"/>
      <c r="AC636" s="7"/>
      <c r="AD636" s="7"/>
      <c r="AI636" s="7"/>
      <c r="AO636" s="7"/>
    </row>
    <row r="637" spans="2:41">
      <c r="B637" s="7"/>
      <c r="C637" s="7"/>
      <c r="D637" s="7"/>
      <c r="E637" s="7"/>
      <c r="H637" s="7"/>
      <c r="I637" s="116"/>
      <c r="J637" s="118"/>
      <c r="K637" s="7"/>
      <c r="M637" s="124"/>
      <c r="W637" s="7"/>
      <c r="Z637" s="7"/>
      <c r="AA637" s="7"/>
      <c r="AC637" s="7"/>
      <c r="AD637" s="7"/>
      <c r="AI637" s="7"/>
      <c r="AO637" s="7"/>
    </row>
    <row r="638" spans="2:41">
      <c r="B638" s="7"/>
      <c r="C638" s="7"/>
      <c r="D638" s="7"/>
      <c r="E638" s="7"/>
      <c r="H638" s="7"/>
      <c r="I638" s="116"/>
      <c r="J638" s="118"/>
      <c r="K638" s="7"/>
      <c r="M638" s="124"/>
      <c r="W638" s="7"/>
      <c r="Z638" s="7"/>
      <c r="AA638" s="7"/>
      <c r="AC638" s="7"/>
      <c r="AD638" s="7"/>
      <c r="AI638" s="7"/>
      <c r="AO638" s="7"/>
    </row>
    <row r="639" spans="2:41">
      <c r="B639" s="7"/>
      <c r="C639" s="7"/>
      <c r="D639" s="7"/>
      <c r="E639" s="7"/>
      <c r="H639" s="7"/>
      <c r="I639" s="116"/>
      <c r="J639" s="118"/>
      <c r="K639" s="7"/>
      <c r="M639" s="124"/>
      <c r="W639" s="7"/>
      <c r="Z639" s="7"/>
      <c r="AA639" s="7"/>
      <c r="AC639" s="7"/>
      <c r="AD639" s="7"/>
      <c r="AI639" s="7"/>
      <c r="AO639" s="7"/>
    </row>
    <row r="640" spans="2:41">
      <c r="B640" s="7"/>
      <c r="C640" s="7"/>
      <c r="D640" s="7"/>
      <c r="E640" s="7"/>
      <c r="H640" s="7"/>
      <c r="I640" s="116"/>
      <c r="J640" s="118"/>
      <c r="K640" s="7"/>
      <c r="M640" s="124"/>
      <c r="W640" s="7"/>
      <c r="Z640" s="7"/>
      <c r="AA640" s="7"/>
      <c r="AC640" s="7"/>
      <c r="AD640" s="7"/>
      <c r="AI640" s="7"/>
      <c r="AO640" s="7"/>
    </row>
    <row r="641" spans="2:11">
      <c r="B641" s="7"/>
      <c r="C641" s="7"/>
      <c r="D641" s="7"/>
      <c r="E641" s="7"/>
      <c r="H641" s="7"/>
      <c r="J641" s="118"/>
      <c r="K641" s="7"/>
    </row>
    <row r="642" spans="2:11">
      <c r="B642" s="7"/>
      <c r="C642" s="7"/>
      <c r="D642" s="7"/>
      <c r="E642" s="7"/>
      <c r="H642" s="7"/>
      <c r="J642" s="118"/>
      <c r="K642" s="112"/>
    </row>
    <row r="643" spans="5:10">
      <c r="E643" s="7"/>
      <c r="J643" s="118"/>
    </row>
    <row r="644" spans="5:10">
      <c r="E644" s="7"/>
      <c r="J644" s="118"/>
    </row>
    <row r="645" spans="5:10">
      <c r="E645" s="7"/>
      <c r="J645" s="118"/>
    </row>
    <row r="646" spans="5:10">
      <c r="E646" s="7"/>
      <c r="J646" s="118"/>
    </row>
    <row r="647" spans="5:10">
      <c r="E647" s="7"/>
      <c r="J647" s="118"/>
    </row>
    <row r="648" spans="5:10">
      <c r="E648" s="7"/>
      <c r="J648" s="118"/>
    </row>
    <row r="649" spans="5:10">
      <c r="E649" s="7"/>
      <c r="J649" s="118"/>
    </row>
    <row r="650" spans="5:10">
      <c r="E650" s="7"/>
      <c r="J650" s="118"/>
    </row>
    <row r="651" spans="5:10">
      <c r="E651" s="7"/>
      <c r="J651" s="118"/>
    </row>
    <row r="652" spans="5:10">
      <c r="E652" s="7"/>
      <c r="J652" s="118"/>
    </row>
    <row r="653" spans="5:10">
      <c r="E653" s="7"/>
      <c r="J653" s="118"/>
    </row>
    <row r="654" spans="5:10">
      <c r="E654" s="7"/>
      <c r="J654" s="118"/>
    </row>
    <row r="655" spans="5:10">
      <c r="E655" s="7"/>
      <c r="J655" s="118"/>
    </row>
    <row r="656" spans="5:10">
      <c r="E656" s="7"/>
      <c r="J656" s="118"/>
    </row>
    <row r="657" spans="5:10">
      <c r="E657" s="7"/>
      <c r="J657" s="118"/>
    </row>
    <row r="658" spans="5:10">
      <c r="E658" s="7"/>
      <c r="J658" s="118"/>
    </row>
    <row r="659" spans="5:10">
      <c r="E659" s="7"/>
      <c r="J659" s="118"/>
    </row>
    <row r="660" spans="5:10">
      <c r="E660" s="7"/>
      <c r="J660" s="118"/>
    </row>
    <row r="661" spans="5:10">
      <c r="E661" s="7"/>
      <c r="J661" s="118"/>
    </row>
    <row r="662" spans="5:10">
      <c r="E662" s="7"/>
      <c r="J662" s="118"/>
    </row>
    <row r="663" spans="5:10">
      <c r="E663" s="7"/>
      <c r="J663" s="118"/>
    </row>
    <row r="664" spans="5:10">
      <c r="E664" s="7"/>
      <c r="J664" s="118"/>
    </row>
    <row r="665" spans="5:10">
      <c r="E665" s="7"/>
      <c r="J665" s="118"/>
    </row>
    <row r="666" spans="5:10">
      <c r="E666" s="7"/>
      <c r="J666" s="118"/>
    </row>
    <row r="667" spans="5:10">
      <c r="E667" s="7"/>
      <c r="J667" s="118"/>
    </row>
    <row r="668" spans="5:10">
      <c r="E668" s="7"/>
      <c r="J668" s="118"/>
    </row>
    <row r="669" spans="5:10">
      <c r="E669" s="7"/>
      <c r="J669" s="118"/>
    </row>
    <row r="670" spans="5:10">
      <c r="E670" s="7"/>
      <c r="J670" s="118"/>
    </row>
    <row r="671" spans="5:10">
      <c r="E671" s="7"/>
      <c r="J671" s="118"/>
    </row>
    <row r="672" spans="5:10">
      <c r="E672" s="7"/>
      <c r="J672" s="118"/>
    </row>
    <row r="673" spans="5:10">
      <c r="E673" s="7"/>
      <c r="J673" s="118"/>
    </row>
    <row r="674" spans="5:10">
      <c r="E674" s="7"/>
      <c r="J674" s="118"/>
    </row>
    <row r="675" spans="5:10">
      <c r="E675" s="7"/>
      <c r="J675" s="118"/>
    </row>
    <row r="676" spans="5:10">
      <c r="E676" s="7"/>
      <c r="J676" s="118"/>
    </row>
    <row r="677" spans="5:10">
      <c r="E677" s="7"/>
      <c r="J677" s="118"/>
    </row>
    <row r="678" spans="5:10">
      <c r="E678" s="7"/>
      <c r="J678" s="118"/>
    </row>
    <row r="679" spans="5:10">
      <c r="E679" s="7"/>
      <c r="J679" s="118"/>
    </row>
    <row r="680" spans="5:10">
      <c r="E680" s="7"/>
      <c r="J680" s="118"/>
    </row>
    <row r="681" spans="5:5">
      <c r="E681" s="7"/>
    </row>
    <row r="682" spans="5:5">
      <c r="E682" s="7"/>
    </row>
  </sheetData>
  <autoFilter ref="A1:AP680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16"/>
  <sheetViews>
    <sheetView workbookViewId="0">
      <pane xSplit="5" ySplit="2" topLeftCell="L213" activePane="bottomRight" state="frozen"/>
      <selection/>
      <selection pane="topRight"/>
      <selection pane="bottomLeft"/>
      <selection pane="bottomRight" activeCell="T182" sqref="T182"/>
    </sheetView>
  </sheetViews>
  <sheetFormatPr defaultColWidth="9" defaultRowHeight="13.8"/>
  <cols>
    <col min="1" max="1" width="2.12962962962963" style="13" customWidth="1"/>
    <col min="2" max="2" width="5.12962962962963" style="13" customWidth="1"/>
    <col min="3" max="3" width="27.1296296296296" style="13" customWidth="1"/>
    <col min="4" max="5" width="4.25" style="13" customWidth="1"/>
    <col min="6" max="6" width="8.12962962962963" style="14" customWidth="1"/>
    <col min="7" max="8" width="6.12962962962963" style="14" customWidth="1"/>
    <col min="9" max="9" width="6.62962962962963" style="14" customWidth="1"/>
    <col min="10" max="10" width="4.87962962962963" style="14" customWidth="1"/>
    <col min="11" max="11" width="5.12962962962963" style="14" customWidth="1"/>
    <col min="12" max="12" width="4.62962962962963" style="14" customWidth="1"/>
    <col min="13" max="13" width="5.25" style="14" customWidth="1"/>
    <col min="14" max="15" width="4.37962962962963" style="14" customWidth="1"/>
    <col min="16" max="19" width="5" style="37" customWidth="1"/>
    <col min="20" max="20" width="37.6296296296296" style="38" customWidth="1"/>
    <col min="21" max="21" width="50.3796296296296" style="39" customWidth="1"/>
    <col min="22" max="22" width="8.62962962962963" style="40" customWidth="1"/>
    <col min="23" max="43" width="8.62962962962963" style="41" customWidth="1"/>
    <col min="44" max="45" width="8.62962962962963" style="42" customWidth="1"/>
    <col min="46" max="91" width="8.62962962962963" style="41" customWidth="1"/>
    <col min="92" max="92" width="9.62962962962963" style="12" hidden="1" customWidth="1"/>
    <col min="93" max="93" width="14.5" style="12" hidden="1" customWidth="1"/>
    <col min="94" max="94" width="12" style="12" hidden="1" customWidth="1"/>
    <col min="95" max="95" width="13.1296296296296" style="12" hidden="1" customWidth="1"/>
    <col min="96" max="98" width="15.3796296296296" style="12" hidden="1" customWidth="1"/>
    <col min="99" max="99" width="46" style="5" customWidth="1"/>
    <col min="100" max="104" width="9" style="5"/>
    <col min="105" max="105" width="63" style="5" customWidth="1"/>
    <col min="106" max="119" width="3.62962962962963" style="43" customWidth="1"/>
    <col min="120" max="120" width="14.8796296296296" style="43" customWidth="1"/>
    <col min="121" max="131" width="3.62962962962963" style="43" customWidth="1"/>
    <col min="132" max="132" width="19.8796296296296" style="43" customWidth="1"/>
    <col min="133" max="133" width="9" style="43" customWidth="1"/>
    <col min="134" max="146" width="3.62962962962963" style="43" customWidth="1"/>
    <col min="147" max="147" width="4" style="5" customWidth="1"/>
    <col min="148" max="175" width="3.62962962962963" style="5" customWidth="1"/>
    <col min="176" max="16384" width="9" style="5"/>
  </cols>
  <sheetData>
    <row r="1" spans="6:174">
      <c r="F1" s="44" t="s">
        <v>95</v>
      </c>
      <c r="G1" s="44"/>
      <c r="H1" s="44"/>
      <c r="I1" s="44"/>
      <c r="J1" s="44"/>
      <c r="K1" s="44"/>
      <c r="L1" s="44"/>
      <c r="M1" s="44"/>
      <c r="N1" s="44"/>
      <c r="O1" s="44"/>
      <c r="P1" s="51" t="s">
        <v>96</v>
      </c>
      <c r="Q1" s="55"/>
      <c r="R1" s="55"/>
      <c r="S1" s="52"/>
      <c r="T1" s="56" t="s">
        <v>7</v>
      </c>
      <c r="U1" s="56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5">
        <v>23</v>
      </c>
      <c r="AS1" s="65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5" t="s">
        <v>97</v>
      </c>
      <c r="CR1" s="68" t="s">
        <v>97</v>
      </c>
      <c r="CS1" s="70"/>
      <c r="CT1" s="70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6" t="s">
        <v>98</v>
      </c>
      <c r="FK1" s="36" t="s">
        <v>98</v>
      </c>
      <c r="FL1" s="36" t="s">
        <v>98</v>
      </c>
      <c r="FM1" s="36" t="s">
        <v>98</v>
      </c>
      <c r="FN1" s="36" t="s">
        <v>98</v>
      </c>
      <c r="FO1" s="36" t="s">
        <v>98</v>
      </c>
      <c r="FP1" s="36" t="s">
        <v>98</v>
      </c>
      <c r="FQ1" s="36" t="s">
        <v>98</v>
      </c>
      <c r="FR1" s="36" t="s">
        <v>98</v>
      </c>
    </row>
    <row r="2" ht="14.4" spans="2:175">
      <c r="B2" s="13" t="s">
        <v>99</v>
      </c>
      <c r="D2" s="13" t="s">
        <v>100</v>
      </c>
      <c r="E2" s="13" t="s">
        <v>101</v>
      </c>
      <c r="F2" s="14" t="s">
        <v>102</v>
      </c>
      <c r="G2" s="14" t="s">
        <v>103</v>
      </c>
      <c r="H2" s="14" t="s">
        <v>104</v>
      </c>
      <c r="I2" s="14" t="s">
        <v>105</v>
      </c>
      <c r="J2" s="14" t="s">
        <v>106</v>
      </c>
      <c r="K2" s="14" t="s">
        <v>107</v>
      </c>
      <c r="L2" s="14" t="s">
        <v>108</v>
      </c>
      <c r="M2" s="14" t="s">
        <v>109</v>
      </c>
      <c r="N2" s="14" t="s">
        <v>110</v>
      </c>
      <c r="O2" s="14" t="s">
        <v>111</v>
      </c>
      <c r="P2" s="52" t="s">
        <v>102</v>
      </c>
      <c r="Q2" s="52" t="s">
        <v>112</v>
      </c>
      <c r="R2" s="52" t="s">
        <v>113</v>
      </c>
      <c r="S2" s="52" t="s">
        <v>114</v>
      </c>
      <c r="T2" s="57" t="s">
        <v>115</v>
      </c>
      <c r="U2" s="39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5" t="s">
        <v>138</v>
      </c>
      <c r="AS2" s="65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7" t="s">
        <v>152</v>
      </c>
      <c r="BM2" s="67" t="s">
        <v>153</v>
      </c>
      <c r="BN2" s="67" t="s">
        <v>154</v>
      </c>
      <c r="BO2" s="67"/>
      <c r="BP2" s="67" t="s">
        <v>155</v>
      </c>
      <c r="BQ2" s="67" t="s">
        <v>156</v>
      </c>
      <c r="BR2" s="67" t="s">
        <v>157</v>
      </c>
      <c r="BS2"/>
      <c r="BT2" s="3" t="s">
        <v>158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2" t="s">
        <v>159</v>
      </c>
      <c r="CO2" s="12" t="s">
        <v>160</v>
      </c>
      <c r="CP2" s="12" t="s">
        <v>161</v>
      </c>
      <c r="CQ2" s="12" t="s">
        <v>162</v>
      </c>
      <c r="CR2" s="12" t="s">
        <v>163</v>
      </c>
      <c r="CS2" s="12" t="s">
        <v>164</v>
      </c>
      <c r="CT2" s="12" t="s">
        <v>165</v>
      </c>
      <c r="DB2" s="72" t="str">
        <f>V2</f>
        <v>攻击</v>
      </c>
      <c r="DC2" s="72" t="str">
        <f t="shared" ref="DC2:FN2" si="0">W2</f>
        <v>业力</v>
      </c>
      <c r="DD2" s="72" t="str">
        <f t="shared" si="0"/>
        <v>护甲</v>
      </c>
      <c r="DE2" s="72" t="str">
        <f t="shared" si="0"/>
        <v>法抗</v>
      </c>
      <c r="DF2" s="72" t="str">
        <f t="shared" si="0"/>
        <v>生命值</v>
      </c>
      <c r="DG2" s="72" t="str">
        <f t="shared" si="0"/>
        <v>魔法值</v>
      </c>
      <c r="DH2" s="72" t="str">
        <f t="shared" si="0"/>
        <v>生命回复</v>
      </c>
      <c r="DI2" s="72" t="str">
        <f t="shared" si="0"/>
        <v>魔法回复</v>
      </c>
      <c r="DJ2" s="72" t="str">
        <f t="shared" si="0"/>
        <v>攻速</v>
      </c>
      <c r="DK2" s="72" t="str">
        <f t="shared" si="0"/>
        <v>闪避</v>
      </c>
      <c r="DL2" s="72" t="str">
        <f t="shared" si="0"/>
        <v>免伤</v>
      </c>
      <c r="DM2" s="72" t="str">
        <f t="shared" si="0"/>
        <v>普攻伤害</v>
      </c>
      <c r="DN2" s="72" t="str">
        <f t="shared" si="0"/>
        <v>物理穿透</v>
      </c>
      <c r="DO2" s="72" t="str">
        <f t="shared" si="0"/>
        <v>法术穿透</v>
      </c>
      <c r="DP2" s="72" t="str">
        <f t="shared" si="0"/>
        <v>物理伤害</v>
      </c>
      <c r="DQ2" s="72" t="str">
        <f t="shared" si="0"/>
        <v>法术伤害</v>
      </c>
      <c r="DR2" s="72" t="str">
        <f t="shared" si="0"/>
        <v>伤害加成</v>
      </c>
      <c r="DS2" s="72" t="str">
        <f t="shared" si="0"/>
        <v>伤害减免</v>
      </c>
      <c r="DT2" s="72" t="str">
        <f t="shared" si="0"/>
        <v>暴击</v>
      </c>
      <c r="DU2" s="72" t="str">
        <f t="shared" si="0"/>
        <v>暴伤</v>
      </c>
      <c r="DV2" s="72" t="str">
        <f t="shared" si="0"/>
        <v>伤害吸取</v>
      </c>
      <c r="DW2" s="72" t="str">
        <f t="shared" si="0"/>
        <v>分裂</v>
      </c>
      <c r="DX2" s="72" t="str">
        <f t="shared" si="0"/>
        <v>致命概率</v>
      </c>
      <c r="DY2" s="72" t="str">
        <f t="shared" si="0"/>
        <v>致命倍率</v>
      </c>
      <c r="DZ2" s="72" t="str">
        <f t="shared" si="0"/>
        <v>冷却缩减</v>
      </c>
      <c r="EA2" s="72" t="str">
        <f t="shared" si="0"/>
        <v>冷却降低</v>
      </c>
      <c r="EB2" s="72" t="str">
        <f t="shared" si="0"/>
        <v>触发概率</v>
      </c>
      <c r="EC2" s="72" t="str">
        <f t="shared" si="0"/>
        <v>生命恢复%</v>
      </c>
      <c r="ED2" s="72" t="str">
        <f t="shared" si="0"/>
        <v>魔法恢复%</v>
      </c>
      <c r="EE2" s="72">
        <f t="shared" si="0"/>
        <v>0</v>
      </c>
      <c r="EF2" s="72" t="str">
        <f t="shared" si="0"/>
        <v>生命%</v>
      </c>
      <c r="EG2" s="72" t="str">
        <f t="shared" si="0"/>
        <v>攻击%</v>
      </c>
      <c r="EH2" s="72" t="str">
        <f t="shared" si="0"/>
        <v>法强%</v>
      </c>
      <c r="EI2" s="72" t="str">
        <f t="shared" si="0"/>
        <v>攻速-%</v>
      </c>
      <c r="EJ2" s="72" t="str">
        <f t="shared" si="0"/>
        <v>冷却-%</v>
      </c>
      <c r="EK2" s="72">
        <f t="shared" si="0"/>
        <v>0</v>
      </c>
      <c r="EL2" s="72">
        <f t="shared" si="0"/>
        <v>0</v>
      </c>
      <c r="EM2" s="72">
        <f t="shared" si="0"/>
        <v>0</v>
      </c>
      <c r="EN2" s="72">
        <f t="shared" si="0"/>
        <v>0</v>
      </c>
      <c r="EO2" s="72" t="str">
        <f t="shared" si="0"/>
        <v>元神力</v>
      </c>
      <c r="EP2" s="72" t="str">
        <f t="shared" si="0"/>
        <v>金币加成</v>
      </c>
      <c r="EQ2" s="72">
        <f t="shared" si="0"/>
        <v>0</v>
      </c>
      <c r="ER2" s="72" t="str">
        <f t="shared" si="0"/>
        <v>杀敌攻击</v>
      </c>
      <c r="ES2" s="72" t="str">
        <f t="shared" si="0"/>
        <v>杀敌业力</v>
      </c>
      <c r="ET2" s="72" t="str">
        <f t="shared" si="0"/>
        <v>杀敌生命</v>
      </c>
      <c r="EU2" s="72">
        <f t="shared" si="0"/>
        <v>0</v>
      </c>
      <c r="EV2" s="72" t="str">
        <f t="shared" si="0"/>
        <v>每秒攻击</v>
      </c>
      <c r="EW2" s="72" t="str">
        <f t="shared" si="0"/>
        <v>每秒业力</v>
      </c>
      <c r="EX2" s="72" t="str">
        <f t="shared" si="0"/>
        <v>每秒生命</v>
      </c>
      <c r="EY2" s="72">
        <f t="shared" si="0"/>
        <v>0</v>
      </c>
      <c r="EZ2" s="72" t="str">
        <f t="shared" si="0"/>
        <v>攻击距离</v>
      </c>
      <c r="FA2" s="72">
        <f t="shared" si="0"/>
        <v>0</v>
      </c>
      <c r="FB2" s="72">
        <f t="shared" si="0"/>
        <v>0</v>
      </c>
      <c r="FC2" s="72">
        <f t="shared" si="0"/>
        <v>0</v>
      </c>
      <c r="FD2" s="72">
        <f t="shared" si="0"/>
        <v>0</v>
      </c>
      <c r="FE2" s="72">
        <f t="shared" si="0"/>
        <v>0</v>
      </c>
      <c r="FF2" s="72">
        <f t="shared" si="0"/>
        <v>0</v>
      </c>
      <c r="FG2" s="72">
        <f t="shared" si="0"/>
        <v>0</v>
      </c>
      <c r="FH2" s="72">
        <f t="shared" si="0"/>
        <v>0</v>
      </c>
      <c r="FI2" s="72">
        <f t="shared" si="0"/>
        <v>0</v>
      </c>
      <c r="FJ2" s="72">
        <f t="shared" si="0"/>
        <v>0</v>
      </c>
      <c r="FK2" s="72">
        <f t="shared" si="0"/>
        <v>0</v>
      </c>
      <c r="FL2" s="72">
        <f t="shared" si="0"/>
        <v>0</v>
      </c>
      <c r="FM2" s="72">
        <f t="shared" si="0"/>
        <v>0</v>
      </c>
      <c r="FN2" s="72">
        <f t="shared" si="0"/>
        <v>0</v>
      </c>
      <c r="FO2" s="72">
        <f t="shared" ref="FO2:FS2" si="1">CI2</f>
        <v>0</v>
      </c>
      <c r="FP2" s="72">
        <f t="shared" si="1"/>
        <v>0</v>
      </c>
      <c r="FQ2" s="72">
        <f t="shared" si="1"/>
        <v>0</v>
      </c>
      <c r="FR2" s="72">
        <f t="shared" si="1"/>
        <v>0</v>
      </c>
      <c r="FS2" s="72">
        <f t="shared" si="1"/>
        <v>0</v>
      </c>
    </row>
    <row r="3" s="6" customFormat="1" ht="15" spans="1:175">
      <c r="A3" s="10"/>
      <c r="B3" s="45" t="s">
        <v>166</v>
      </c>
      <c r="C3" s="10" t="s">
        <v>167</v>
      </c>
      <c r="D3" s="46"/>
      <c r="E3" s="47"/>
      <c r="F3" s="48">
        <v>500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3"/>
      <c r="Q3" s="53"/>
      <c r="R3" s="53"/>
      <c r="S3" s="53"/>
      <c r="T3" s="58"/>
      <c r="U3" s="59" t="s">
        <v>168</v>
      </c>
      <c r="V3" s="60">
        <v>1000</v>
      </c>
      <c r="W3" s="60"/>
      <c r="X3" s="60"/>
      <c r="Y3" s="60"/>
      <c r="Z3" s="60"/>
      <c r="AA3" s="60"/>
      <c r="AB3" s="60"/>
      <c r="AC3" s="60"/>
      <c r="AD3" s="63"/>
      <c r="AE3" s="60"/>
      <c r="AF3" s="60"/>
      <c r="AG3" s="64"/>
      <c r="AH3" s="60"/>
      <c r="AI3" s="60"/>
      <c r="AJ3" s="60"/>
      <c r="AK3" s="60"/>
      <c r="AL3" s="64"/>
      <c r="AM3" s="60"/>
      <c r="AN3" s="60"/>
      <c r="AO3" s="60"/>
      <c r="AP3" s="60"/>
      <c r="AQ3" s="60"/>
      <c r="AR3" s="66"/>
      <c r="AS3" s="66"/>
      <c r="AT3" s="60"/>
      <c r="AU3" s="60"/>
      <c r="AV3" s="60"/>
      <c r="AW3" s="60"/>
      <c r="AX3" s="60"/>
      <c r="AY3" s="60"/>
      <c r="AZ3" s="60"/>
      <c r="BA3" s="60"/>
      <c r="BB3" s="60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60"/>
      <c r="CF3" s="60"/>
      <c r="CG3" s="60"/>
      <c r="CH3" s="60"/>
      <c r="CI3" s="60"/>
      <c r="CJ3" s="60"/>
      <c r="CK3" s="60"/>
      <c r="CL3" s="60"/>
      <c r="CM3" s="60"/>
      <c r="CN3" s="69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9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9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9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9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InitEquipData('E001',,"",,E002,500,100,'','','','','','',"ReplaceableTextures\\CommandButtons\\BTNZ01.blp")</v>
      </c>
      <c r="CS3" s="69"/>
      <c r="CT3" s="69"/>
      <c r="CU3" s="7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5" t="str">
        <f>"|Cffbbbbbb属性：|r"&amp;CU3&amp;VLOOKUP(A3,合成公式!A:P,16,FALSE)&amp;T3&amp;"|n|Cff00ff7f点击消耗"&amp;F3&amp;"金币进行强化"&amp;"|n成功率"&amp;G3&amp;"%"</f>
        <v>|Cffbbbbbb属性：|r|n攻击+1000|n|n|Cff00ff7f点击消耗500金币进行强化|n成功率100%</v>
      </c>
      <c r="DB3" s="43" t="str">
        <f t="shared" ref="DB3" si="7">IF(V3="","","|n"&amp;DB$2&amp;"+"&amp;V3&amp;DB$1)</f>
        <v>|n攻击+1000</v>
      </c>
      <c r="DC3" s="43" t="str">
        <f t="shared" ref="DC3" si="8">IF(W3="","","|n"&amp;DC$2&amp;"+"&amp;W3&amp;DC$1)</f>
        <v/>
      </c>
      <c r="DD3" s="43" t="str">
        <f t="shared" ref="DD3" si="9">IF(X3="","","|n"&amp;DD$2&amp;"+"&amp;X3&amp;DD$1)</f>
        <v/>
      </c>
      <c r="DE3" s="43" t="str">
        <f t="shared" ref="DE3" si="10">IF(Y3="","","|n"&amp;DE$2&amp;"+"&amp;Y3&amp;DE$1)</f>
        <v/>
      </c>
      <c r="DF3" s="43" t="str">
        <f t="shared" ref="DF3" si="11">IF(Z3="","","|n"&amp;DF$2&amp;"+"&amp;Z3&amp;DF$1)</f>
        <v/>
      </c>
      <c r="DG3" s="43" t="str">
        <f t="shared" ref="DG3" si="12">IF(AA3="","","|n"&amp;DG$2&amp;"+"&amp;AA3&amp;DG$1)</f>
        <v/>
      </c>
      <c r="DH3" s="43" t="str">
        <f t="shared" ref="DH3" si="13">IF(AB3="","","|n"&amp;DH$2&amp;"+"&amp;AB3&amp;DH$1)</f>
        <v/>
      </c>
      <c r="DI3" s="43" t="str">
        <f t="shared" ref="DI3" si="14">IF(AC3="","","|n"&amp;DI$2&amp;"+"&amp;AC3&amp;DI$1)</f>
        <v/>
      </c>
      <c r="DJ3" s="43" t="str">
        <f t="shared" ref="DJ3" si="15">IF(AD3="","","|n"&amp;DJ$2&amp;"+"&amp;AD3&amp;DJ$1)</f>
        <v/>
      </c>
      <c r="DK3" s="43" t="str">
        <f t="shared" ref="DK3" si="16">IF(AE3="","","|n"&amp;DK$2&amp;"+"&amp;AE3&amp;DK$1)</f>
        <v/>
      </c>
      <c r="DL3" s="43" t="str">
        <f t="shared" ref="DL3" si="17">IF(AF3="","","|n"&amp;DL$2&amp;"+"&amp;AF3&amp;DL$1)</f>
        <v/>
      </c>
      <c r="DM3" s="43" t="str">
        <f t="shared" ref="DM3" si="18">IF(AG3="","","|n"&amp;DM$2&amp;"+"&amp;AG3&amp;DM$1)</f>
        <v/>
      </c>
      <c r="DN3" s="43" t="str">
        <f t="shared" ref="DN3" si="19">IF(AH3="","","|n"&amp;DN$2&amp;"+"&amp;AH3&amp;DN$1)</f>
        <v/>
      </c>
      <c r="DO3" s="43" t="str">
        <f t="shared" ref="DO3" si="20">IF(AI3="","","|n"&amp;DO$2&amp;"+"&amp;AI3&amp;DO$1)</f>
        <v/>
      </c>
      <c r="DP3" s="43" t="str">
        <f t="shared" ref="DP3" si="21">IF(AJ3="","","|n"&amp;DP$2&amp;"+"&amp;AJ3&amp;DP$1)</f>
        <v/>
      </c>
      <c r="DQ3" s="43" t="str">
        <f t="shared" ref="DQ3" si="22">IF(AK3="","","|n"&amp;DQ$2&amp;"+"&amp;AK3&amp;DQ$1)</f>
        <v/>
      </c>
      <c r="DR3" s="43" t="str">
        <f t="shared" ref="DR3" si="23">IF(AL3="","","|n"&amp;DR$2&amp;"+"&amp;AL3&amp;DR$1)</f>
        <v/>
      </c>
      <c r="DS3" s="43" t="str">
        <f t="shared" ref="DS3" si="24">IF(AM3="","","|n"&amp;DS$2&amp;"+"&amp;AM3&amp;DS$1)</f>
        <v/>
      </c>
      <c r="DT3" s="43" t="str">
        <f t="shared" ref="DT3" si="25">IF(AN3="","","|n"&amp;DT$2&amp;"+"&amp;AN3&amp;DT$1)</f>
        <v/>
      </c>
      <c r="DU3" s="43" t="str">
        <f t="shared" ref="DU3" si="26">IF(AO3="","","|n"&amp;DU$2&amp;"+"&amp;AO3&amp;DU$1)</f>
        <v/>
      </c>
      <c r="DV3" s="43" t="str">
        <f t="shared" ref="DV3" si="27">IF(AP3="","","|n"&amp;DV$2&amp;"+"&amp;AP3&amp;DV$1)</f>
        <v/>
      </c>
      <c r="DW3" s="43" t="str">
        <f t="shared" ref="DW3" si="28">IF(AQ3="","","|n"&amp;DW$2&amp;"+"&amp;AQ3&amp;DW$1)</f>
        <v/>
      </c>
      <c r="DX3" s="43" t="str">
        <f t="shared" ref="DX3" si="29">IF(AR3="","","|n"&amp;DX$2&amp;"+"&amp;AR3&amp;DX$1)</f>
        <v/>
      </c>
      <c r="DY3" s="43" t="str">
        <f t="shared" ref="DY3" si="30">IF(AS3="","","|n"&amp;DY$2&amp;"+"&amp;AS3&amp;DY$1)</f>
        <v/>
      </c>
      <c r="DZ3" s="43" t="str">
        <f t="shared" ref="DZ3" si="31">IF(AT3="","","|n"&amp;DZ$2&amp;"+"&amp;AT3&amp;DZ$1)</f>
        <v/>
      </c>
      <c r="EA3" s="43" t="str">
        <f t="shared" ref="EA3" si="32">IF(AU3="","","|n"&amp;EA$2&amp;"+"&amp;AU3&amp;EA$1)</f>
        <v/>
      </c>
      <c r="EB3" s="43" t="str">
        <f t="shared" ref="EB3" si="33">IF(AV3="","","|n"&amp;EB$2&amp;"+"&amp;AV3&amp;EB$1)</f>
        <v/>
      </c>
      <c r="EC3" s="43" t="str">
        <f t="shared" ref="EC3" si="34">IF(AW3="","","|n"&amp;EC$2&amp;"+"&amp;AW3&amp;EC$1)</f>
        <v/>
      </c>
      <c r="ED3" s="43" t="str">
        <f t="shared" ref="ED3" si="35">IF(AX3="","","|n"&amp;ED$2&amp;"+"&amp;AX3&amp;ED$1)</f>
        <v/>
      </c>
      <c r="EE3" s="43" t="str">
        <f t="shared" ref="EE3" si="36">IF(AY3="","","|n"&amp;EE$2&amp;"+"&amp;AY3&amp;EE$1)</f>
        <v/>
      </c>
      <c r="EF3" s="43" t="str">
        <f t="shared" ref="EF3" si="37">IF(AZ3="","","|n"&amp;EF$2&amp;"+"&amp;AZ3&amp;EF$1)</f>
        <v/>
      </c>
      <c r="EG3" s="43" t="str">
        <f t="shared" ref="EG3" si="38">IF(BA3="","","|n"&amp;EG$2&amp;"+"&amp;BA3&amp;EG$1)</f>
        <v/>
      </c>
      <c r="EH3" s="43" t="str">
        <f t="shared" ref="EH3" si="39">IF(BB3="","","|n"&amp;EH$2&amp;"+"&amp;BB3&amp;EH$1)</f>
        <v/>
      </c>
      <c r="EI3" s="43" t="str">
        <f t="shared" ref="EI3" si="40">IF(BC3="","","|n"&amp;EI$2&amp;"+"&amp;BC3&amp;EI$1)</f>
        <v/>
      </c>
      <c r="EJ3" s="43" t="str">
        <f t="shared" ref="EJ3" si="41">IF(BD3="","","|n"&amp;EJ$2&amp;"+"&amp;BD3&amp;EJ$1)</f>
        <v/>
      </c>
      <c r="EK3" s="43" t="str">
        <f t="shared" ref="EK3" si="42">IF(BE3="","","|n"&amp;EK$2&amp;"+"&amp;BE3&amp;EK$1)</f>
        <v/>
      </c>
      <c r="EL3" s="43" t="str">
        <f t="shared" ref="EL3" si="43">IF(BF3="","","|n"&amp;EL$2&amp;"+"&amp;BF3&amp;EL$1)</f>
        <v/>
      </c>
      <c r="EM3" s="43" t="str">
        <f t="shared" ref="EM3" si="44">IF(BG3="","","|n"&amp;EM$2&amp;"+"&amp;BG3&amp;EM$1)</f>
        <v/>
      </c>
      <c r="EN3" s="43" t="str">
        <f t="shared" ref="EN3" si="45">IF(BH3="","","|n"&amp;EN$2&amp;"+"&amp;BH3&amp;EN$1)</f>
        <v/>
      </c>
      <c r="EO3" s="43" t="str">
        <f t="shared" ref="EO3" si="46">IF(BI3="","","|n"&amp;EO$2&amp;"+"&amp;BI3&amp;EO$1)</f>
        <v/>
      </c>
      <c r="EP3" s="43" t="str">
        <f t="shared" ref="EP3" si="47">IF(BJ3="","","|n"&amp;EP$2&amp;"+"&amp;BJ3&amp;EP$1)</f>
        <v/>
      </c>
      <c r="EQ3" s="43" t="str">
        <f t="shared" ref="EQ3" si="48">IF(BK3="","","|n"&amp;EQ$2&amp;"+"&amp;BK3&amp;EQ$1)</f>
        <v/>
      </c>
      <c r="ER3" s="43" t="str">
        <f t="shared" ref="ER3" si="49">IF(BL3="","","|n"&amp;ER$2&amp;"+"&amp;BL3&amp;ER$1)</f>
        <v/>
      </c>
      <c r="ES3" s="43" t="str">
        <f t="shared" ref="ES3" si="50">IF(BM3="","","|n"&amp;ES$2&amp;"+"&amp;BM3&amp;ES$1)</f>
        <v/>
      </c>
      <c r="ET3" s="43" t="str">
        <f t="shared" ref="ET3" si="51">IF(BN3="","","|n"&amp;ET$2&amp;"+"&amp;BN3&amp;ET$1)</f>
        <v/>
      </c>
      <c r="EU3" s="43" t="str">
        <f t="shared" ref="EU3" si="52">IF(BO3="","","|n"&amp;EU$2&amp;"+"&amp;BO3&amp;EU$1)</f>
        <v/>
      </c>
      <c r="EV3" s="43" t="str">
        <f t="shared" ref="EV3" si="53">IF(BP3="","","|n"&amp;EV$2&amp;"+"&amp;BP3&amp;EV$1)</f>
        <v/>
      </c>
      <c r="EW3" s="43" t="str">
        <f t="shared" ref="EW3" si="54">IF(BQ3="","","|n"&amp;EW$2&amp;"+"&amp;BQ3&amp;EW$1)</f>
        <v/>
      </c>
      <c r="EX3" s="43" t="str">
        <f t="shared" ref="EX3" si="55">IF(BR3="","","|n"&amp;EX$2&amp;"+"&amp;BR3&amp;EX$1)</f>
        <v/>
      </c>
      <c r="EY3" s="43" t="str">
        <f t="shared" ref="EY3" si="56">IF(BS3="","","|n"&amp;EY$2&amp;"+"&amp;BS3&amp;EY$1)</f>
        <v/>
      </c>
      <c r="EZ3" s="43" t="str">
        <f t="shared" ref="EZ3" si="57">IF(BT3="","","|n"&amp;EZ$2&amp;"+"&amp;BT3&amp;EZ$1)</f>
        <v/>
      </c>
      <c r="FA3" s="43" t="str">
        <f t="shared" ref="FA3" si="58">IF(BU3="","","|n"&amp;FA$2&amp;"+"&amp;BU3&amp;FA$1)</f>
        <v/>
      </c>
      <c r="FB3" s="43" t="str">
        <f t="shared" ref="FB3" si="59">IF(BV3="","","|n"&amp;FB$2&amp;"+"&amp;BV3&amp;FB$1)</f>
        <v/>
      </c>
      <c r="FC3" s="43" t="str">
        <f t="shared" ref="FC3" si="60">IF(BW3="","","|n"&amp;FC$2&amp;"+"&amp;BW3&amp;FC$1)</f>
        <v/>
      </c>
      <c r="FD3" s="43" t="str">
        <f t="shared" ref="FD3" si="61">IF(BX3="","","|n"&amp;FD$2&amp;"+"&amp;BX3&amp;FD$1)</f>
        <v/>
      </c>
      <c r="FE3" s="43" t="str">
        <f t="shared" ref="FE3" si="62">IF(BY3="","","|n"&amp;FE$2&amp;"+"&amp;BY3&amp;FE$1)</f>
        <v/>
      </c>
      <c r="FF3" s="43" t="str">
        <f t="shared" ref="FF3" si="63">IF(BZ3="","","|n"&amp;FF$2&amp;"+"&amp;BZ3&amp;FF$1)</f>
        <v/>
      </c>
      <c r="FG3" s="43" t="str">
        <f t="shared" ref="FG3" si="64">IF(CA3="","","|n"&amp;FG$2&amp;"+"&amp;CA3&amp;FG$1)</f>
        <v/>
      </c>
      <c r="FH3" s="43" t="str">
        <f t="shared" ref="FH3" si="65">IF(CB3="","","|n"&amp;FH$2&amp;"+"&amp;CB3&amp;FH$1)</f>
        <v/>
      </c>
      <c r="FI3" s="43" t="str">
        <f t="shared" ref="FI3" si="66">IF(CC3="","","|n"&amp;FI$2&amp;"+"&amp;CC3&amp;FI$1)</f>
        <v/>
      </c>
      <c r="FJ3" s="43" t="str">
        <f t="shared" ref="FJ3" si="67">IF(CD3="","","|n"&amp;FJ$2&amp;"+"&amp;CD3&amp;FJ$1)</f>
        <v/>
      </c>
      <c r="FK3" s="43" t="str">
        <f t="shared" ref="FK3" si="68">IF(CE3="","","|n"&amp;FK$2&amp;"+"&amp;CE3&amp;FK$1)</f>
        <v/>
      </c>
      <c r="FL3" s="43" t="str">
        <f t="shared" ref="FL3" si="69">IF(CF3="","","|n"&amp;FL$2&amp;"+"&amp;CF3&amp;FL$1)</f>
        <v/>
      </c>
      <c r="FM3" s="43" t="str">
        <f t="shared" ref="FM3" si="70">IF(CG3="","","|n"&amp;FM$2&amp;"+"&amp;CG3&amp;FM$1)</f>
        <v/>
      </c>
      <c r="FN3" s="43" t="str">
        <f t="shared" ref="FN3" si="71">IF(CH3="","","|n"&amp;FN$2&amp;"+"&amp;CH3&amp;FN$1)</f>
        <v/>
      </c>
      <c r="FO3" s="43" t="str">
        <f t="shared" ref="FO3" si="72">IF(CI3="","","|n"&amp;FO$2&amp;"+"&amp;CI3&amp;FO$1)</f>
        <v/>
      </c>
      <c r="FP3" s="43" t="str">
        <f t="shared" ref="FP3" si="73">IF(CJ3="","","|n"&amp;FP$2&amp;"+"&amp;CJ3&amp;FP$1)</f>
        <v/>
      </c>
      <c r="FQ3" s="43" t="str">
        <f t="shared" ref="FQ3" si="74">IF(CK3="","","|n"&amp;FQ$2&amp;"+"&amp;CK3&amp;FQ$1)</f>
        <v/>
      </c>
      <c r="FR3" s="43" t="str">
        <f t="shared" ref="FR3" si="75">IF(CL3="","","|n"&amp;FR$2&amp;"+"&amp;CL3&amp;FR$1)</f>
        <v/>
      </c>
      <c r="FS3" s="43" t="str">
        <f t="shared" ref="FS3" si="76">IF(CM3="","","|n"&amp;FS$2&amp;"+"&amp;CM3&amp;FS$1)</f>
        <v/>
      </c>
    </row>
    <row r="4" s="6" customFormat="1" ht="15" spans="1:175">
      <c r="A4" s="10"/>
      <c r="B4" s="45" t="s">
        <v>169</v>
      </c>
      <c r="C4" s="10" t="s">
        <v>170</v>
      </c>
      <c r="D4" s="46"/>
      <c r="E4" s="47"/>
      <c r="F4" s="48">
        <v>500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3"/>
      <c r="Q4" s="53"/>
      <c r="R4" s="53"/>
      <c r="S4" s="53"/>
      <c r="T4" s="58"/>
      <c r="U4" s="59" t="s">
        <v>168</v>
      </c>
      <c r="V4" s="60">
        <v>2500</v>
      </c>
      <c r="W4" s="60"/>
      <c r="X4" s="60"/>
      <c r="Y4" s="60"/>
      <c r="Z4" s="60"/>
      <c r="AA4" s="60"/>
      <c r="AB4" s="60"/>
      <c r="AC4" s="60"/>
      <c r="AD4" s="63"/>
      <c r="AE4" s="60"/>
      <c r="AF4" s="60"/>
      <c r="AG4" s="64"/>
      <c r="AH4" s="60"/>
      <c r="AI4" s="60"/>
      <c r="AJ4" s="60"/>
      <c r="AK4" s="60"/>
      <c r="AL4" s="64"/>
      <c r="AM4" s="60"/>
      <c r="AN4" s="60"/>
      <c r="AO4" s="60"/>
      <c r="AP4" s="60"/>
      <c r="AQ4" s="60"/>
      <c r="AR4" s="66"/>
      <c r="AS4" s="66"/>
      <c r="AT4" s="60"/>
      <c r="AU4" s="60"/>
      <c r="AV4" s="60"/>
      <c r="AW4" s="60"/>
      <c r="AX4" s="60"/>
      <c r="AY4" s="60"/>
      <c r="AZ4" s="60"/>
      <c r="BA4" s="60"/>
      <c r="BB4" s="60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60"/>
      <c r="CF4" s="60"/>
      <c r="CG4" s="60"/>
      <c r="CH4" s="60"/>
      <c r="CI4" s="60"/>
      <c r="CJ4" s="60"/>
      <c r="CK4" s="60"/>
      <c r="CL4" s="60"/>
      <c r="CM4" s="60"/>
      <c r="CN4" s="69" t="str">
        <f t="shared" si="2"/>
        <v>InitUnitState('E002',2500,,,,,,,,,)</v>
      </c>
      <c r="CO4" s="69" t="str">
        <f t="shared" si="3"/>
        <v>InitUnitNormal('E002',,,,,,,,,,)</v>
      </c>
      <c r="CP4" s="69" t="str">
        <f t="shared" si="4"/>
        <v>InitUnitMagic('E002',,,,,,,,,,)</v>
      </c>
      <c r="CQ4" s="69" t="str">
        <f t="shared" si="5"/>
        <v>InitUnitAdd('E002',,,,,,,,,,)</v>
      </c>
      <c r="CR4" s="69" t="str">
        <f t="shared" si="6"/>
        <v>InitEquipData('E002',,"",,E003,500,100,'','','','','','',"ReplaceableTextures\\CommandButtons\\BTNZ01.blp")</v>
      </c>
      <c r="CS4" s="69"/>
      <c r="CT4" s="69"/>
      <c r="CU4" s="7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5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3" t="str">
        <f t="shared" ref="DB4:DB7" si="79">IF(V4="","","|n"&amp;DB$2&amp;"+"&amp;V4&amp;DB$1)</f>
        <v>|n攻击+2500</v>
      </c>
      <c r="DC4" s="43" t="str">
        <f t="shared" ref="DC4:DC7" si="80">IF(W4="","","|n"&amp;DC$2&amp;"+"&amp;W4&amp;DC$1)</f>
        <v/>
      </c>
      <c r="DD4" s="43" t="str">
        <f t="shared" ref="DD4:DD7" si="81">IF(X4="","","|n"&amp;DD$2&amp;"+"&amp;X4&amp;DD$1)</f>
        <v/>
      </c>
      <c r="DE4" s="43" t="str">
        <f t="shared" ref="DE4:DE7" si="82">IF(Y4="","","|n"&amp;DE$2&amp;"+"&amp;Y4&amp;DE$1)</f>
        <v/>
      </c>
      <c r="DF4" s="43" t="str">
        <f t="shared" ref="DF4:DF7" si="83">IF(Z4="","","|n"&amp;DF$2&amp;"+"&amp;Z4&amp;DF$1)</f>
        <v/>
      </c>
      <c r="DG4" s="43" t="str">
        <f t="shared" ref="DG4:DG7" si="84">IF(AA4="","","|n"&amp;DG$2&amp;"+"&amp;AA4&amp;DG$1)</f>
        <v/>
      </c>
      <c r="DH4" s="43" t="str">
        <f t="shared" ref="DH4:DH7" si="85">IF(AB4="","","|n"&amp;DH$2&amp;"+"&amp;AB4&amp;DH$1)</f>
        <v/>
      </c>
      <c r="DI4" s="43" t="str">
        <f t="shared" ref="DI4:DI7" si="86">IF(AC4="","","|n"&amp;DI$2&amp;"+"&amp;AC4&amp;DI$1)</f>
        <v/>
      </c>
      <c r="DJ4" s="43" t="str">
        <f t="shared" ref="DJ4:DJ7" si="87">IF(AD4="","","|n"&amp;DJ$2&amp;"+"&amp;AD4&amp;DJ$1)</f>
        <v/>
      </c>
      <c r="DK4" s="43" t="str">
        <f t="shared" ref="DK4:DK7" si="88">IF(AE4="","","|n"&amp;DK$2&amp;"+"&amp;AE4&amp;DK$1)</f>
        <v/>
      </c>
      <c r="DL4" s="43" t="str">
        <f t="shared" ref="DL4:DL7" si="89">IF(AF4="","","|n"&amp;DL$2&amp;"+"&amp;AF4&amp;DL$1)</f>
        <v/>
      </c>
      <c r="DM4" s="43" t="str">
        <f t="shared" ref="DM4:DM7" si="90">IF(AG4="","","|n"&amp;DM$2&amp;"+"&amp;AG4&amp;DM$1)</f>
        <v/>
      </c>
      <c r="DN4" s="43" t="str">
        <f t="shared" ref="DN4:DN7" si="91">IF(AH4="","","|n"&amp;DN$2&amp;"+"&amp;AH4&amp;DN$1)</f>
        <v/>
      </c>
      <c r="DO4" s="43" t="str">
        <f t="shared" ref="DO4:DO7" si="92">IF(AI4="","","|n"&amp;DO$2&amp;"+"&amp;AI4&amp;DO$1)</f>
        <v/>
      </c>
      <c r="DP4" s="43" t="str">
        <f t="shared" ref="DP4:DP7" si="93">IF(AJ4="","","|n"&amp;DP$2&amp;"+"&amp;AJ4&amp;DP$1)</f>
        <v/>
      </c>
      <c r="DQ4" s="43" t="str">
        <f t="shared" ref="DQ4:DQ7" si="94">IF(AK4="","","|n"&amp;DQ$2&amp;"+"&amp;AK4&amp;DQ$1)</f>
        <v/>
      </c>
      <c r="DR4" s="43" t="str">
        <f t="shared" ref="DR4:DR7" si="95">IF(AL4="","","|n"&amp;DR$2&amp;"+"&amp;AL4&amp;DR$1)</f>
        <v/>
      </c>
      <c r="DS4" s="43" t="str">
        <f t="shared" ref="DS4:DS7" si="96">IF(AM4="","","|n"&amp;DS$2&amp;"+"&amp;AM4&amp;DS$1)</f>
        <v/>
      </c>
      <c r="DT4" s="43" t="str">
        <f t="shared" ref="DT4:DT7" si="97">IF(AN4="","","|n"&amp;DT$2&amp;"+"&amp;AN4&amp;DT$1)</f>
        <v/>
      </c>
      <c r="DU4" s="43" t="str">
        <f t="shared" ref="DU4:DU7" si="98">IF(AO4="","","|n"&amp;DU$2&amp;"+"&amp;AO4&amp;DU$1)</f>
        <v/>
      </c>
      <c r="DV4" s="43" t="str">
        <f t="shared" ref="DV4:DV7" si="99">IF(AP4="","","|n"&amp;DV$2&amp;"+"&amp;AP4&amp;DV$1)</f>
        <v/>
      </c>
      <c r="DW4" s="43" t="str">
        <f t="shared" ref="DW4:DW7" si="100">IF(AQ4="","","|n"&amp;DW$2&amp;"+"&amp;AQ4&amp;DW$1)</f>
        <v/>
      </c>
      <c r="DX4" s="43" t="str">
        <f t="shared" ref="DX4:DX7" si="101">IF(AR4="","","|n"&amp;DX$2&amp;"+"&amp;AR4&amp;DX$1)</f>
        <v/>
      </c>
      <c r="DY4" s="43" t="str">
        <f t="shared" ref="DY4:DY7" si="102">IF(AS4="","","|n"&amp;DY$2&amp;"+"&amp;AS4&amp;DY$1)</f>
        <v/>
      </c>
      <c r="DZ4" s="43" t="str">
        <f t="shared" ref="DZ4:DZ7" si="103">IF(AT4="","","|n"&amp;DZ$2&amp;"+"&amp;AT4&amp;DZ$1)</f>
        <v/>
      </c>
      <c r="EA4" s="43" t="str">
        <f t="shared" ref="EA4:EA7" si="104">IF(AU4="","","|n"&amp;EA$2&amp;"+"&amp;AU4&amp;EA$1)</f>
        <v/>
      </c>
      <c r="EB4" s="43" t="str">
        <f t="shared" ref="EB4:EB7" si="105">IF(AV4="","","|n"&amp;EB$2&amp;"+"&amp;AV4&amp;EB$1)</f>
        <v/>
      </c>
      <c r="EC4" s="43" t="str">
        <f t="shared" ref="EC4:EC7" si="106">IF(AW4="","","|n"&amp;EC$2&amp;"+"&amp;AW4&amp;EC$1)</f>
        <v/>
      </c>
      <c r="ED4" s="43" t="str">
        <f t="shared" ref="ED4:ED7" si="107">IF(AX4="","","|n"&amp;ED$2&amp;"+"&amp;AX4&amp;ED$1)</f>
        <v/>
      </c>
      <c r="EE4" s="43" t="str">
        <f t="shared" ref="EE4:EE7" si="108">IF(AY4="","","|n"&amp;EE$2&amp;"+"&amp;AY4&amp;EE$1)</f>
        <v/>
      </c>
      <c r="EF4" s="43" t="str">
        <f t="shared" ref="EF4:EF7" si="109">IF(AZ4="","","|n"&amp;EF$2&amp;"+"&amp;AZ4&amp;EF$1)</f>
        <v/>
      </c>
      <c r="EG4" s="43" t="str">
        <f t="shared" ref="EG4:EG7" si="110">IF(BA4="","","|n"&amp;EG$2&amp;"+"&amp;BA4&amp;EG$1)</f>
        <v/>
      </c>
      <c r="EH4" s="43" t="str">
        <f t="shared" ref="EH4:EH7" si="111">IF(BB4="","","|n"&amp;EH$2&amp;"+"&amp;BB4&amp;EH$1)</f>
        <v/>
      </c>
      <c r="EI4" s="43" t="str">
        <f t="shared" ref="EI4:EI7" si="112">IF(BC4="","","|n"&amp;EI$2&amp;"+"&amp;BC4&amp;EI$1)</f>
        <v/>
      </c>
      <c r="EJ4" s="43" t="str">
        <f t="shared" ref="EJ4:EJ7" si="113">IF(BD4="","","|n"&amp;EJ$2&amp;"+"&amp;BD4&amp;EJ$1)</f>
        <v/>
      </c>
      <c r="EK4" s="43" t="str">
        <f t="shared" ref="EK4:EK7" si="114">IF(BE4="","","|n"&amp;EK$2&amp;"+"&amp;BE4&amp;EK$1)</f>
        <v/>
      </c>
      <c r="EL4" s="43" t="str">
        <f t="shared" ref="EL4:EL7" si="115">IF(BF4="","","|n"&amp;EL$2&amp;"+"&amp;BF4&amp;EL$1)</f>
        <v/>
      </c>
      <c r="EM4" s="43" t="str">
        <f t="shared" ref="EM4:EM7" si="116">IF(BG4="","","|n"&amp;EM$2&amp;"+"&amp;BG4&amp;EM$1)</f>
        <v/>
      </c>
      <c r="EN4" s="43" t="str">
        <f t="shared" ref="EN4:EN7" si="117">IF(BH4="","","|n"&amp;EN$2&amp;"+"&amp;BH4&amp;EN$1)</f>
        <v/>
      </c>
      <c r="EO4" s="43" t="str">
        <f t="shared" ref="EO4:EO7" si="118">IF(BI4="","","|n"&amp;EO$2&amp;"+"&amp;BI4&amp;EO$1)</f>
        <v/>
      </c>
      <c r="EP4" s="43" t="str">
        <f t="shared" ref="EP4:EP7" si="119">IF(BJ4="","","|n"&amp;EP$2&amp;"+"&amp;BJ4&amp;EP$1)</f>
        <v/>
      </c>
      <c r="EQ4" s="43" t="str">
        <f t="shared" ref="EQ4:EQ7" si="120">IF(BK4="","","|n"&amp;EQ$2&amp;"+"&amp;BK4&amp;EQ$1)</f>
        <v/>
      </c>
      <c r="ER4" s="43" t="str">
        <f t="shared" ref="ER4:ER7" si="121">IF(BL4="","","|n"&amp;ER$2&amp;"+"&amp;BL4&amp;ER$1)</f>
        <v/>
      </c>
      <c r="ES4" s="43" t="str">
        <f t="shared" ref="ES4:ES7" si="122">IF(BM4="","","|n"&amp;ES$2&amp;"+"&amp;BM4&amp;ES$1)</f>
        <v/>
      </c>
      <c r="ET4" s="43" t="str">
        <f t="shared" ref="ET4:ET7" si="123">IF(BN4="","","|n"&amp;ET$2&amp;"+"&amp;BN4&amp;ET$1)</f>
        <v/>
      </c>
      <c r="EU4" s="43" t="str">
        <f t="shared" ref="EU4:EU7" si="124">IF(BO4="","","|n"&amp;EU$2&amp;"+"&amp;BO4&amp;EU$1)</f>
        <v/>
      </c>
      <c r="EV4" s="43" t="str">
        <f t="shared" ref="EV4:EV7" si="125">IF(BP4="","","|n"&amp;EV$2&amp;"+"&amp;BP4&amp;EV$1)</f>
        <v/>
      </c>
      <c r="EW4" s="43" t="str">
        <f t="shared" ref="EW4:EW7" si="126">IF(BQ4="","","|n"&amp;EW$2&amp;"+"&amp;BQ4&amp;EW$1)</f>
        <v/>
      </c>
      <c r="EX4" s="43" t="str">
        <f t="shared" ref="EX4:EX7" si="127">IF(BR4="","","|n"&amp;EX$2&amp;"+"&amp;BR4&amp;EX$1)</f>
        <v/>
      </c>
      <c r="EY4" s="43" t="str">
        <f t="shared" ref="EY4:EY7" si="128">IF(BS4="","","|n"&amp;EY$2&amp;"+"&amp;BS4&amp;EY$1)</f>
        <v/>
      </c>
      <c r="EZ4" s="43" t="str">
        <f t="shared" ref="EZ4:EZ7" si="129">IF(BT4="","","|n"&amp;EZ$2&amp;"+"&amp;BT4&amp;EZ$1)</f>
        <v/>
      </c>
      <c r="FA4" s="43" t="str">
        <f t="shared" ref="FA4:FA7" si="130">IF(BU4="","","|n"&amp;FA$2&amp;"+"&amp;BU4&amp;FA$1)</f>
        <v/>
      </c>
      <c r="FB4" s="43" t="str">
        <f t="shared" ref="FB4:FB7" si="131">IF(BV4="","","|n"&amp;FB$2&amp;"+"&amp;BV4&amp;FB$1)</f>
        <v/>
      </c>
      <c r="FC4" s="43" t="str">
        <f t="shared" ref="FC4:FC7" si="132">IF(BW4="","","|n"&amp;FC$2&amp;"+"&amp;BW4&amp;FC$1)</f>
        <v/>
      </c>
      <c r="FD4" s="43" t="str">
        <f t="shared" ref="FD4:FD7" si="133">IF(BX4="","","|n"&amp;FD$2&amp;"+"&amp;BX4&amp;FD$1)</f>
        <v/>
      </c>
      <c r="FE4" s="43" t="str">
        <f t="shared" ref="FE4:FE7" si="134">IF(BY4="","","|n"&amp;FE$2&amp;"+"&amp;BY4&amp;FE$1)</f>
        <v/>
      </c>
      <c r="FF4" s="43" t="str">
        <f t="shared" ref="FF4:FF7" si="135">IF(BZ4="","","|n"&amp;FF$2&amp;"+"&amp;BZ4&amp;FF$1)</f>
        <v/>
      </c>
      <c r="FG4" s="43" t="str">
        <f t="shared" ref="FG4:FG7" si="136">IF(CA4="","","|n"&amp;FG$2&amp;"+"&amp;CA4&amp;FG$1)</f>
        <v/>
      </c>
      <c r="FH4" s="43" t="str">
        <f t="shared" ref="FH4:FH7" si="137">IF(CB4="","","|n"&amp;FH$2&amp;"+"&amp;CB4&amp;FH$1)</f>
        <v/>
      </c>
      <c r="FI4" s="43" t="str">
        <f t="shared" ref="FI4:FI7" si="138">IF(CC4="","","|n"&amp;FI$2&amp;"+"&amp;CC4&amp;FI$1)</f>
        <v/>
      </c>
      <c r="FJ4" s="43" t="str">
        <f t="shared" ref="FJ4:FJ7" si="139">IF(CD4="","","|n"&amp;FJ$2&amp;"+"&amp;CD4&amp;FJ$1)</f>
        <v/>
      </c>
      <c r="FK4" s="43" t="str">
        <f t="shared" ref="FK4:FK7" si="140">IF(CE4="","","|n"&amp;FK$2&amp;"+"&amp;CE4&amp;FK$1)</f>
        <v/>
      </c>
      <c r="FL4" s="43" t="str">
        <f t="shared" ref="FL4:FL7" si="141">IF(CF4="","","|n"&amp;FL$2&amp;"+"&amp;CF4&amp;FL$1)</f>
        <v/>
      </c>
      <c r="FM4" s="43" t="str">
        <f t="shared" ref="FM4:FM7" si="142">IF(CG4="","","|n"&amp;FM$2&amp;"+"&amp;CG4&amp;FM$1)</f>
        <v/>
      </c>
      <c r="FN4" s="43" t="str">
        <f t="shared" ref="FN4:FN7" si="143">IF(CH4="","","|n"&amp;FN$2&amp;"+"&amp;CH4&amp;FN$1)</f>
        <v/>
      </c>
      <c r="FO4" s="43" t="str">
        <f t="shared" ref="FO4:FO7" si="144">IF(CI4="","","|n"&amp;FO$2&amp;"+"&amp;CI4&amp;FO$1)</f>
        <v/>
      </c>
      <c r="FP4" s="43" t="str">
        <f t="shared" ref="FP4:FP7" si="145">IF(CJ4="","","|n"&amp;FP$2&amp;"+"&amp;CJ4&amp;FP$1)</f>
        <v/>
      </c>
      <c r="FQ4" s="43" t="str">
        <f t="shared" ref="FQ4:FQ7" si="146">IF(CK4="","","|n"&amp;FQ$2&amp;"+"&amp;CK4&amp;FQ$1)</f>
        <v/>
      </c>
      <c r="FR4" s="43" t="str">
        <f t="shared" ref="FR4:FR7" si="147">IF(CL4="","","|n"&amp;FR$2&amp;"+"&amp;CL4&amp;FR$1)</f>
        <v/>
      </c>
      <c r="FS4" s="43" t="str">
        <f t="shared" ref="FS4:FS7" si="148">IF(CM4="","","|n"&amp;FS$2&amp;"+"&amp;CM4&amp;FS$1)</f>
        <v/>
      </c>
    </row>
    <row r="5" s="6" customFormat="1" ht="15" spans="1:175">
      <c r="A5" s="10"/>
      <c r="B5" s="45" t="s">
        <v>171</v>
      </c>
      <c r="C5" s="10" t="s">
        <v>172</v>
      </c>
      <c r="D5" s="46"/>
      <c r="E5" s="47"/>
      <c r="F5" s="48">
        <v>500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3"/>
      <c r="Q5" s="53"/>
      <c r="R5" s="53"/>
      <c r="S5" s="53"/>
      <c r="T5" s="58"/>
      <c r="U5" s="59" t="s">
        <v>168</v>
      </c>
      <c r="V5" s="60">
        <v>4000</v>
      </c>
      <c r="W5" s="60"/>
      <c r="X5" s="60"/>
      <c r="Y5" s="60"/>
      <c r="Z5" s="60"/>
      <c r="AA5" s="60"/>
      <c r="AB5" s="60"/>
      <c r="AC5" s="60"/>
      <c r="AD5" s="63"/>
      <c r="AE5" s="60"/>
      <c r="AF5" s="60"/>
      <c r="AG5" s="64"/>
      <c r="AH5" s="60"/>
      <c r="AI5" s="60"/>
      <c r="AJ5" s="60"/>
      <c r="AK5" s="60"/>
      <c r="AL5" s="64"/>
      <c r="AM5" s="60"/>
      <c r="AN5" s="60"/>
      <c r="AO5" s="60"/>
      <c r="AP5" s="60"/>
      <c r="AQ5" s="60"/>
      <c r="AR5" s="66"/>
      <c r="AS5" s="66"/>
      <c r="AT5" s="60"/>
      <c r="AU5" s="60"/>
      <c r="AV5" s="60"/>
      <c r="AW5" s="60"/>
      <c r="AX5" s="60"/>
      <c r="AY5" s="60"/>
      <c r="AZ5" s="60"/>
      <c r="BA5" s="60"/>
      <c r="BB5" s="60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60"/>
      <c r="CF5" s="60"/>
      <c r="CG5" s="60"/>
      <c r="CH5" s="60"/>
      <c r="CI5" s="60"/>
      <c r="CJ5" s="60"/>
      <c r="CK5" s="60"/>
      <c r="CL5" s="60"/>
      <c r="CM5" s="60"/>
      <c r="CN5" s="69" t="str">
        <f t="shared" si="2"/>
        <v>InitUnitState('E003',4000,,,,,,,,,)</v>
      </c>
      <c r="CO5" s="69" t="str">
        <f t="shared" si="3"/>
        <v>InitUnitNormal('E003',,,,,,,,,,)</v>
      </c>
      <c r="CP5" s="69" t="str">
        <f t="shared" si="4"/>
        <v>InitUnitMagic('E003',,,,,,,,,,)</v>
      </c>
      <c r="CQ5" s="69" t="str">
        <f t="shared" si="5"/>
        <v>InitUnitAdd('E003',,,,,,,,,,)</v>
      </c>
      <c r="CR5" s="69" t="str">
        <f t="shared" si="6"/>
        <v>InitEquipData('E003',,"",,E004,500,100,'','','','','','',"ReplaceableTextures\\CommandButtons\\BTNZ01.blp")</v>
      </c>
      <c r="CS5" s="69"/>
      <c r="CT5" s="69"/>
      <c r="CU5" s="71" t="str">
        <f t="shared" si="78"/>
        <v>|n攻击+4000|n</v>
      </c>
      <c r="CV5" s="5" t="str">
        <f>"|Cffbbbbbb属性：|r"&amp;CU5&amp;VLOOKUP(A5,合成公式!A:P,16,FALSE)&amp;T5&amp;"|n|Cff00ff7f点击消耗"&amp;F5&amp;"金币进行强化"&amp;"|n成功率"&amp;G5&amp;"%"</f>
        <v>|Cffbbbbbb属性：|r|n攻击+4000|n|n|Cff00ff7f点击消耗500金币进行强化|n成功率100%</v>
      </c>
      <c r="DB5" s="43" t="str">
        <f t="shared" si="79"/>
        <v>|n攻击+4000</v>
      </c>
      <c r="DC5" s="43" t="str">
        <f t="shared" si="80"/>
        <v/>
      </c>
      <c r="DD5" s="43" t="str">
        <f t="shared" si="81"/>
        <v/>
      </c>
      <c r="DE5" s="43" t="str">
        <f t="shared" si="82"/>
        <v/>
      </c>
      <c r="DF5" s="43" t="str">
        <f t="shared" si="83"/>
        <v/>
      </c>
      <c r="DG5" s="43" t="str">
        <f t="shared" si="84"/>
        <v/>
      </c>
      <c r="DH5" s="43" t="str">
        <f t="shared" si="85"/>
        <v/>
      </c>
      <c r="DI5" s="43" t="str">
        <f t="shared" si="86"/>
        <v/>
      </c>
      <c r="DJ5" s="43" t="str">
        <f t="shared" si="87"/>
        <v/>
      </c>
      <c r="DK5" s="43" t="str">
        <f t="shared" si="88"/>
        <v/>
      </c>
      <c r="DL5" s="43" t="str">
        <f t="shared" si="89"/>
        <v/>
      </c>
      <c r="DM5" s="43" t="str">
        <f t="shared" si="90"/>
        <v/>
      </c>
      <c r="DN5" s="43" t="str">
        <f t="shared" si="91"/>
        <v/>
      </c>
      <c r="DO5" s="43" t="str">
        <f t="shared" si="92"/>
        <v/>
      </c>
      <c r="DP5" s="43" t="str">
        <f t="shared" si="93"/>
        <v/>
      </c>
      <c r="DQ5" s="43" t="str">
        <f t="shared" si="94"/>
        <v/>
      </c>
      <c r="DR5" s="43" t="str">
        <f t="shared" si="95"/>
        <v/>
      </c>
      <c r="DS5" s="43" t="str">
        <f t="shared" si="96"/>
        <v/>
      </c>
      <c r="DT5" s="43" t="str">
        <f t="shared" si="97"/>
        <v/>
      </c>
      <c r="DU5" s="43" t="str">
        <f t="shared" si="98"/>
        <v/>
      </c>
      <c r="DV5" s="43" t="str">
        <f t="shared" si="99"/>
        <v/>
      </c>
      <c r="DW5" s="43" t="str">
        <f t="shared" si="100"/>
        <v/>
      </c>
      <c r="DX5" s="43" t="str">
        <f t="shared" si="101"/>
        <v/>
      </c>
      <c r="DY5" s="43" t="str">
        <f t="shared" si="102"/>
        <v/>
      </c>
      <c r="DZ5" s="43" t="str">
        <f t="shared" si="103"/>
        <v/>
      </c>
      <c r="EA5" s="43" t="str">
        <f t="shared" si="104"/>
        <v/>
      </c>
      <c r="EB5" s="43" t="str">
        <f t="shared" si="105"/>
        <v/>
      </c>
      <c r="EC5" s="43" t="str">
        <f t="shared" si="106"/>
        <v/>
      </c>
      <c r="ED5" s="43" t="str">
        <f t="shared" si="107"/>
        <v/>
      </c>
      <c r="EE5" s="43" t="str">
        <f t="shared" si="108"/>
        <v/>
      </c>
      <c r="EF5" s="43" t="str">
        <f t="shared" si="109"/>
        <v/>
      </c>
      <c r="EG5" s="43" t="str">
        <f t="shared" si="110"/>
        <v/>
      </c>
      <c r="EH5" s="43" t="str">
        <f t="shared" si="111"/>
        <v/>
      </c>
      <c r="EI5" s="43" t="str">
        <f t="shared" si="112"/>
        <v/>
      </c>
      <c r="EJ5" s="43" t="str">
        <f t="shared" si="113"/>
        <v/>
      </c>
      <c r="EK5" s="43" t="str">
        <f t="shared" si="114"/>
        <v/>
      </c>
      <c r="EL5" s="43" t="str">
        <f t="shared" si="115"/>
        <v/>
      </c>
      <c r="EM5" s="43" t="str">
        <f t="shared" si="116"/>
        <v/>
      </c>
      <c r="EN5" s="43" t="str">
        <f t="shared" si="117"/>
        <v/>
      </c>
      <c r="EO5" s="43" t="str">
        <f t="shared" si="118"/>
        <v/>
      </c>
      <c r="EP5" s="43" t="str">
        <f t="shared" si="119"/>
        <v/>
      </c>
      <c r="EQ5" s="43" t="str">
        <f t="shared" si="120"/>
        <v/>
      </c>
      <c r="ER5" s="43" t="str">
        <f t="shared" si="121"/>
        <v/>
      </c>
      <c r="ES5" s="43" t="str">
        <f t="shared" si="122"/>
        <v/>
      </c>
      <c r="ET5" s="43" t="str">
        <f t="shared" si="123"/>
        <v/>
      </c>
      <c r="EU5" s="43" t="str">
        <f t="shared" si="124"/>
        <v/>
      </c>
      <c r="EV5" s="43" t="str">
        <f t="shared" si="125"/>
        <v/>
      </c>
      <c r="EW5" s="43" t="str">
        <f t="shared" si="126"/>
        <v/>
      </c>
      <c r="EX5" s="43" t="str">
        <f t="shared" si="127"/>
        <v/>
      </c>
      <c r="EY5" s="43" t="str">
        <f t="shared" si="128"/>
        <v/>
      </c>
      <c r="EZ5" s="43" t="str">
        <f t="shared" si="129"/>
        <v/>
      </c>
      <c r="FA5" s="43" t="str">
        <f t="shared" si="130"/>
        <v/>
      </c>
      <c r="FB5" s="43" t="str">
        <f t="shared" si="131"/>
        <v/>
      </c>
      <c r="FC5" s="43" t="str">
        <f t="shared" si="132"/>
        <v/>
      </c>
      <c r="FD5" s="43" t="str">
        <f t="shared" si="133"/>
        <v/>
      </c>
      <c r="FE5" s="43" t="str">
        <f t="shared" si="134"/>
        <v/>
      </c>
      <c r="FF5" s="43" t="str">
        <f t="shared" si="135"/>
        <v/>
      </c>
      <c r="FG5" s="43" t="str">
        <f t="shared" si="136"/>
        <v/>
      </c>
      <c r="FH5" s="43" t="str">
        <f t="shared" si="137"/>
        <v/>
      </c>
      <c r="FI5" s="43" t="str">
        <f t="shared" si="138"/>
        <v/>
      </c>
      <c r="FJ5" s="43" t="str">
        <f t="shared" si="139"/>
        <v/>
      </c>
      <c r="FK5" s="43" t="str">
        <f t="shared" si="140"/>
        <v/>
      </c>
      <c r="FL5" s="43" t="str">
        <f t="shared" si="141"/>
        <v/>
      </c>
      <c r="FM5" s="43" t="str">
        <f t="shared" si="142"/>
        <v/>
      </c>
      <c r="FN5" s="43" t="str">
        <f t="shared" si="143"/>
        <v/>
      </c>
      <c r="FO5" s="43" t="str">
        <f t="shared" si="144"/>
        <v/>
      </c>
      <c r="FP5" s="43" t="str">
        <f t="shared" si="145"/>
        <v/>
      </c>
      <c r="FQ5" s="43" t="str">
        <f t="shared" si="146"/>
        <v/>
      </c>
      <c r="FR5" s="43" t="str">
        <f t="shared" si="147"/>
        <v/>
      </c>
      <c r="FS5" s="43" t="str">
        <f t="shared" si="148"/>
        <v/>
      </c>
    </row>
    <row r="6" s="6" customFormat="1" ht="15" spans="1:175">
      <c r="A6" s="10"/>
      <c r="B6" s="45" t="s">
        <v>173</v>
      </c>
      <c r="C6" s="10" t="s">
        <v>174</v>
      </c>
      <c r="D6" s="46"/>
      <c r="E6" s="47"/>
      <c r="F6" s="48">
        <v>500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3"/>
      <c r="Q6" s="53"/>
      <c r="R6" s="53"/>
      <c r="S6" s="53"/>
      <c r="T6" s="58"/>
      <c r="U6" s="59" t="s">
        <v>168</v>
      </c>
      <c r="V6" s="60">
        <v>6000</v>
      </c>
      <c r="W6" s="60"/>
      <c r="X6" s="60"/>
      <c r="Y6" s="60"/>
      <c r="Z6" s="60"/>
      <c r="AA6" s="60"/>
      <c r="AB6" s="60"/>
      <c r="AC6" s="60"/>
      <c r="AD6" s="63"/>
      <c r="AE6" s="60"/>
      <c r="AF6" s="60"/>
      <c r="AG6" s="64"/>
      <c r="AH6" s="60"/>
      <c r="AI6" s="60"/>
      <c r="AJ6" s="60"/>
      <c r="AK6" s="60"/>
      <c r="AL6" s="64"/>
      <c r="AM6" s="60"/>
      <c r="AN6" s="60"/>
      <c r="AO6" s="60"/>
      <c r="AP6" s="60"/>
      <c r="AQ6" s="60"/>
      <c r="AR6" s="66"/>
      <c r="AS6" s="66"/>
      <c r="AT6" s="60"/>
      <c r="AU6" s="60"/>
      <c r="AV6" s="60"/>
      <c r="AW6" s="60"/>
      <c r="AX6" s="60"/>
      <c r="AY6" s="60"/>
      <c r="AZ6" s="60"/>
      <c r="BA6" s="60"/>
      <c r="BB6" s="60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60"/>
      <c r="CF6" s="60"/>
      <c r="CG6" s="60"/>
      <c r="CH6" s="60"/>
      <c r="CI6" s="60"/>
      <c r="CJ6" s="60"/>
      <c r="CK6" s="60"/>
      <c r="CL6" s="60"/>
      <c r="CM6" s="60"/>
      <c r="CN6" s="69" t="str">
        <f t="shared" si="2"/>
        <v>InitUnitState('E004',6000,,,,,,,,,)</v>
      </c>
      <c r="CO6" s="69" t="str">
        <f t="shared" si="3"/>
        <v>InitUnitNormal('E004',,,,,,,,,,)</v>
      </c>
      <c r="CP6" s="69" t="str">
        <f t="shared" si="4"/>
        <v>InitUnitMagic('E004',,,,,,,,,,)</v>
      </c>
      <c r="CQ6" s="69" t="str">
        <f t="shared" si="5"/>
        <v>InitUnitAdd('E004',,,,,,,,,,)</v>
      </c>
      <c r="CR6" s="69" t="str">
        <f t="shared" si="6"/>
        <v>InitEquipData('E004',,"",,E005,500,100,'','','','','','',"ReplaceableTextures\\CommandButtons\\BTNZ01.blp")</v>
      </c>
      <c r="CS6" s="69"/>
      <c r="CT6" s="69"/>
      <c r="CU6" s="71" t="str">
        <f t="shared" si="78"/>
        <v>|n攻击+6000|n</v>
      </c>
      <c r="CV6" s="5" t="str">
        <f>"|Cffbbbbbb属性：|r"&amp;CU6&amp;VLOOKUP(A6,合成公式!A:P,16,FALSE)&amp;T6&amp;"|n|Cff00ff7f点击消耗"&amp;F6&amp;"金币进行强化"&amp;"|n成功率"&amp;G6&amp;"%"</f>
        <v>|Cffbbbbbb属性：|r|n攻击+6000|n|n|Cff00ff7f点击消耗500金币进行强化|n成功率100%</v>
      </c>
      <c r="DB6" s="43" t="str">
        <f t="shared" si="79"/>
        <v>|n攻击+6000</v>
      </c>
      <c r="DC6" s="43" t="str">
        <f t="shared" si="80"/>
        <v/>
      </c>
      <c r="DD6" s="43" t="str">
        <f t="shared" si="81"/>
        <v/>
      </c>
      <c r="DE6" s="43" t="str">
        <f t="shared" si="82"/>
        <v/>
      </c>
      <c r="DF6" s="43" t="str">
        <f t="shared" si="83"/>
        <v/>
      </c>
      <c r="DG6" s="43" t="str">
        <f t="shared" si="84"/>
        <v/>
      </c>
      <c r="DH6" s="43" t="str">
        <f t="shared" si="85"/>
        <v/>
      </c>
      <c r="DI6" s="43" t="str">
        <f t="shared" si="86"/>
        <v/>
      </c>
      <c r="DJ6" s="43" t="str">
        <f t="shared" si="87"/>
        <v/>
      </c>
      <c r="DK6" s="43" t="str">
        <f t="shared" si="88"/>
        <v/>
      </c>
      <c r="DL6" s="43" t="str">
        <f t="shared" si="89"/>
        <v/>
      </c>
      <c r="DM6" s="43" t="str">
        <f t="shared" si="90"/>
        <v/>
      </c>
      <c r="DN6" s="43" t="str">
        <f t="shared" si="91"/>
        <v/>
      </c>
      <c r="DO6" s="43" t="str">
        <f t="shared" si="92"/>
        <v/>
      </c>
      <c r="DP6" s="43" t="str">
        <f t="shared" si="93"/>
        <v/>
      </c>
      <c r="DQ6" s="43" t="str">
        <f t="shared" si="94"/>
        <v/>
      </c>
      <c r="DR6" s="43" t="str">
        <f t="shared" si="95"/>
        <v/>
      </c>
      <c r="DS6" s="43" t="str">
        <f t="shared" si="96"/>
        <v/>
      </c>
      <c r="DT6" s="43" t="str">
        <f t="shared" si="97"/>
        <v/>
      </c>
      <c r="DU6" s="43" t="str">
        <f t="shared" si="98"/>
        <v/>
      </c>
      <c r="DV6" s="43" t="str">
        <f t="shared" si="99"/>
        <v/>
      </c>
      <c r="DW6" s="43" t="str">
        <f t="shared" si="100"/>
        <v/>
      </c>
      <c r="DX6" s="43" t="str">
        <f t="shared" si="101"/>
        <v/>
      </c>
      <c r="DY6" s="43" t="str">
        <f t="shared" si="102"/>
        <v/>
      </c>
      <c r="DZ6" s="43" t="str">
        <f t="shared" si="103"/>
        <v/>
      </c>
      <c r="EA6" s="43" t="str">
        <f t="shared" si="104"/>
        <v/>
      </c>
      <c r="EB6" s="43" t="str">
        <f t="shared" si="105"/>
        <v/>
      </c>
      <c r="EC6" s="43" t="str">
        <f t="shared" si="106"/>
        <v/>
      </c>
      <c r="ED6" s="43" t="str">
        <f t="shared" si="107"/>
        <v/>
      </c>
      <c r="EE6" s="43" t="str">
        <f t="shared" si="108"/>
        <v/>
      </c>
      <c r="EF6" s="43" t="str">
        <f t="shared" si="109"/>
        <v/>
      </c>
      <c r="EG6" s="43" t="str">
        <f t="shared" si="110"/>
        <v/>
      </c>
      <c r="EH6" s="43" t="str">
        <f t="shared" si="111"/>
        <v/>
      </c>
      <c r="EI6" s="43" t="str">
        <f t="shared" si="112"/>
        <v/>
      </c>
      <c r="EJ6" s="43" t="str">
        <f t="shared" si="113"/>
        <v/>
      </c>
      <c r="EK6" s="43" t="str">
        <f t="shared" si="114"/>
        <v/>
      </c>
      <c r="EL6" s="43" t="str">
        <f t="shared" si="115"/>
        <v/>
      </c>
      <c r="EM6" s="43" t="str">
        <f t="shared" si="116"/>
        <v/>
      </c>
      <c r="EN6" s="43" t="str">
        <f t="shared" si="117"/>
        <v/>
      </c>
      <c r="EO6" s="43" t="str">
        <f t="shared" si="118"/>
        <v/>
      </c>
      <c r="EP6" s="43" t="str">
        <f t="shared" si="119"/>
        <v/>
      </c>
      <c r="EQ6" s="43" t="str">
        <f t="shared" si="120"/>
        <v/>
      </c>
      <c r="ER6" s="43" t="str">
        <f t="shared" si="121"/>
        <v/>
      </c>
      <c r="ES6" s="43" t="str">
        <f t="shared" si="122"/>
        <v/>
      </c>
      <c r="ET6" s="43" t="str">
        <f t="shared" si="123"/>
        <v/>
      </c>
      <c r="EU6" s="43" t="str">
        <f t="shared" si="124"/>
        <v/>
      </c>
      <c r="EV6" s="43" t="str">
        <f t="shared" si="125"/>
        <v/>
      </c>
      <c r="EW6" s="43" t="str">
        <f t="shared" si="126"/>
        <v/>
      </c>
      <c r="EX6" s="43" t="str">
        <f t="shared" si="127"/>
        <v/>
      </c>
      <c r="EY6" s="43" t="str">
        <f t="shared" si="128"/>
        <v/>
      </c>
      <c r="EZ6" s="43" t="str">
        <f t="shared" si="129"/>
        <v/>
      </c>
      <c r="FA6" s="43" t="str">
        <f t="shared" si="130"/>
        <v/>
      </c>
      <c r="FB6" s="43" t="str">
        <f t="shared" si="131"/>
        <v/>
      </c>
      <c r="FC6" s="43" t="str">
        <f t="shared" si="132"/>
        <v/>
      </c>
      <c r="FD6" s="43" t="str">
        <f t="shared" si="133"/>
        <v/>
      </c>
      <c r="FE6" s="43" t="str">
        <f t="shared" si="134"/>
        <v/>
      </c>
      <c r="FF6" s="43" t="str">
        <f t="shared" si="135"/>
        <v/>
      </c>
      <c r="FG6" s="43" t="str">
        <f t="shared" si="136"/>
        <v/>
      </c>
      <c r="FH6" s="43" t="str">
        <f t="shared" si="137"/>
        <v/>
      </c>
      <c r="FI6" s="43" t="str">
        <f t="shared" si="138"/>
        <v/>
      </c>
      <c r="FJ6" s="43" t="str">
        <f t="shared" si="139"/>
        <v/>
      </c>
      <c r="FK6" s="43" t="str">
        <f t="shared" si="140"/>
        <v/>
      </c>
      <c r="FL6" s="43" t="str">
        <f t="shared" si="141"/>
        <v/>
      </c>
      <c r="FM6" s="43" t="str">
        <f t="shared" si="142"/>
        <v/>
      </c>
      <c r="FN6" s="43" t="str">
        <f t="shared" si="143"/>
        <v/>
      </c>
      <c r="FO6" s="43" t="str">
        <f t="shared" si="144"/>
        <v/>
      </c>
      <c r="FP6" s="43" t="str">
        <f t="shared" si="145"/>
        <v/>
      </c>
      <c r="FQ6" s="43" t="str">
        <f t="shared" si="146"/>
        <v/>
      </c>
      <c r="FR6" s="43" t="str">
        <f t="shared" si="147"/>
        <v/>
      </c>
      <c r="FS6" s="43" t="str">
        <f t="shared" si="148"/>
        <v/>
      </c>
    </row>
    <row r="7" s="6" customFormat="1" ht="15" spans="1:175">
      <c r="A7" s="10"/>
      <c r="B7" s="45" t="s">
        <v>175</v>
      </c>
      <c r="C7" s="10" t="s">
        <v>176</v>
      </c>
      <c r="D7" s="46"/>
      <c r="E7" s="47"/>
      <c r="F7" s="48">
        <v>2000</v>
      </c>
      <c r="G7" s="49">
        <v>100</v>
      </c>
      <c r="H7" s="50" t="s">
        <v>177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3"/>
      <c r="Q7" s="53"/>
      <c r="R7" s="53"/>
      <c r="S7" s="53"/>
      <c r="T7" s="58"/>
      <c r="U7" s="59" t="s">
        <v>168</v>
      </c>
      <c r="V7" s="60">
        <v>8000</v>
      </c>
      <c r="W7" s="60"/>
      <c r="X7" s="60"/>
      <c r="Y7" s="60"/>
      <c r="Z7" s="60"/>
      <c r="AA7" s="60"/>
      <c r="AB7" s="60"/>
      <c r="AC7" s="60"/>
      <c r="AD7" s="63"/>
      <c r="AE7" s="60"/>
      <c r="AF7" s="60"/>
      <c r="AG7" s="64"/>
      <c r="AH7" s="60"/>
      <c r="AI7" s="60"/>
      <c r="AJ7" s="60"/>
      <c r="AK7" s="60"/>
      <c r="AL7" s="64"/>
      <c r="AM7" s="60"/>
      <c r="AN7" s="60"/>
      <c r="AO7" s="60"/>
      <c r="AP7" s="60"/>
      <c r="AQ7" s="60"/>
      <c r="AR7" s="66"/>
      <c r="AS7" s="66"/>
      <c r="AT7" s="60"/>
      <c r="AU7" s="60"/>
      <c r="AV7" s="60"/>
      <c r="AW7" s="60"/>
      <c r="AX7" s="60"/>
      <c r="AY7" s="60"/>
      <c r="AZ7" s="60"/>
      <c r="BA7" s="60"/>
      <c r="BB7" s="60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60"/>
      <c r="CF7" s="60"/>
      <c r="CG7" s="60"/>
      <c r="CH7" s="60"/>
      <c r="CI7" s="60"/>
      <c r="CJ7" s="60"/>
      <c r="CK7" s="60"/>
      <c r="CL7" s="60"/>
      <c r="CM7" s="60"/>
      <c r="CN7" s="69" t="str">
        <f t="shared" si="2"/>
        <v>InitUnitState('E005',8000,,,,,,,,,)</v>
      </c>
      <c r="CO7" s="69" t="str">
        <f t="shared" si="3"/>
        <v>InitUnitNormal('E005',,,,,,,,,,)</v>
      </c>
      <c r="CP7" s="69" t="str">
        <f t="shared" si="4"/>
        <v>InitUnitMagic('E005',,,,,,,,,,)</v>
      </c>
      <c r="CQ7" s="69" t="str">
        <f t="shared" si="5"/>
        <v>InitUnitAdd('E005',,,,,,,,,,)</v>
      </c>
      <c r="CR7" s="69" t="str">
        <f t="shared" si="6"/>
        <v>InitEquipData('E005',,"",,E006,2000,100,'','','','','','',"ReplaceableTextures\\CommandButtons\\BTNZ02.blp")</v>
      </c>
      <c r="CS7" s="69"/>
      <c r="CT7" s="69"/>
      <c r="CU7" s="71" t="str">
        <f t="shared" si="78"/>
        <v>|n攻击+8000|n</v>
      </c>
      <c r="CV7" s="5" t="str">
        <f>"|Cffbbbbbb属性：|r"&amp;CU7&amp;VLOOKUP(A7,合成公式!A:P,16,FALSE)&amp;T7&amp;"|n|Cff00ff7f点击消耗"&amp;F7&amp;"金币进行晋阶挑战"</f>
        <v>|Cffbbbbbb属性：|r|n攻击+8000|n|n|Cff00ff7f点击消耗2000金币进行晋阶挑战</v>
      </c>
      <c r="DB7" s="43" t="str">
        <f t="shared" si="79"/>
        <v>|n攻击+8000</v>
      </c>
      <c r="DC7" s="43" t="str">
        <f t="shared" si="80"/>
        <v/>
      </c>
      <c r="DD7" s="43" t="str">
        <f t="shared" si="81"/>
        <v/>
      </c>
      <c r="DE7" s="43" t="str">
        <f t="shared" si="82"/>
        <v/>
      </c>
      <c r="DF7" s="43" t="str">
        <f t="shared" si="83"/>
        <v/>
      </c>
      <c r="DG7" s="43" t="str">
        <f t="shared" si="84"/>
        <v/>
      </c>
      <c r="DH7" s="43" t="str">
        <f t="shared" si="85"/>
        <v/>
      </c>
      <c r="DI7" s="43" t="str">
        <f t="shared" si="86"/>
        <v/>
      </c>
      <c r="DJ7" s="43" t="str">
        <f t="shared" si="87"/>
        <v/>
      </c>
      <c r="DK7" s="43" t="str">
        <f t="shared" si="88"/>
        <v/>
      </c>
      <c r="DL7" s="43" t="str">
        <f t="shared" si="89"/>
        <v/>
      </c>
      <c r="DM7" s="43" t="str">
        <f t="shared" si="90"/>
        <v/>
      </c>
      <c r="DN7" s="43" t="str">
        <f t="shared" si="91"/>
        <v/>
      </c>
      <c r="DO7" s="43" t="str">
        <f t="shared" si="92"/>
        <v/>
      </c>
      <c r="DP7" s="43" t="str">
        <f t="shared" si="93"/>
        <v/>
      </c>
      <c r="DQ7" s="43" t="str">
        <f t="shared" si="94"/>
        <v/>
      </c>
      <c r="DR7" s="43" t="str">
        <f t="shared" si="95"/>
        <v/>
      </c>
      <c r="DS7" s="43" t="str">
        <f t="shared" si="96"/>
        <v/>
      </c>
      <c r="DT7" s="43" t="str">
        <f t="shared" si="97"/>
        <v/>
      </c>
      <c r="DU7" s="43" t="str">
        <f t="shared" si="98"/>
        <v/>
      </c>
      <c r="DV7" s="43" t="str">
        <f t="shared" si="99"/>
        <v/>
      </c>
      <c r="DW7" s="43" t="str">
        <f t="shared" si="100"/>
        <v/>
      </c>
      <c r="DX7" s="43" t="str">
        <f t="shared" si="101"/>
        <v/>
      </c>
      <c r="DY7" s="43" t="str">
        <f t="shared" si="102"/>
        <v/>
      </c>
      <c r="DZ7" s="43" t="str">
        <f t="shared" si="103"/>
        <v/>
      </c>
      <c r="EA7" s="43" t="str">
        <f t="shared" si="104"/>
        <v/>
      </c>
      <c r="EB7" s="43" t="str">
        <f t="shared" si="105"/>
        <v/>
      </c>
      <c r="EC7" s="43" t="str">
        <f t="shared" si="106"/>
        <v/>
      </c>
      <c r="ED7" s="43" t="str">
        <f t="shared" si="107"/>
        <v/>
      </c>
      <c r="EE7" s="43" t="str">
        <f t="shared" si="108"/>
        <v/>
      </c>
      <c r="EF7" s="43" t="str">
        <f t="shared" si="109"/>
        <v/>
      </c>
      <c r="EG7" s="43" t="str">
        <f t="shared" si="110"/>
        <v/>
      </c>
      <c r="EH7" s="43" t="str">
        <f t="shared" si="111"/>
        <v/>
      </c>
      <c r="EI7" s="43" t="str">
        <f t="shared" si="112"/>
        <v/>
      </c>
      <c r="EJ7" s="43" t="str">
        <f t="shared" si="113"/>
        <v/>
      </c>
      <c r="EK7" s="43" t="str">
        <f t="shared" si="114"/>
        <v/>
      </c>
      <c r="EL7" s="43" t="str">
        <f t="shared" si="115"/>
        <v/>
      </c>
      <c r="EM7" s="43" t="str">
        <f t="shared" si="116"/>
        <v/>
      </c>
      <c r="EN7" s="43" t="str">
        <f t="shared" si="117"/>
        <v/>
      </c>
      <c r="EO7" s="43" t="str">
        <f t="shared" si="118"/>
        <v/>
      </c>
      <c r="EP7" s="43" t="str">
        <f t="shared" si="119"/>
        <v/>
      </c>
      <c r="EQ7" s="43" t="str">
        <f t="shared" si="120"/>
        <v/>
      </c>
      <c r="ER7" s="43" t="str">
        <f t="shared" si="121"/>
        <v/>
      </c>
      <c r="ES7" s="43" t="str">
        <f t="shared" si="122"/>
        <v/>
      </c>
      <c r="ET7" s="43" t="str">
        <f t="shared" si="123"/>
        <v/>
      </c>
      <c r="EU7" s="43" t="str">
        <f t="shared" si="124"/>
        <v/>
      </c>
      <c r="EV7" s="43" t="str">
        <f t="shared" si="125"/>
        <v/>
      </c>
      <c r="EW7" s="43" t="str">
        <f t="shared" si="126"/>
        <v/>
      </c>
      <c r="EX7" s="43" t="str">
        <f t="shared" si="127"/>
        <v/>
      </c>
      <c r="EY7" s="43" t="str">
        <f t="shared" si="128"/>
        <v/>
      </c>
      <c r="EZ7" s="43" t="str">
        <f t="shared" si="129"/>
        <v/>
      </c>
      <c r="FA7" s="43" t="str">
        <f t="shared" si="130"/>
        <v/>
      </c>
      <c r="FB7" s="43" t="str">
        <f t="shared" si="131"/>
        <v/>
      </c>
      <c r="FC7" s="43" t="str">
        <f t="shared" si="132"/>
        <v/>
      </c>
      <c r="FD7" s="43" t="str">
        <f t="shared" si="133"/>
        <v/>
      </c>
      <c r="FE7" s="43" t="str">
        <f t="shared" si="134"/>
        <v/>
      </c>
      <c r="FF7" s="43" t="str">
        <f t="shared" si="135"/>
        <v/>
      </c>
      <c r="FG7" s="43" t="str">
        <f t="shared" si="136"/>
        <v/>
      </c>
      <c r="FH7" s="43" t="str">
        <f t="shared" si="137"/>
        <v/>
      </c>
      <c r="FI7" s="43" t="str">
        <f t="shared" si="138"/>
        <v/>
      </c>
      <c r="FJ7" s="43" t="str">
        <f t="shared" si="139"/>
        <v/>
      </c>
      <c r="FK7" s="43" t="str">
        <f t="shared" si="140"/>
        <v/>
      </c>
      <c r="FL7" s="43" t="str">
        <f t="shared" si="141"/>
        <v/>
      </c>
      <c r="FM7" s="43" t="str">
        <f t="shared" si="142"/>
        <v/>
      </c>
      <c r="FN7" s="43" t="str">
        <f t="shared" si="143"/>
        <v/>
      </c>
      <c r="FO7" s="43" t="str">
        <f t="shared" si="144"/>
        <v/>
      </c>
      <c r="FP7" s="43" t="str">
        <f t="shared" si="145"/>
        <v/>
      </c>
      <c r="FQ7" s="43" t="str">
        <f t="shared" si="146"/>
        <v/>
      </c>
      <c r="FR7" s="43" t="str">
        <f t="shared" si="147"/>
        <v/>
      </c>
      <c r="FS7" s="43" t="str">
        <f t="shared" si="148"/>
        <v/>
      </c>
    </row>
    <row r="8" s="6" customFormat="1" ht="15" spans="1:175">
      <c r="A8" s="10"/>
      <c r="B8" s="45" t="s">
        <v>178</v>
      </c>
      <c r="C8" s="10" t="s">
        <v>179</v>
      </c>
      <c r="D8" s="46"/>
      <c r="E8" s="47"/>
      <c r="F8" s="48">
        <v>1000</v>
      </c>
      <c r="G8" s="49">
        <v>90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3"/>
      <c r="Q8" s="53"/>
      <c r="R8" s="53"/>
      <c r="S8" s="53"/>
      <c r="T8" s="58"/>
      <c r="U8" s="59" t="s">
        <v>180</v>
      </c>
      <c r="V8" s="60">
        <v>12000</v>
      </c>
      <c r="W8" s="60"/>
      <c r="X8" s="60"/>
      <c r="Y8" s="60"/>
      <c r="Z8" s="60"/>
      <c r="AA8" s="60"/>
      <c r="AB8" s="60"/>
      <c r="AC8" s="60"/>
      <c r="AD8" s="63"/>
      <c r="AE8" s="60"/>
      <c r="AF8" s="60"/>
      <c r="AG8" s="64"/>
      <c r="AH8" s="60"/>
      <c r="AI8" s="60"/>
      <c r="AJ8" s="60"/>
      <c r="AK8" s="60"/>
      <c r="AL8" s="64"/>
      <c r="AM8" s="60"/>
      <c r="AN8" s="60">
        <v>5</v>
      </c>
      <c r="AO8" s="60">
        <v>100</v>
      </c>
      <c r="AP8" s="60">
        <v>1</v>
      </c>
      <c r="AQ8" s="60"/>
      <c r="AR8" s="66"/>
      <c r="AS8" s="66"/>
      <c r="AT8" s="60"/>
      <c r="AU8" s="60"/>
      <c r="AV8" s="60"/>
      <c r="AW8" s="60"/>
      <c r="AX8" s="60"/>
      <c r="AY8" s="60"/>
      <c r="AZ8" s="60"/>
      <c r="BA8" s="60"/>
      <c r="BB8" s="60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60"/>
      <c r="CF8" s="60"/>
      <c r="CG8" s="60"/>
      <c r="CH8" s="60"/>
      <c r="CI8" s="60"/>
      <c r="CJ8" s="60"/>
      <c r="CK8" s="60"/>
      <c r="CL8" s="60"/>
      <c r="CM8" s="60"/>
      <c r="CN8" s="69" t="str">
        <f t="shared" si="2"/>
        <v>InitUnitState('E006',12000,,,,,,,,,)</v>
      </c>
      <c r="CO8" s="69" t="str">
        <f t="shared" si="3"/>
        <v>InitUnitNormal('E006',,,,,,,,,5,100)</v>
      </c>
      <c r="CP8" s="69" t="str">
        <f t="shared" si="4"/>
        <v>InitUnitMagic('E006',1,,,,,,,,,)</v>
      </c>
      <c r="CQ8" s="69" t="str">
        <f t="shared" si="5"/>
        <v>InitUnitAdd('E006',,,,,,,,,,)</v>
      </c>
      <c r="CR8" s="69" t="str">
        <f t="shared" si="6"/>
        <v>InitEquipData('E006',,"",,E007,1000,90,'','','','','','',"ReplaceableTextures\\CommandButtons\\BTNZ02.blp")</v>
      </c>
      <c r="CS8" s="69"/>
      <c r="CT8" s="69"/>
      <c r="CU8" s="71" t="str">
        <f t="shared" si="78"/>
        <v>|n攻击+12000|n暴击+5%|n暴伤+100%|n伤害吸取+1%|n</v>
      </c>
      <c r="CV8" s="5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|Cffbbbbbb属性：|r|n攻击+12000|n暴击+5%|n暴伤+100%|n伤害吸取+1%|n|n|Cff00ff7f点击消耗1000金币进行强化|n成功率90%</v>
      </c>
      <c r="DB8" s="43" t="str">
        <f t="shared" ref="DB8:DB18" si="149">IF(V8="","","|n"&amp;DB$2&amp;"+"&amp;V8&amp;DB$1)</f>
        <v>|n攻击+12000</v>
      </c>
      <c r="DC8" s="43" t="str">
        <f t="shared" ref="DC8:DC18" si="150">IF(W8="","","|n"&amp;DC$2&amp;"+"&amp;W8&amp;DC$1)</f>
        <v/>
      </c>
      <c r="DD8" s="43" t="str">
        <f t="shared" ref="DD8:DD18" si="151">IF(X8="","","|n"&amp;DD$2&amp;"+"&amp;X8&amp;DD$1)</f>
        <v/>
      </c>
      <c r="DE8" s="43" t="str">
        <f t="shared" ref="DE8:DE18" si="152">IF(Y8="","","|n"&amp;DE$2&amp;"+"&amp;Y8&amp;DE$1)</f>
        <v/>
      </c>
      <c r="DF8" s="43" t="str">
        <f t="shared" ref="DF8:DF18" si="153">IF(Z8="","","|n"&amp;DF$2&amp;"+"&amp;Z8&amp;DF$1)</f>
        <v/>
      </c>
      <c r="DG8" s="43" t="str">
        <f t="shared" ref="DG8:DG18" si="154">IF(AA8="","","|n"&amp;DG$2&amp;"+"&amp;AA8&amp;DG$1)</f>
        <v/>
      </c>
      <c r="DH8" s="43" t="str">
        <f t="shared" ref="DH8:DH18" si="155">IF(AB8="","","|n"&amp;DH$2&amp;"+"&amp;AB8&amp;DH$1)</f>
        <v/>
      </c>
      <c r="DI8" s="43" t="str">
        <f t="shared" ref="DI8:DI18" si="156">IF(AC8="","","|n"&amp;DI$2&amp;"+"&amp;AC8&amp;DI$1)</f>
        <v/>
      </c>
      <c r="DJ8" s="43" t="str">
        <f t="shared" ref="DJ8:DJ18" si="157">IF(AD8="","","|n"&amp;DJ$2&amp;"+"&amp;AD8&amp;DJ$1)</f>
        <v/>
      </c>
      <c r="DK8" s="43" t="str">
        <f t="shared" ref="DK8:DK18" si="158">IF(AE8="","","|n"&amp;DK$2&amp;"+"&amp;AE8&amp;DK$1)</f>
        <v/>
      </c>
      <c r="DL8" s="43" t="str">
        <f t="shared" ref="DL8:DL18" si="159">IF(AF8="","","|n"&amp;DL$2&amp;"+"&amp;AF8&amp;DL$1)</f>
        <v/>
      </c>
      <c r="DM8" s="43" t="str">
        <f t="shared" ref="DM8:DM18" si="160">IF(AG8="","","|n"&amp;DM$2&amp;"+"&amp;AG8&amp;DM$1)</f>
        <v/>
      </c>
      <c r="DN8" s="43" t="str">
        <f t="shared" ref="DN8:DN18" si="161">IF(AH8="","","|n"&amp;DN$2&amp;"+"&amp;AH8&amp;DN$1)</f>
        <v/>
      </c>
      <c r="DO8" s="43" t="str">
        <f t="shared" ref="DO8:DO18" si="162">IF(AI8="","","|n"&amp;DO$2&amp;"+"&amp;AI8&amp;DO$1)</f>
        <v/>
      </c>
      <c r="DP8" s="43" t="str">
        <f t="shared" ref="DP8:DP18" si="163">IF(AJ8="","","|n"&amp;DP$2&amp;"+"&amp;AJ8&amp;DP$1)</f>
        <v/>
      </c>
      <c r="DQ8" s="43" t="str">
        <f t="shared" ref="DQ8:DQ18" si="164">IF(AK8="","","|n"&amp;DQ$2&amp;"+"&amp;AK8&amp;DQ$1)</f>
        <v/>
      </c>
      <c r="DR8" s="43" t="str">
        <f t="shared" ref="DR8:DR18" si="165">IF(AL8="","","|n"&amp;DR$2&amp;"+"&amp;AL8&amp;DR$1)</f>
        <v/>
      </c>
      <c r="DS8" s="43" t="str">
        <f t="shared" ref="DS8:DS18" si="166">IF(AM8="","","|n"&amp;DS$2&amp;"+"&amp;AM8&amp;DS$1)</f>
        <v/>
      </c>
      <c r="DT8" s="43" t="str">
        <f t="shared" ref="DT8:DT18" si="167">IF(AN8="","","|n"&amp;DT$2&amp;"+"&amp;AN8&amp;DT$1)</f>
        <v>|n暴击+5%</v>
      </c>
      <c r="DU8" s="43" t="str">
        <f t="shared" ref="DU8:DU18" si="168">IF(AO8="","","|n"&amp;DU$2&amp;"+"&amp;AO8&amp;DU$1)</f>
        <v>|n暴伤+100%</v>
      </c>
      <c r="DV8" s="43" t="str">
        <f t="shared" ref="DV8:DV18" si="169">IF(AP8="","","|n"&amp;DV$2&amp;"+"&amp;AP8&amp;DV$1)</f>
        <v>|n伤害吸取+1%</v>
      </c>
      <c r="DW8" s="43" t="str">
        <f t="shared" ref="DW8:DW18" si="170">IF(AQ8="","","|n"&amp;DW$2&amp;"+"&amp;AQ8&amp;DW$1)</f>
        <v/>
      </c>
      <c r="DX8" s="43" t="str">
        <f t="shared" ref="DX8:DX18" si="171">IF(AR8="","","|n"&amp;DX$2&amp;"+"&amp;AR8&amp;DX$1)</f>
        <v/>
      </c>
      <c r="DY8" s="43" t="str">
        <f t="shared" ref="DY8:DY18" si="172">IF(AS8="","","|n"&amp;DY$2&amp;"+"&amp;AS8&amp;DY$1)</f>
        <v/>
      </c>
      <c r="DZ8" s="43" t="str">
        <f t="shared" ref="DZ8:DZ18" si="173">IF(AT8="","","|n"&amp;DZ$2&amp;"+"&amp;AT8&amp;DZ$1)</f>
        <v/>
      </c>
      <c r="EA8" s="43" t="str">
        <f t="shared" ref="EA8:EA18" si="174">IF(AU8="","","|n"&amp;EA$2&amp;"+"&amp;AU8&amp;EA$1)</f>
        <v/>
      </c>
      <c r="EB8" s="43" t="str">
        <f t="shared" ref="EB8:EB18" si="175">IF(AV8="","","|n"&amp;EB$2&amp;"+"&amp;AV8&amp;EB$1)</f>
        <v/>
      </c>
      <c r="EC8" s="43" t="str">
        <f t="shared" ref="EC8:EC18" si="176">IF(AW8="","","|n"&amp;EC$2&amp;"+"&amp;AW8&amp;EC$1)</f>
        <v/>
      </c>
      <c r="ED8" s="43" t="str">
        <f t="shared" ref="ED8:ED18" si="177">IF(AX8="","","|n"&amp;ED$2&amp;"+"&amp;AX8&amp;ED$1)</f>
        <v/>
      </c>
      <c r="EE8" s="43" t="str">
        <f t="shared" ref="EE8:EE18" si="178">IF(AY8="","","|n"&amp;EE$2&amp;"+"&amp;AY8&amp;EE$1)</f>
        <v/>
      </c>
      <c r="EF8" s="43" t="str">
        <f t="shared" ref="EF8:EF18" si="179">IF(AZ8="","","|n"&amp;EF$2&amp;"+"&amp;AZ8&amp;EF$1)</f>
        <v/>
      </c>
      <c r="EG8" s="43" t="str">
        <f t="shared" ref="EG8:EG18" si="180">IF(BA8="","","|n"&amp;EG$2&amp;"+"&amp;BA8&amp;EG$1)</f>
        <v/>
      </c>
      <c r="EH8" s="43" t="str">
        <f t="shared" ref="EH8:EH18" si="181">IF(BB8="","","|n"&amp;EH$2&amp;"+"&amp;BB8&amp;EH$1)</f>
        <v/>
      </c>
      <c r="EI8" s="43" t="str">
        <f t="shared" ref="EI8:EI18" si="182">IF(BC8="","","|n"&amp;EI$2&amp;"+"&amp;BC8&amp;EI$1)</f>
        <v/>
      </c>
      <c r="EJ8" s="43" t="str">
        <f t="shared" ref="EJ8:EJ18" si="183">IF(BD8="","","|n"&amp;EJ$2&amp;"+"&amp;BD8&amp;EJ$1)</f>
        <v/>
      </c>
      <c r="EK8" s="43" t="str">
        <f t="shared" ref="EK8:EK18" si="184">IF(BE8="","","|n"&amp;EK$2&amp;"+"&amp;BE8&amp;EK$1)</f>
        <v/>
      </c>
      <c r="EL8" s="43" t="str">
        <f t="shared" ref="EL8:EL18" si="185">IF(BF8="","","|n"&amp;EL$2&amp;"+"&amp;BF8&amp;EL$1)</f>
        <v/>
      </c>
      <c r="EM8" s="43" t="str">
        <f t="shared" ref="EM8:EM18" si="186">IF(BG8="","","|n"&amp;EM$2&amp;"+"&amp;BG8&amp;EM$1)</f>
        <v/>
      </c>
      <c r="EN8" s="43" t="str">
        <f t="shared" ref="EN8:EN18" si="187">IF(BH8="","","|n"&amp;EN$2&amp;"+"&amp;BH8&amp;EN$1)</f>
        <v/>
      </c>
      <c r="EO8" s="43" t="str">
        <f t="shared" ref="EO8:EO18" si="188">IF(BI8="","","|n"&amp;EO$2&amp;"+"&amp;BI8&amp;EO$1)</f>
        <v/>
      </c>
      <c r="EP8" s="43" t="str">
        <f t="shared" ref="EP8:EP18" si="189">IF(BJ8="","","|n"&amp;EP$2&amp;"+"&amp;BJ8&amp;EP$1)</f>
        <v/>
      </c>
      <c r="EQ8" s="43" t="str">
        <f t="shared" ref="EQ8:EQ18" si="190">IF(BK8="","","|n"&amp;EQ$2&amp;"+"&amp;BK8&amp;EQ$1)</f>
        <v/>
      </c>
      <c r="ER8" s="43" t="str">
        <f t="shared" ref="ER8:ER18" si="191">IF(BL8="","","|n"&amp;ER$2&amp;"+"&amp;BL8&amp;ER$1)</f>
        <v/>
      </c>
      <c r="ES8" s="43" t="str">
        <f t="shared" ref="ES8:ES18" si="192">IF(BM8="","","|n"&amp;ES$2&amp;"+"&amp;BM8&amp;ES$1)</f>
        <v/>
      </c>
      <c r="ET8" s="43" t="str">
        <f t="shared" ref="ET8:ET18" si="193">IF(BN8="","","|n"&amp;ET$2&amp;"+"&amp;BN8&amp;ET$1)</f>
        <v/>
      </c>
      <c r="EU8" s="43" t="str">
        <f t="shared" ref="EU8:EU18" si="194">IF(BO8="","","|n"&amp;EU$2&amp;"+"&amp;BO8&amp;EU$1)</f>
        <v/>
      </c>
      <c r="EV8" s="43" t="str">
        <f t="shared" ref="EV8:EV18" si="195">IF(BP8="","","|n"&amp;EV$2&amp;"+"&amp;BP8&amp;EV$1)</f>
        <v/>
      </c>
      <c r="EW8" s="43" t="str">
        <f t="shared" ref="EW8:EW18" si="196">IF(BQ8="","","|n"&amp;EW$2&amp;"+"&amp;BQ8&amp;EW$1)</f>
        <v/>
      </c>
      <c r="EX8" s="43" t="str">
        <f t="shared" ref="EX8:EX18" si="197">IF(BR8="","","|n"&amp;EX$2&amp;"+"&amp;BR8&amp;EX$1)</f>
        <v/>
      </c>
      <c r="EY8" s="43" t="str">
        <f t="shared" ref="EY8:EY18" si="198">IF(BS8="","","|n"&amp;EY$2&amp;"+"&amp;BS8&amp;EY$1)</f>
        <v/>
      </c>
      <c r="EZ8" s="43" t="str">
        <f t="shared" ref="EZ8:EZ18" si="199">IF(BT8="","","|n"&amp;EZ$2&amp;"+"&amp;BT8&amp;EZ$1)</f>
        <v/>
      </c>
      <c r="FA8" s="43" t="str">
        <f t="shared" ref="FA8:FA18" si="200">IF(BU8="","","|n"&amp;FA$2&amp;"+"&amp;BU8&amp;FA$1)</f>
        <v/>
      </c>
      <c r="FB8" s="43" t="str">
        <f t="shared" ref="FB8:FB18" si="201">IF(BV8="","","|n"&amp;FB$2&amp;"+"&amp;BV8&amp;FB$1)</f>
        <v/>
      </c>
      <c r="FC8" s="43" t="str">
        <f t="shared" ref="FC8:FC18" si="202">IF(BW8="","","|n"&amp;FC$2&amp;"+"&amp;BW8&amp;FC$1)</f>
        <v/>
      </c>
      <c r="FD8" s="43" t="str">
        <f t="shared" ref="FD8:FD18" si="203">IF(BX8="","","|n"&amp;FD$2&amp;"+"&amp;BX8&amp;FD$1)</f>
        <v/>
      </c>
      <c r="FE8" s="43" t="str">
        <f t="shared" ref="FE8:FE18" si="204">IF(BY8="","","|n"&amp;FE$2&amp;"+"&amp;BY8&amp;FE$1)</f>
        <v/>
      </c>
      <c r="FF8" s="43" t="str">
        <f t="shared" ref="FF8:FF18" si="205">IF(BZ8="","","|n"&amp;FF$2&amp;"+"&amp;BZ8&amp;FF$1)</f>
        <v/>
      </c>
      <c r="FG8" s="43" t="str">
        <f t="shared" ref="FG8:FG18" si="206">IF(CA8="","","|n"&amp;FG$2&amp;"+"&amp;CA8&amp;FG$1)</f>
        <v/>
      </c>
      <c r="FH8" s="43" t="str">
        <f t="shared" ref="FH8:FH18" si="207">IF(CB8="","","|n"&amp;FH$2&amp;"+"&amp;CB8&amp;FH$1)</f>
        <v/>
      </c>
      <c r="FI8" s="43" t="str">
        <f t="shared" ref="FI8:FI18" si="208">IF(CC8="","","|n"&amp;FI$2&amp;"+"&amp;CC8&amp;FI$1)</f>
        <v/>
      </c>
      <c r="FJ8" s="43" t="str">
        <f t="shared" ref="FJ8:FJ18" si="209">IF(CD8="","","|n"&amp;FJ$2&amp;"+"&amp;CD8&amp;FJ$1)</f>
        <v/>
      </c>
      <c r="FK8" s="43" t="str">
        <f t="shared" ref="FK8:FK18" si="210">IF(CE8="","","|n"&amp;FK$2&amp;"+"&amp;CE8&amp;FK$1)</f>
        <v/>
      </c>
      <c r="FL8" s="43" t="str">
        <f t="shared" ref="FL8:FL18" si="211">IF(CF8="","","|n"&amp;FL$2&amp;"+"&amp;CF8&amp;FL$1)</f>
        <v/>
      </c>
      <c r="FM8" s="43" t="str">
        <f t="shared" ref="FM8:FM18" si="212">IF(CG8="","","|n"&amp;FM$2&amp;"+"&amp;CG8&amp;FM$1)</f>
        <v/>
      </c>
      <c r="FN8" s="43" t="str">
        <f t="shared" ref="FN8:FN18" si="213">IF(CH8="","","|n"&amp;FN$2&amp;"+"&amp;CH8&amp;FN$1)</f>
        <v/>
      </c>
      <c r="FO8" s="43" t="str">
        <f t="shared" ref="FO8:FO18" si="214">IF(CI8="","","|n"&amp;FO$2&amp;"+"&amp;CI8&amp;FO$1)</f>
        <v/>
      </c>
      <c r="FP8" s="43" t="str">
        <f t="shared" ref="FP8:FP18" si="215">IF(CJ8="","","|n"&amp;FP$2&amp;"+"&amp;CJ8&amp;FP$1)</f>
        <v/>
      </c>
      <c r="FQ8" s="43" t="str">
        <f t="shared" ref="FQ8:FQ18" si="216">IF(CK8="","","|n"&amp;FQ$2&amp;"+"&amp;CK8&amp;FQ$1)</f>
        <v/>
      </c>
      <c r="FR8" s="43" t="str">
        <f t="shared" ref="FR8:FR18" si="217">IF(CL8="","","|n"&amp;FR$2&amp;"+"&amp;CL8&amp;FR$1)</f>
        <v/>
      </c>
      <c r="FS8" s="43" t="str">
        <f t="shared" ref="FS8:FS18" si="218">IF(CM8="","","|n"&amp;FS$2&amp;"+"&amp;CM8&amp;FS$1)</f>
        <v/>
      </c>
    </row>
    <row r="9" s="6" customFormat="1" ht="15" spans="1:175">
      <c r="A9" s="10"/>
      <c r="B9" s="45" t="s">
        <v>181</v>
      </c>
      <c r="C9" s="10" t="s">
        <v>182</v>
      </c>
      <c r="D9" s="46"/>
      <c r="E9" s="47"/>
      <c r="F9" s="48">
        <v>1000</v>
      </c>
      <c r="G9" s="49">
        <v>90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3"/>
      <c r="Q9" s="53"/>
      <c r="R9" s="53"/>
      <c r="S9" s="53"/>
      <c r="T9" s="58"/>
      <c r="U9" s="59" t="s">
        <v>180</v>
      </c>
      <c r="V9" s="60">
        <v>16000</v>
      </c>
      <c r="W9" s="60"/>
      <c r="X9" s="60"/>
      <c r="Y9" s="60"/>
      <c r="Z9" s="60"/>
      <c r="AA9" s="60"/>
      <c r="AB9" s="60"/>
      <c r="AC9" s="60"/>
      <c r="AD9" s="63"/>
      <c r="AE9" s="60"/>
      <c r="AF9" s="60"/>
      <c r="AG9" s="64"/>
      <c r="AH9" s="60"/>
      <c r="AI9" s="60"/>
      <c r="AJ9" s="60"/>
      <c r="AK9" s="60"/>
      <c r="AL9" s="64"/>
      <c r="AM9" s="60"/>
      <c r="AN9" s="60">
        <v>5</v>
      </c>
      <c r="AO9" s="60">
        <v>100</v>
      </c>
      <c r="AP9" s="60">
        <v>1</v>
      </c>
      <c r="AQ9" s="60"/>
      <c r="AR9" s="66"/>
      <c r="AS9" s="66"/>
      <c r="AT9" s="60"/>
      <c r="AU9" s="60"/>
      <c r="AV9" s="60"/>
      <c r="AW9" s="60"/>
      <c r="AX9" s="60"/>
      <c r="AY9" s="60"/>
      <c r="AZ9" s="60"/>
      <c r="BA9" s="60"/>
      <c r="BB9" s="60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60"/>
      <c r="CF9" s="60"/>
      <c r="CG9" s="60"/>
      <c r="CH9" s="60"/>
      <c r="CI9" s="60"/>
      <c r="CJ9" s="60"/>
      <c r="CK9" s="60"/>
      <c r="CL9" s="60"/>
      <c r="CM9" s="60"/>
      <c r="CN9" s="69" t="str">
        <f t="shared" si="2"/>
        <v>InitUnitState('E007',16000,,,,,,,,,)</v>
      </c>
      <c r="CO9" s="69" t="str">
        <f t="shared" si="3"/>
        <v>InitUnitNormal('E007',,,,,,,,,5,100)</v>
      </c>
      <c r="CP9" s="69" t="str">
        <f t="shared" si="4"/>
        <v>InitUnitMagic('E007',1,,,,,,,,,)</v>
      </c>
      <c r="CQ9" s="69" t="str">
        <f t="shared" si="5"/>
        <v>InitUnitAdd('E007',,,,,,,,,,)</v>
      </c>
      <c r="CR9" s="69" t="str">
        <f t="shared" si="6"/>
        <v>InitEquipData('E007',,"",,E008,1000,90,'','','','','','',"ReplaceableTextures\\CommandButtons\\BTNZ02.blp")</v>
      </c>
      <c r="CS9" s="69"/>
      <c r="CT9" s="69"/>
      <c r="CU9" s="71" t="str">
        <f t="shared" si="78"/>
        <v>|n攻击+16000|n暴击+5%|n暴伤+100%|n伤害吸取+1%|n</v>
      </c>
      <c r="CV9" s="5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|Cffbbbbbb属性：|r|n攻击+16000|n暴击+5%|n暴伤+100%|n伤害吸取+1%|n|n|Cff00ff7f点击消耗1000金币进行强化|n成功率90%</v>
      </c>
      <c r="DB9" s="43" t="str">
        <f t="shared" si="149"/>
        <v>|n攻击+16000</v>
      </c>
      <c r="DC9" s="43" t="str">
        <f t="shared" si="150"/>
        <v/>
      </c>
      <c r="DD9" s="43" t="str">
        <f t="shared" si="151"/>
        <v/>
      </c>
      <c r="DE9" s="43" t="str">
        <f t="shared" si="152"/>
        <v/>
      </c>
      <c r="DF9" s="43" t="str">
        <f t="shared" si="153"/>
        <v/>
      </c>
      <c r="DG9" s="43" t="str">
        <f t="shared" si="154"/>
        <v/>
      </c>
      <c r="DH9" s="43" t="str">
        <f t="shared" si="155"/>
        <v/>
      </c>
      <c r="DI9" s="43" t="str">
        <f t="shared" si="156"/>
        <v/>
      </c>
      <c r="DJ9" s="43" t="str">
        <f t="shared" si="157"/>
        <v/>
      </c>
      <c r="DK9" s="43" t="str">
        <f t="shared" si="158"/>
        <v/>
      </c>
      <c r="DL9" s="43" t="str">
        <f t="shared" si="159"/>
        <v/>
      </c>
      <c r="DM9" s="43" t="str">
        <f t="shared" si="160"/>
        <v/>
      </c>
      <c r="DN9" s="43" t="str">
        <f t="shared" si="161"/>
        <v/>
      </c>
      <c r="DO9" s="43" t="str">
        <f t="shared" si="162"/>
        <v/>
      </c>
      <c r="DP9" s="43" t="str">
        <f t="shared" si="163"/>
        <v/>
      </c>
      <c r="DQ9" s="43" t="str">
        <f t="shared" si="164"/>
        <v/>
      </c>
      <c r="DR9" s="43" t="str">
        <f t="shared" si="165"/>
        <v/>
      </c>
      <c r="DS9" s="43" t="str">
        <f t="shared" si="166"/>
        <v/>
      </c>
      <c r="DT9" s="43" t="str">
        <f t="shared" si="167"/>
        <v>|n暴击+5%</v>
      </c>
      <c r="DU9" s="43" t="str">
        <f t="shared" si="168"/>
        <v>|n暴伤+100%</v>
      </c>
      <c r="DV9" s="43" t="str">
        <f t="shared" si="169"/>
        <v>|n伤害吸取+1%</v>
      </c>
      <c r="DW9" s="43" t="str">
        <f t="shared" si="170"/>
        <v/>
      </c>
      <c r="DX9" s="43" t="str">
        <f t="shared" si="171"/>
        <v/>
      </c>
      <c r="DY9" s="43" t="str">
        <f t="shared" si="172"/>
        <v/>
      </c>
      <c r="DZ9" s="43" t="str">
        <f t="shared" si="173"/>
        <v/>
      </c>
      <c r="EA9" s="43" t="str">
        <f t="shared" si="174"/>
        <v/>
      </c>
      <c r="EB9" s="43" t="str">
        <f t="shared" si="175"/>
        <v/>
      </c>
      <c r="EC9" s="43" t="str">
        <f t="shared" si="176"/>
        <v/>
      </c>
      <c r="ED9" s="43" t="str">
        <f t="shared" si="177"/>
        <v/>
      </c>
      <c r="EE9" s="43" t="str">
        <f t="shared" si="178"/>
        <v/>
      </c>
      <c r="EF9" s="43" t="str">
        <f t="shared" si="179"/>
        <v/>
      </c>
      <c r="EG9" s="43" t="str">
        <f t="shared" si="180"/>
        <v/>
      </c>
      <c r="EH9" s="43" t="str">
        <f t="shared" si="181"/>
        <v/>
      </c>
      <c r="EI9" s="43" t="str">
        <f t="shared" si="182"/>
        <v/>
      </c>
      <c r="EJ9" s="43" t="str">
        <f t="shared" si="183"/>
        <v/>
      </c>
      <c r="EK9" s="43" t="str">
        <f t="shared" si="184"/>
        <v/>
      </c>
      <c r="EL9" s="43" t="str">
        <f t="shared" si="185"/>
        <v/>
      </c>
      <c r="EM9" s="43" t="str">
        <f t="shared" si="186"/>
        <v/>
      </c>
      <c r="EN9" s="43" t="str">
        <f t="shared" si="187"/>
        <v/>
      </c>
      <c r="EO9" s="43" t="str">
        <f t="shared" si="188"/>
        <v/>
      </c>
      <c r="EP9" s="43" t="str">
        <f t="shared" si="189"/>
        <v/>
      </c>
      <c r="EQ9" s="43" t="str">
        <f t="shared" si="190"/>
        <v/>
      </c>
      <c r="ER9" s="43" t="str">
        <f t="shared" si="191"/>
        <v/>
      </c>
      <c r="ES9" s="43" t="str">
        <f t="shared" si="192"/>
        <v/>
      </c>
      <c r="ET9" s="43" t="str">
        <f t="shared" si="193"/>
        <v/>
      </c>
      <c r="EU9" s="43" t="str">
        <f t="shared" si="194"/>
        <v/>
      </c>
      <c r="EV9" s="43" t="str">
        <f t="shared" si="195"/>
        <v/>
      </c>
      <c r="EW9" s="43" t="str">
        <f t="shared" si="196"/>
        <v/>
      </c>
      <c r="EX9" s="43" t="str">
        <f t="shared" si="197"/>
        <v/>
      </c>
      <c r="EY9" s="43" t="str">
        <f t="shared" si="198"/>
        <v/>
      </c>
      <c r="EZ9" s="43" t="str">
        <f t="shared" si="199"/>
        <v/>
      </c>
      <c r="FA9" s="43" t="str">
        <f t="shared" si="200"/>
        <v/>
      </c>
      <c r="FB9" s="43" t="str">
        <f t="shared" si="201"/>
        <v/>
      </c>
      <c r="FC9" s="43" t="str">
        <f t="shared" si="202"/>
        <v/>
      </c>
      <c r="FD9" s="43" t="str">
        <f t="shared" si="203"/>
        <v/>
      </c>
      <c r="FE9" s="43" t="str">
        <f t="shared" si="204"/>
        <v/>
      </c>
      <c r="FF9" s="43" t="str">
        <f t="shared" si="205"/>
        <v/>
      </c>
      <c r="FG9" s="43" t="str">
        <f t="shared" si="206"/>
        <v/>
      </c>
      <c r="FH9" s="43" t="str">
        <f t="shared" si="207"/>
        <v/>
      </c>
      <c r="FI9" s="43" t="str">
        <f t="shared" si="208"/>
        <v/>
      </c>
      <c r="FJ9" s="43" t="str">
        <f t="shared" si="209"/>
        <v/>
      </c>
      <c r="FK9" s="43" t="str">
        <f t="shared" si="210"/>
        <v/>
      </c>
      <c r="FL9" s="43" t="str">
        <f t="shared" si="211"/>
        <v/>
      </c>
      <c r="FM9" s="43" t="str">
        <f t="shared" si="212"/>
        <v/>
      </c>
      <c r="FN9" s="43" t="str">
        <f t="shared" si="213"/>
        <v/>
      </c>
      <c r="FO9" s="43" t="str">
        <f t="shared" si="214"/>
        <v/>
      </c>
      <c r="FP9" s="43" t="str">
        <f t="shared" si="215"/>
        <v/>
      </c>
      <c r="FQ9" s="43" t="str">
        <f t="shared" si="216"/>
        <v/>
      </c>
      <c r="FR9" s="43" t="str">
        <f t="shared" si="217"/>
        <v/>
      </c>
      <c r="FS9" s="43" t="str">
        <f t="shared" si="218"/>
        <v/>
      </c>
    </row>
    <row r="10" s="6" customFormat="1" ht="15" spans="1:175">
      <c r="A10" s="10"/>
      <c r="B10" s="45" t="s">
        <v>183</v>
      </c>
      <c r="C10" s="10" t="s">
        <v>184</v>
      </c>
      <c r="D10" s="46"/>
      <c r="E10" s="47"/>
      <c r="F10" s="48">
        <v>1000</v>
      </c>
      <c r="G10" s="49">
        <v>90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3"/>
      <c r="Q10" s="53"/>
      <c r="R10" s="53"/>
      <c r="S10" s="53"/>
      <c r="T10" s="58"/>
      <c r="U10" s="59" t="s">
        <v>180</v>
      </c>
      <c r="V10" s="60">
        <v>20000</v>
      </c>
      <c r="W10" s="60"/>
      <c r="X10" s="60"/>
      <c r="Y10" s="60"/>
      <c r="Z10" s="60"/>
      <c r="AA10" s="60"/>
      <c r="AB10" s="60"/>
      <c r="AC10" s="60"/>
      <c r="AD10" s="63"/>
      <c r="AE10" s="60"/>
      <c r="AF10" s="60"/>
      <c r="AG10" s="64"/>
      <c r="AH10" s="60"/>
      <c r="AI10" s="60"/>
      <c r="AJ10" s="60"/>
      <c r="AK10" s="60"/>
      <c r="AL10" s="64"/>
      <c r="AM10" s="60"/>
      <c r="AN10" s="60">
        <v>5</v>
      </c>
      <c r="AO10" s="60">
        <v>100</v>
      </c>
      <c r="AP10" s="60">
        <v>2</v>
      </c>
      <c r="AQ10" s="60"/>
      <c r="AR10" s="66"/>
      <c r="AS10" s="66"/>
      <c r="AT10" s="60"/>
      <c r="AU10" s="60"/>
      <c r="AV10" s="60"/>
      <c r="AW10" s="60"/>
      <c r="AX10" s="60"/>
      <c r="AY10" s="60"/>
      <c r="AZ10" s="60"/>
      <c r="BA10" s="60"/>
      <c r="BB10" s="6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60"/>
      <c r="CF10" s="60"/>
      <c r="CG10" s="60"/>
      <c r="CH10" s="60"/>
      <c r="CI10" s="60"/>
      <c r="CJ10" s="60"/>
      <c r="CK10" s="60"/>
      <c r="CL10" s="60"/>
      <c r="CM10" s="60"/>
      <c r="CN10" s="69" t="str">
        <f t="shared" si="2"/>
        <v>InitUnitState('E008',20000,,,,,,,,,)</v>
      </c>
      <c r="CO10" s="69" t="str">
        <f t="shared" si="3"/>
        <v>InitUnitNormal('E008',,,,,,,,,5,100)</v>
      </c>
      <c r="CP10" s="69" t="str">
        <f t="shared" si="4"/>
        <v>InitUnitMagic('E008',2,,,,,,,,,)</v>
      </c>
      <c r="CQ10" s="69" t="str">
        <f t="shared" si="5"/>
        <v>InitUnitAdd('E008',,,,,,,,,,)</v>
      </c>
      <c r="CR10" s="69" t="str">
        <f t="shared" si="6"/>
        <v>InitEquipData('E008',,"",,E009,1000,90,'','','','','','',"ReplaceableTextures\\CommandButtons\\BTNZ02.blp")</v>
      </c>
      <c r="CS10" s="69"/>
      <c r="CT10" s="69"/>
      <c r="CU10" s="71" t="str">
        <f t="shared" si="78"/>
        <v>|n攻击+20000|n暴击+5%|n暴伤+100%|n伤害吸取+2%|n</v>
      </c>
      <c r="CV10" s="5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|Cffbbbbbb属性：|r|n攻击+20000|n暴击+5%|n暴伤+100%|n伤害吸取+2%|n|n|Cff00ff7f点击消耗1000金币进行强化|n成功率90%</v>
      </c>
      <c r="DB10" s="43" t="str">
        <f t="shared" si="149"/>
        <v>|n攻击+20000</v>
      </c>
      <c r="DC10" s="43" t="str">
        <f t="shared" si="150"/>
        <v/>
      </c>
      <c r="DD10" s="43" t="str">
        <f t="shared" si="151"/>
        <v/>
      </c>
      <c r="DE10" s="43" t="str">
        <f t="shared" si="152"/>
        <v/>
      </c>
      <c r="DF10" s="43" t="str">
        <f t="shared" si="153"/>
        <v/>
      </c>
      <c r="DG10" s="43" t="str">
        <f t="shared" si="154"/>
        <v/>
      </c>
      <c r="DH10" s="43" t="str">
        <f t="shared" si="155"/>
        <v/>
      </c>
      <c r="DI10" s="43" t="str">
        <f t="shared" si="156"/>
        <v/>
      </c>
      <c r="DJ10" s="43" t="str">
        <f t="shared" si="157"/>
        <v/>
      </c>
      <c r="DK10" s="43" t="str">
        <f t="shared" si="158"/>
        <v/>
      </c>
      <c r="DL10" s="43" t="str">
        <f t="shared" si="159"/>
        <v/>
      </c>
      <c r="DM10" s="43" t="str">
        <f t="shared" si="160"/>
        <v/>
      </c>
      <c r="DN10" s="43" t="str">
        <f t="shared" si="161"/>
        <v/>
      </c>
      <c r="DO10" s="43" t="str">
        <f t="shared" si="162"/>
        <v/>
      </c>
      <c r="DP10" s="43" t="str">
        <f t="shared" si="163"/>
        <v/>
      </c>
      <c r="DQ10" s="43" t="str">
        <f t="shared" si="164"/>
        <v/>
      </c>
      <c r="DR10" s="43" t="str">
        <f t="shared" si="165"/>
        <v/>
      </c>
      <c r="DS10" s="43" t="str">
        <f t="shared" si="166"/>
        <v/>
      </c>
      <c r="DT10" s="43" t="str">
        <f t="shared" si="167"/>
        <v>|n暴击+5%</v>
      </c>
      <c r="DU10" s="43" t="str">
        <f t="shared" si="168"/>
        <v>|n暴伤+100%</v>
      </c>
      <c r="DV10" s="43" t="str">
        <f t="shared" si="169"/>
        <v>|n伤害吸取+2%</v>
      </c>
      <c r="DW10" s="43" t="str">
        <f t="shared" si="170"/>
        <v/>
      </c>
      <c r="DX10" s="43" t="str">
        <f t="shared" si="171"/>
        <v/>
      </c>
      <c r="DY10" s="43" t="str">
        <f t="shared" si="172"/>
        <v/>
      </c>
      <c r="DZ10" s="43" t="str">
        <f t="shared" si="173"/>
        <v/>
      </c>
      <c r="EA10" s="43" t="str">
        <f t="shared" si="174"/>
        <v/>
      </c>
      <c r="EB10" s="43" t="str">
        <f t="shared" si="175"/>
        <v/>
      </c>
      <c r="EC10" s="43" t="str">
        <f t="shared" si="176"/>
        <v/>
      </c>
      <c r="ED10" s="43" t="str">
        <f t="shared" si="177"/>
        <v/>
      </c>
      <c r="EE10" s="43" t="str">
        <f t="shared" si="178"/>
        <v/>
      </c>
      <c r="EF10" s="43" t="str">
        <f t="shared" si="179"/>
        <v/>
      </c>
      <c r="EG10" s="43" t="str">
        <f t="shared" si="180"/>
        <v/>
      </c>
      <c r="EH10" s="43" t="str">
        <f t="shared" si="181"/>
        <v/>
      </c>
      <c r="EI10" s="43" t="str">
        <f t="shared" si="182"/>
        <v/>
      </c>
      <c r="EJ10" s="43" t="str">
        <f t="shared" si="183"/>
        <v/>
      </c>
      <c r="EK10" s="43" t="str">
        <f t="shared" si="184"/>
        <v/>
      </c>
      <c r="EL10" s="43" t="str">
        <f t="shared" si="185"/>
        <v/>
      </c>
      <c r="EM10" s="43" t="str">
        <f t="shared" si="186"/>
        <v/>
      </c>
      <c r="EN10" s="43" t="str">
        <f t="shared" si="187"/>
        <v/>
      </c>
      <c r="EO10" s="43" t="str">
        <f t="shared" si="188"/>
        <v/>
      </c>
      <c r="EP10" s="43" t="str">
        <f t="shared" si="189"/>
        <v/>
      </c>
      <c r="EQ10" s="43" t="str">
        <f t="shared" si="190"/>
        <v/>
      </c>
      <c r="ER10" s="43" t="str">
        <f t="shared" si="191"/>
        <v/>
      </c>
      <c r="ES10" s="43" t="str">
        <f t="shared" si="192"/>
        <v/>
      </c>
      <c r="ET10" s="43" t="str">
        <f t="shared" si="193"/>
        <v/>
      </c>
      <c r="EU10" s="43" t="str">
        <f t="shared" si="194"/>
        <v/>
      </c>
      <c r="EV10" s="43" t="str">
        <f t="shared" si="195"/>
        <v/>
      </c>
      <c r="EW10" s="43" t="str">
        <f t="shared" si="196"/>
        <v/>
      </c>
      <c r="EX10" s="43" t="str">
        <f t="shared" si="197"/>
        <v/>
      </c>
      <c r="EY10" s="43" t="str">
        <f t="shared" si="198"/>
        <v/>
      </c>
      <c r="EZ10" s="43" t="str">
        <f t="shared" si="199"/>
        <v/>
      </c>
      <c r="FA10" s="43" t="str">
        <f t="shared" si="200"/>
        <v/>
      </c>
      <c r="FB10" s="43" t="str">
        <f t="shared" si="201"/>
        <v/>
      </c>
      <c r="FC10" s="43" t="str">
        <f t="shared" si="202"/>
        <v/>
      </c>
      <c r="FD10" s="43" t="str">
        <f t="shared" si="203"/>
        <v/>
      </c>
      <c r="FE10" s="43" t="str">
        <f t="shared" si="204"/>
        <v/>
      </c>
      <c r="FF10" s="43" t="str">
        <f t="shared" si="205"/>
        <v/>
      </c>
      <c r="FG10" s="43" t="str">
        <f t="shared" si="206"/>
        <v/>
      </c>
      <c r="FH10" s="43" t="str">
        <f t="shared" si="207"/>
        <v/>
      </c>
      <c r="FI10" s="43" t="str">
        <f t="shared" si="208"/>
        <v/>
      </c>
      <c r="FJ10" s="43" t="str">
        <f t="shared" si="209"/>
        <v/>
      </c>
      <c r="FK10" s="43" t="str">
        <f t="shared" si="210"/>
        <v/>
      </c>
      <c r="FL10" s="43" t="str">
        <f t="shared" si="211"/>
        <v/>
      </c>
      <c r="FM10" s="43" t="str">
        <f t="shared" si="212"/>
        <v/>
      </c>
      <c r="FN10" s="43" t="str">
        <f t="shared" si="213"/>
        <v/>
      </c>
      <c r="FO10" s="43" t="str">
        <f t="shared" si="214"/>
        <v/>
      </c>
      <c r="FP10" s="43" t="str">
        <f t="shared" si="215"/>
        <v/>
      </c>
      <c r="FQ10" s="43" t="str">
        <f t="shared" si="216"/>
        <v/>
      </c>
      <c r="FR10" s="43" t="str">
        <f t="shared" si="217"/>
        <v/>
      </c>
      <c r="FS10" s="43" t="str">
        <f t="shared" si="218"/>
        <v/>
      </c>
    </row>
    <row r="11" s="6" customFormat="1" ht="15" spans="1:175">
      <c r="A11" s="10"/>
      <c r="B11" s="45" t="s">
        <v>185</v>
      </c>
      <c r="C11" s="10" t="s">
        <v>186</v>
      </c>
      <c r="D11" s="46"/>
      <c r="E11" s="47"/>
      <c r="F11" s="48">
        <v>1000</v>
      </c>
      <c r="G11" s="49">
        <v>90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3"/>
      <c r="Q11" s="53"/>
      <c r="R11" s="53"/>
      <c r="S11" s="53"/>
      <c r="T11" s="58"/>
      <c r="U11" s="59" t="s">
        <v>180</v>
      </c>
      <c r="V11" s="60">
        <v>24000</v>
      </c>
      <c r="W11" s="60"/>
      <c r="X11" s="60"/>
      <c r="Y11" s="60"/>
      <c r="Z11" s="60"/>
      <c r="AA11" s="60"/>
      <c r="AB11" s="60"/>
      <c r="AC11" s="60"/>
      <c r="AD11" s="63"/>
      <c r="AE11" s="60"/>
      <c r="AF11" s="60"/>
      <c r="AG11" s="64"/>
      <c r="AH11" s="60"/>
      <c r="AI11" s="60"/>
      <c r="AJ11" s="60"/>
      <c r="AK11" s="60"/>
      <c r="AL11" s="64"/>
      <c r="AM11" s="60"/>
      <c r="AN11" s="60">
        <v>5</v>
      </c>
      <c r="AO11" s="60">
        <v>100</v>
      </c>
      <c r="AP11" s="60">
        <v>2</v>
      </c>
      <c r="AQ11" s="60"/>
      <c r="AR11" s="66"/>
      <c r="AS11" s="66"/>
      <c r="AT11" s="60"/>
      <c r="AU11" s="60"/>
      <c r="AV11" s="60"/>
      <c r="AW11" s="60"/>
      <c r="AX11" s="60"/>
      <c r="AY11" s="60"/>
      <c r="AZ11" s="60"/>
      <c r="BA11" s="60"/>
      <c r="BB11" s="60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60"/>
      <c r="CF11" s="60"/>
      <c r="CG11" s="60"/>
      <c r="CH11" s="60"/>
      <c r="CI11" s="60"/>
      <c r="CJ11" s="60"/>
      <c r="CK11" s="60"/>
      <c r="CL11" s="60"/>
      <c r="CM11" s="60"/>
      <c r="CN11" s="69" t="str">
        <f t="shared" si="2"/>
        <v>InitUnitState('E009',24000,,,,,,,,,)</v>
      </c>
      <c r="CO11" s="69" t="str">
        <f t="shared" si="3"/>
        <v>InitUnitNormal('E009',,,,,,,,,5,100)</v>
      </c>
      <c r="CP11" s="69" t="str">
        <f t="shared" si="4"/>
        <v>InitUnitMagic('E009',2,,,,,,,,,)</v>
      </c>
      <c r="CQ11" s="69" t="str">
        <f t="shared" si="5"/>
        <v>InitUnitAdd('E009',,,,,,,,,,)</v>
      </c>
      <c r="CR11" s="69" t="str">
        <f t="shared" si="6"/>
        <v>InitEquipData('E009',,"",,E010,1000,90,'','','','','','',"ReplaceableTextures\\CommandButtons\\BTNZ02.blp")</v>
      </c>
      <c r="CS11" s="69"/>
      <c r="CT11" s="69"/>
      <c r="CU11" s="71" t="str">
        <f t="shared" si="78"/>
        <v>|n攻击+24000|n暴击+5%|n暴伤+100%|n伤害吸取+2%|n</v>
      </c>
      <c r="CV11" s="5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|Cffbbbbbb属性：|r|n攻击+24000|n暴击+5%|n暴伤+100%|n伤害吸取+2%|n|n|Cff00ff7f点击消耗1000金币进行强化|n成功率90%</v>
      </c>
      <c r="DB11" s="43" t="str">
        <f t="shared" si="149"/>
        <v>|n攻击+24000</v>
      </c>
      <c r="DC11" s="43" t="str">
        <f t="shared" si="150"/>
        <v/>
      </c>
      <c r="DD11" s="43" t="str">
        <f t="shared" si="151"/>
        <v/>
      </c>
      <c r="DE11" s="43" t="str">
        <f t="shared" si="152"/>
        <v/>
      </c>
      <c r="DF11" s="43" t="str">
        <f t="shared" si="153"/>
        <v/>
      </c>
      <c r="DG11" s="43" t="str">
        <f t="shared" si="154"/>
        <v/>
      </c>
      <c r="DH11" s="43" t="str">
        <f t="shared" si="155"/>
        <v/>
      </c>
      <c r="DI11" s="43" t="str">
        <f t="shared" si="156"/>
        <v/>
      </c>
      <c r="DJ11" s="43" t="str">
        <f t="shared" si="157"/>
        <v/>
      </c>
      <c r="DK11" s="43" t="str">
        <f t="shared" si="158"/>
        <v/>
      </c>
      <c r="DL11" s="43" t="str">
        <f t="shared" si="159"/>
        <v/>
      </c>
      <c r="DM11" s="43" t="str">
        <f t="shared" si="160"/>
        <v/>
      </c>
      <c r="DN11" s="43" t="str">
        <f t="shared" si="161"/>
        <v/>
      </c>
      <c r="DO11" s="43" t="str">
        <f t="shared" si="162"/>
        <v/>
      </c>
      <c r="DP11" s="43" t="str">
        <f t="shared" si="163"/>
        <v/>
      </c>
      <c r="DQ11" s="43" t="str">
        <f t="shared" si="164"/>
        <v/>
      </c>
      <c r="DR11" s="43" t="str">
        <f t="shared" si="165"/>
        <v/>
      </c>
      <c r="DS11" s="43" t="str">
        <f t="shared" si="166"/>
        <v/>
      </c>
      <c r="DT11" s="43" t="str">
        <f t="shared" si="167"/>
        <v>|n暴击+5%</v>
      </c>
      <c r="DU11" s="43" t="str">
        <f t="shared" si="168"/>
        <v>|n暴伤+100%</v>
      </c>
      <c r="DV11" s="43" t="str">
        <f t="shared" si="169"/>
        <v>|n伤害吸取+2%</v>
      </c>
      <c r="DW11" s="43" t="str">
        <f t="shared" si="170"/>
        <v/>
      </c>
      <c r="DX11" s="43" t="str">
        <f t="shared" si="171"/>
        <v/>
      </c>
      <c r="DY11" s="43" t="str">
        <f t="shared" si="172"/>
        <v/>
      </c>
      <c r="DZ11" s="43" t="str">
        <f t="shared" si="173"/>
        <v/>
      </c>
      <c r="EA11" s="43" t="str">
        <f t="shared" si="174"/>
        <v/>
      </c>
      <c r="EB11" s="43" t="str">
        <f t="shared" si="175"/>
        <v/>
      </c>
      <c r="EC11" s="43" t="str">
        <f t="shared" si="176"/>
        <v/>
      </c>
      <c r="ED11" s="43" t="str">
        <f t="shared" si="177"/>
        <v/>
      </c>
      <c r="EE11" s="43" t="str">
        <f t="shared" si="178"/>
        <v/>
      </c>
      <c r="EF11" s="43" t="str">
        <f t="shared" si="179"/>
        <v/>
      </c>
      <c r="EG11" s="43" t="str">
        <f t="shared" si="180"/>
        <v/>
      </c>
      <c r="EH11" s="43" t="str">
        <f t="shared" si="181"/>
        <v/>
      </c>
      <c r="EI11" s="43" t="str">
        <f t="shared" si="182"/>
        <v/>
      </c>
      <c r="EJ11" s="43" t="str">
        <f t="shared" si="183"/>
        <v/>
      </c>
      <c r="EK11" s="43" t="str">
        <f t="shared" si="184"/>
        <v/>
      </c>
      <c r="EL11" s="43" t="str">
        <f t="shared" si="185"/>
        <v/>
      </c>
      <c r="EM11" s="43" t="str">
        <f t="shared" si="186"/>
        <v/>
      </c>
      <c r="EN11" s="43" t="str">
        <f t="shared" si="187"/>
        <v/>
      </c>
      <c r="EO11" s="43" t="str">
        <f t="shared" si="188"/>
        <v/>
      </c>
      <c r="EP11" s="43" t="str">
        <f t="shared" si="189"/>
        <v/>
      </c>
      <c r="EQ11" s="43" t="str">
        <f t="shared" si="190"/>
        <v/>
      </c>
      <c r="ER11" s="43" t="str">
        <f t="shared" si="191"/>
        <v/>
      </c>
      <c r="ES11" s="43" t="str">
        <f t="shared" si="192"/>
        <v/>
      </c>
      <c r="ET11" s="43" t="str">
        <f t="shared" si="193"/>
        <v/>
      </c>
      <c r="EU11" s="43" t="str">
        <f t="shared" si="194"/>
        <v/>
      </c>
      <c r="EV11" s="43" t="str">
        <f t="shared" si="195"/>
        <v/>
      </c>
      <c r="EW11" s="43" t="str">
        <f t="shared" si="196"/>
        <v/>
      </c>
      <c r="EX11" s="43" t="str">
        <f t="shared" si="197"/>
        <v/>
      </c>
      <c r="EY11" s="43" t="str">
        <f t="shared" si="198"/>
        <v/>
      </c>
      <c r="EZ11" s="43" t="str">
        <f t="shared" si="199"/>
        <v/>
      </c>
      <c r="FA11" s="43" t="str">
        <f t="shared" si="200"/>
        <v/>
      </c>
      <c r="FB11" s="43" t="str">
        <f t="shared" si="201"/>
        <v/>
      </c>
      <c r="FC11" s="43" t="str">
        <f t="shared" si="202"/>
        <v/>
      </c>
      <c r="FD11" s="43" t="str">
        <f t="shared" si="203"/>
        <v/>
      </c>
      <c r="FE11" s="43" t="str">
        <f t="shared" si="204"/>
        <v/>
      </c>
      <c r="FF11" s="43" t="str">
        <f t="shared" si="205"/>
        <v/>
      </c>
      <c r="FG11" s="43" t="str">
        <f t="shared" si="206"/>
        <v/>
      </c>
      <c r="FH11" s="43" t="str">
        <f t="shared" si="207"/>
        <v/>
      </c>
      <c r="FI11" s="43" t="str">
        <f t="shared" si="208"/>
        <v/>
      </c>
      <c r="FJ11" s="43" t="str">
        <f t="shared" si="209"/>
        <v/>
      </c>
      <c r="FK11" s="43" t="str">
        <f t="shared" si="210"/>
        <v/>
      </c>
      <c r="FL11" s="43" t="str">
        <f t="shared" si="211"/>
        <v/>
      </c>
      <c r="FM11" s="43" t="str">
        <f t="shared" si="212"/>
        <v/>
      </c>
      <c r="FN11" s="43" t="str">
        <f t="shared" si="213"/>
        <v/>
      </c>
      <c r="FO11" s="43" t="str">
        <f t="shared" si="214"/>
        <v/>
      </c>
      <c r="FP11" s="43" t="str">
        <f t="shared" si="215"/>
        <v/>
      </c>
      <c r="FQ11" s="43" t="str">
        <f t="shared" si="216"/>
        <v/>
      </c>
      <c r="FR11" s="43" t="str">
        <f t="shared" si="217"/>
        <v/>
      </c>
      <c r="FS11" s="43" t="str">
        <f t="shared" si="218"/>
        <v/>
      </c>
    </row>
    <row r="12" s="6" customFormat="1" ht="15" spans="1:175">
      <c r="A12" s="10"/>
      <c r="B12" s="45" t="s">
        <v>187</v>
      </c>
      <c r="C12" s="10" t="s">
        <v>188</v>
      </c>
      <c r="D12" s="46"/>
      <c r="E12" s="47"/>
      <c r="F12" s="48">
        <v>6000</v>
      </c>
      <c r="G12" s="49">
        <v>100</v>
      </c>
      <c r="H12" s="50" t="s">
        <v>189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3"/>
      <c r="Q12" s="53"/>
      <c r="R12" s="53"/>
      <c r="S12" s="53"/>
      <c r="T12" s="58"/>
      <c r="U12" s="59" t="s">
        <v>180</v>
      </c>
      <c r="V12" s="60">
        <v>28000</v>
      </c>
      <c r="W12" s="60"/>
      <c r="X12" s="60"/>
      <c r="Y12" s="60"/>
      <c r="Z12" s="60"/>
      <c r="AA12" s="60"/>
      <c r="AB12" s="60"/>
      <c r="AC12" s="60"/>
      <c r="AD12" s="63"/>
      <c r="AE12" s="60"/>
      <c r="AF12" s="60"/>
      <c r="AG12" s="64"/>
      <c r="AH12" s="60"/>
      <c r="AI12" s="60"/>
      <c r="AJ12" s="60"/>
      <c r="AK12" s="60"/>
      <c r="AL12" s="64"/>
      <c r="AM12" s="60"/>
      <c r="AN12" s="60">
        <v>5</v>
      </c>
      <c r="AO12" s="60">
        <v>100</v>
      </c>
      <c r="AP12" s="60">
        <v>2</v>
      </c>
      <c r="AQ12" s="60"/>
      <c r="AR12" s="66"/>
      <c r="AS12" s="66"/>
      <c r="AT12" s="60"/>
      <c r="AU12" s="60"/>
      <c r="AV12" s="60"/>
      <c r="AW12" s="60"/>
      <c r="AX12" s="60"/>
      <c r="AY12" s="60"/>
      <c r="AZ12" s="60"/>
      <c r="BA12" s="60"/>
      <c r="BB12" s="60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60"/>
      <c r="CF12" s="60"/>
      <c r="CG12" s="60"/>
      <c r="CH12" s="60"/>
      <c r="CI12" s="60"/>
      <c r="CJ12" s="60"/>
      <c r="CK12" s="60"/>
      <c r="CL12" s="60"/>
      <c r="CM12" s="60"/>
      <c r="CN12" s="69" t="str">
        <f t="shared" si="2"/>
        <v>InitUnitState('E010',28000,,,,,,,,,)</v>
      </c>
      <c r="CO12" s="69" t="str">
        <f t="shared" si="3"/>
        <v>InitUnitNormal('E010',,,,,,,,,5,100)</v>
      </c>
      <c r="CP12" s="69" t="str">
        <f t="shared" si="4"/>
        <v>InitUnitMagic('E010',2,,,,,,,,,)</v>
      </c>
      <c r="CQ12" s="69" t="str">
        <f t="shared" si="5"/>
        <v>InitUnitAdd('E010',,,,,,,,,,)</v>
      </c>
      <c r="CR12" s="69" t="str">
        <f t="shared" si="6"/>
        <v>InitEquipData('E010',,"",,E011,6000,100,'','','','','','',"ReplaceableTextures\\CommandButtons\\BTNZ03.blp")</v>
      </c>
      <c r="CS12" s="69"/>
      <c r="CT12" s="69"/>
      <c r="CU12" s="71" t="str">
        <f t="shared" si="78"/>
        <v>|n攻击+28000|n暴击+5%|n暴伤+100%|n伤害吸取+2%|n</v>
      </c>
      <c r="CV12" s="5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|Cffbbbbbb属性：|r|n攻击+28000|n暴击+5%|n暴伤+100%|n伤害吸取+2%|n|n|Cff00ff7f点击消耗6000金币进行晋阶挑战</v>
      </c>
      <c r="DB12" s="43" t="str">
        <f t="shared" si="149"/>
        <v>|n攻击+28000</v>
      </c>
      <c r="DC12" s="43" t="str">
        <f t="shared" si="150"/>
        <v/>
      </c>
      <c r="DD12" s="43" t="str">
        <f t="shared" si="151"/>
        <v/>
      </c>
      <c r="DE12" s="43" t="str">
        <f t="shared" si="152"/>
        <v/>
      </c>
      <c r="DF12" s="43" t="str">
        <f t="shared" si="153"/>
        <v/>
      </c>
      <c r="DG12" s="43" t="str">
        <f t="shared" si="154"/>
        <v/>
      </c>
      <c r="DH12" s="43" t="str">
        <f t="shared" si="155"/>
        <v/>
      </c>
      <c r="DI12" s="43" t="str">
        <f t="shared" si="156"/>
        <v/>
      </c>
      <c r="DJ12" s="43" t="str">
        <f t="shared" si="157"/>
        <v/>
      </c>
      <c r="DK12" s="43" t="str">
        <f t="shared" si="158"/>
        <v/>
      </c>
      <c r="DL12" s="43" t="str">
        <f t="shared" si="159"/>
        <v/>
      </c>
      <c r="DM12" s="43" t="str">
        <f t="shared" si="160"/>
        <v/>
      </c>
      <c r="DN12" s="43" t="str">
        <f t="shared" si="161"/>
        <v/>
      </c>
      <c r="DO12" s="43" t="str">
        <f t="shared" si="162"/>
        <v/>
      </c>
      <c r="DP12" s="43" t="str">
        <f t="shared" si="163"/>
        <v/>
      </c>
      <c r="DQ12" s="43" t="str">
        <f t="shared" si="164"/>
        <v/>
      </c>
      <c r="DR12" s="43" t="str">
        <f t="shared" si="165"/>
        <v/>
      </c>
      <c r="DS12" s="43" t="str">
        <f t="shared" si="166"/>
        <v/>
      </c>
      <c r="DT12" s="43" t="str">
        <f t="shared" si="167"/>
        <v>|n暴击+5%</v>
      </c>
      <c r="DU12" s="43" t="str">
        <f t="shared" si="168"/>
        <v>|n暴伤+100%</v>
      </c>
      <c r="DV12" s="43" t="str">
        <f t="shared" si="169"/>
        <v>|n伤害吸取+2%</v>
      </c>
      <c r="DW12" s="43" t="str">
        <f t="shared" si="170"/>
        <v/>
      </c>
      <c r="DX12" s="43" t="str">
        <f t="shared" si="171"/>
        <v/>
      </c>
      <c r="DY12" s="43" t="str">
        <f t="shared" si="172"/>
        <v/>
      </c>
      <c r="DZ12" s="43" t="str">
        <f t="shared" si="173"/>
        <v/>
      </c>
      <c r="EA12" s="43" t="str">
        <f t="shared" si="174"/>
        <v/>
      </c>
      <c r="EB12" s="43" t="str">
        <f t="shared" si="175"/>
        <v/>
      </c>
      <c r="EC12" s="43" t="str">
        <f t="shared" si="176"/>
        <v/>
      </c>
      <c r="ED12" s="43" t="str">
        <f t="shared" si="177"/>
        <v/>
      </c>
      <c r="EE12" s="43" t="str">
        <f t="shared" si="178"/>
        <v/>
      </c>
      <c r="EF12" s="43" t="str">
        <f t="shared" si="179"/>
        <v/>
      </c>
      <c r="EG12" s="43" t="str">
        <f t="shared" si="180"/>
        <v/>
      </c>
      <c r="EH12" s="43" t="str">
        <f t="shared" si="181"/>
        <v/>
      </c>
      <c r="EI12" s="43" t="str">
        <f t="shared" si="182"/>
        <v/>
      </c>
      <c r="EJ12" s="43" t="str">
        <f t="shared" si="183"/>
        <v/>
      </c>
      <c r="EK12" s="43" t="str">
        <f t="shared" si="184"/>
        <v/>
      </c>
      <c r="EL12" s="43" t="str">
        <f t="shared" si="185"/>
        <v/>
      </c>
      <c r="EM12" s="43" t="str">
        <f t="shared" si="186"/>
        <v/>
      </c>
      <c r="EN12" s="43" t="str">
        <f t="shared" si="187"/>
        <v/>
      </c>
      <c r="EO12" s="43" t="str">
        <f t="shared" si="188"/>
        <v/>
      </c>
      <c r="EP12" s="43" t="str">
        <f t="shared" si="189"/>
        <v/>
      </c>
      <c r="EQ12" s="43" t="str">
        <f t="shared" si="190"/>
        <v/>
      </c>
      <c r="ER12" s="43" t="str">
        <f t="shared" si="191"/>
        <v/>
      </c>
      <c r="ES12" s="43" t="str">
        <f t="shared" si="192"/>
        <v/>
      </c>
      <c r="ET12" s="43" t="str">
        <f t="shared" si="193"/>
        <v/>
      </c>
      <c r="EU12" s="43" t="str">
        <f t="shared" si="194"/>
        <v/>
      </c>
      <c r="EV12" s="43" t="str">
        <f t="shared" si="195"/>
        <v/>
      </c>
      <c r="EW12" s="43" t="str">
        <f t="shared" si="196"/>
        <v/>
      </c>
      <c r="EX12" s="43" t="str">
        <f t="shared" si="197"/>
        <v/>
      </c>
      <c r="EY12" s="43" t="str">
        <f t="shared" si="198"/>
        <v/>
      </c>
      <c r="EZ12" s="43" t="str">
        <f t="shared" si="199"/>
        <v/>
      </c>
      <c r="FA12" s="43" t="str">
        <f t="shared" si="200"/>
        <v/>
      </c>
      <c r="FB12" s="43" t="str">
        <f t="shared" si="201"/>
        <v/>
      </c>
      <c r="FC12" s="43" t="str">
        <f t="shared" si="202"/>
        <v/>
      </c>
      <c r="FD12" s="43" t="str">
        <f t="shared" si="203"/>
        <v/>
      </c>
      <c r="FE12" s="43" t="str">
        <f t="shared" si="204"/>
        <v/>
      </c>
      <c r="FF12" s="43" t="str">
        <f t="shared" si="205"/>
        <v/>
      </c>
      <c r="FG12" s="43" t="str">
        <f t="shared" si="206"/>
        <v/>
      </c>
      <c r="FH12" s="43" t="str">
        <f t="shared" si="207"/>
        <v/>
      </c>
      <c r="FI12" s="43" t="str">
        <f t="shared" si="208"/>
        <v/>
      </c>
      <c r="FJ12" s="43" t="str">
        <f t="shared" si="209"/>
        <v/>
      </c>
      <c r="FK12" s="43" t="str">
        <f t="shared" si="210"/>
        <v/>
      </c>
      <c r="FL12" s="43" t="str">
        <f t="shared" si="211"/>
        <v/>
      </c>
      <c r="FM12" s="43" t="str">
        <f t="shared" si="212"/>
        <v/>
      </c>
      <c r="FN12" s="43" t="str">
        <f t="shared" si="213"/>
        <v/>
      </c>
      <c r="FO12" s="43" t="str">
        <f t="shared" si="214"/>
        <v/>
      </c>
      <c r="FP12" s="43" t="str">
        <f t="shared" si="215"/>
        <v/>
      </c>
      <c r="FQ12" s="43" t="str">
        <f t="shared" si="216"/>
        <v/>
      </c>
      <c r="FR12" s="43" t="str">
        <f t="shared" si="217"/>
        <v/>
      </c>
      <c r="FS12" s="43" t="str">
        <f t="shared" si="218"/>
        <v/>
      </c>
    </row>
    <row r="13" s="6" customFormat="1" ht="15" spans="1:175">
      <c r="A13" s="10"/>
      <c r="B13" s="45" t="s">
        <v>190</v>
      </c>
      <c r="C13" s="10" t="s">
        <v>191</v>
      </c>
      <c r="D13" s="46"/>
      <c r="E13" s="47"/>
      <c r="F13" s="48">
        <v>3000</v>
      </c>
      <c r="G13" s="49">
        <v>80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3"/>
      <c r="Q13" s="53"/>
      <c r="R13" s="53"/>
      <c r="S13" s="53"/>
      <c r="T13" s="58"/>
      <c r="U13" s="59" t="s">
        <v>192</v>
      </c>
      <c r="V13" s="60">
        <v>60000</v>
      </c>
      <c r="W13" s="60"/>
      <c r="X13" s="60"/>
      <c r="Y13" s="60"/>
      <c r="Z13" s="60"/>
      <c r="AA13" s="60"/>
      <c r="AB13" s="60"/>
      <c r="AC13" s="60"/>
      <c r="AD13" s="63"/>
      <c r="AE13" s="60"/>
      <c r="AF13" s="60"/>
      <c r="AG13" s="64"/>
      <c r="AH13" s="60"/>
      <c r="AI13" s="60"/>
      <c r="AJ13" s="60"/>
      <c r="AK13" s="60"/>
      <c r="AL13" s="64"/>
      <c r="AM13" s="60"/>
      <c r="AN13" s="60">
        <v>6</v>
      </c>
      <c r="AO13" s="60">
        <f t="shared" ref="AO13:AO27" si="219">AO8+100</f>
        <v>200</v>
      </c>
      <c r="AP13" s="60">
        <v>3</v>
      </c>
      <c r="AQ13" s="60"/>
      <c r="AR13" s="66"/>
      <c r="AS13" s="66"/>
      <c r="AT13" s="60"/>
      <c r="AU13" s="60"/>
      <c r="AV13" s="60"/>
      <c r="AW13" s="60"/>
      <c r="AX13" s="60"/>
      <c r="AY13" s="60"/>
      <c r="AZ13" s="60"/>
      <c r="BA13" s="60"/>
      <c r="BB13" s="60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60"/>
      <c r="CF13" s="60"/>
      <c r="CG13" s="60"/>
      <c r="CH13" s="60"/>
      <c r="CI13" s="60"/>
      <c r="CJ13" s="60"/>
      <c r="CK13" s="60"/>
      <c r="CL13" s="60"/>
      <c r="CM13" s="60"/>
      <c r="CN13" s="69" t="str">
        <f t="shared" si="2"/>
        <v>InitUnitState('E011',60000,,,,,,,,,)</v>
      </c>
      <c r="CO13" s="69" t="str">
        <f t="shared" si="3"/>
        <v>InitUnitNormal('E011',,,,,,,,,6,200)</v>
      </c>
      <c r="CP13" s="69" t="str">
        <f t="shared" si="4"/>
        <v>InitUnitMagic('E011',3,,,,,,,,,)</v>
      </c>
      <c r="CQ13" s="69" t="str">
        <f t="shared" si="5"/>
        <v>InitUnitAdd('E011',,,,,,,,,,)</v>
      </c>
      <c r="CR13" s="69" t="str">
        <f t="shared" si="6"/>
        <v>InitEquipData('E011',,"",,E012,3000,80,'','','','','','',"ReplaceableTextures\\CommandButtons\\BTNZ03.blp")</v>
      </c>
      <c r="CS13" s="69"/>
      <c r="CT13" s="69"/>
      <c r="CU13" s="71" t="str">
        <f t="shared" si="78"/>
        <v>|n攻击+60000|n暴击+6%|n暴伤+200%|n伤害吸取+3%|n</v>
      </c>
      <c r="CV13" s="5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|Cffbbbbbb属性：|r|n攻击+60000|n暴击+6%|n暴伤+200%|n伤害吸取+3%|n|n|Cff00ff7f点击消耗3000金币进行强化|n成功率80%</v>
      </c>
      <c r="DB13" s="43" t="str">
        <f t="shared" si="149"/>
        <v>|n攻击+60000</v>
      </c>
      <c r="DC13" s="43" t="str">
        <f t="shared" si="150"/>
        <v/>
      </c>
      <c r="DD13" s="43" t="str">
        <f t="shared" si="151"/>
        <v/>
      </c>
      <c r="DE13" s="43" t="str">
        <f t="shared" si="152"/>
        <v/>
      </c>
      <c r="DF13" s="43" t="str">
        <f t="shared" si="153"/>
        <v/>
      </c>
      <c r="DG13" s="43" t="str">
        <f t="shared" si="154"/>
        <v/>
      </c>
      <c r="DH13" s="43" t="str">
        <f t="shared" si="155"/>
        <v/>
      </c>
      <c r="DI13" s="43" t="str">
        <f t="shared" si="156"/>
        <v/>
      </c>
      <c r="DJ13" s="43" t="str">
        <f t="shared" si="157"/>
        <v/>
      </c>
      <c r="DK13" s="43" t="str">
        <f t="shared" si="158"/>
        <v/>
      </c>
      <c r="DL13" s="43" t="str">
        <f t="shared" si="159"/>
        <v/>
      </c>
      <c r="DM13" s="43" t="str">
        <f t="shared" si="160"/>
        <v/>
      </c>
      <c r="DN13" s="43" t="str">
        <f t="shared" si="161"/>
        <v/>
      </c>
      <c r="DO13" s="43" t="str">
        <f t="shared" si="162"/>
        <v/>
      </c>
      <c r="DP13" s="43" t="str">
        <f t="shared" si="163"/>
        <v/>
      </c>
      <c r="DQ13" s="43" t="str">
        <f t="shared" si="164"/>
        <v/>
      </c>
      <c r="DR13" s="43" t="str">
        <f t="shared" si="165"/>
        <v/>
      </c>
      <c r="DS13" s="43" t="str">
        <f t="shared" si="166"/>
        <v/>
      </c>
      <c r="DT13" s="43" t="str">
        <f t="shared" si="167"/>
        <v>|n暴击+6%</v>
      </c>
      <c r="DU13" s="43" t="str">
        <f t="shared" si="168"/>
        <v>|n暴伤+200%</v>
      </c>
      <c r="DV13" s="43" t="str">
        <f t="shared" si="169"/>
        <v>|n伤害吸取+3%</v>
      </c>
      <c r="DW13" s="43" t="str">
        <f t="shared" si="170"/>
        <v/>
      </c>
      <c r="DX13" s="43" t="str">
        <f t="shared" si="171"/>
        <v/>
      </c>
      <c r="DY13" s="43" t="str">
        <f t="shared" si="172"/>
        <v/>
      </c>
      <c r="DZ13" s="43" t="str">
        <f t="shared" si="173"/>
        <v/>
      </c>
      <c r="EA13" s="43" t="str">
        <f t="shared" si="174"/>
        <v/>
      </c>
      <c r="EB13" s="43" t="str">
        <f t="shared" si="175"/>
        <v/>
      </c>
      <c r="EC13" s="43" t="str">
        <f t="shared" si="176"/>
        <v/>
      </c>
      <c r="ED13" s="43" t="str">
        <f t="shared" si="177"/>
        <v/>
      </c>
      <c r="EE13" s="43" t="str">
        <f t="shared" si="178"/>
        <v/>
      </c>
      <c r="EF13" s="43" t="str">
        <f t="shared" si="179"/>
        <v/>
      </c>
      <c r="EG13" s="43" t="str">
        <f t="shared" si="180"/>
        <v/>
      </c>
      <c r="EH13" s="43" t="str">
        <f t="shared" si="181"/>
        <v/>
      </c>
      <c r="EI13" s="43" t="str">
        <f t="shared" si="182"/>
        <v/>
      </c>
      <c r="EJ13" s="43" t="str">
        <f t="shared" si="183"/>
        <v/>
      </c>
      <c r="EK13" s="43" t="str">
        <f t="shared" si="184"/>
        <v/>
      </c>
      <c r="EL13" s="43" t="str">
        <f t="shared" si="185"/>
        <v/>
      </c>
      <c r="EM13" s="43" t="str">
        <f t="shared" si="186"/>
        <v/>
      </c>
      <c r="EN13" s="43" t="str">
        <f t="shared" si="187"/>
        <v/>
      </c>
      <c r="EO13" s="43" t="str">
        <f t="shared" si="188"/>
        <v/>
      </c>
      <c r="EP13" s="43" t="str">
        <f t="shared" si="189"/>
        <v/>
      </c>
      <c r="EQ13" s="43" t="str">
        <f t="shared" si="190"/>
        <v/>
      </c>
      <c r="ER13" s="43" t="str">
        <f t="shared" si="191"/>
        <v/>
      </c>
      <c r="ES13" s="43" t="str">
        <f t="shared" si="192"/>
        <v/>
      </c>
      <c r="ET13" s="43" t="str">
        <f t="shared" si="193"/>
        <v/>
      </c>
      <c r="EU13" s="43" t="str">
        <f t="shared" si="194"/>
        <v/>
      </c>
      <c r="EV13" s="43" t="str">
        <f t="shared" si="195"/>
        <v/>
      </c>
      <c r="EW13" s="43" t="str">
        <f t="shared" si="196"/>
        <v/>
      </c>
      <c r="EX13" s="43" t="str">
        <f t="shared" si="197"/>
        <v/>
      </c>
      <c r="EY13" s="43" t="str">
        <f t="shared" si="198"/>
        <v/>
      </c>
      <c r="EZ13" s="43" t="str">
        <f t="shared" si="199"/>
        <v/>
      </c>
      <c r="FA13" s="43" t="str">
        <f t="shared" si="200"/>
        <v/>
      </c>
      <c r="FB13" s="43" t="str">
        <f t="shared" si="201"/>
        <v/>
      </c>
      <c r="FC13" s="43" t="str">
        <f t="shared" si="202"/>
        <v/>
      </c>
      <c r="FD13" s="43" t="str">
        <f t="shared" si="203"/>
        <v/>
      </c>
      <c r="FE13" s="43" t="str">
        <f t="shared" si="204"/>
        <v/>
      </c>
      <c r="FF13" s="43" t="str">
        <f t="shared" si="205"/>
        <v/>
      </c>
      <c r="FG13" s="43" t="str">
        <f t="shared" si="206"/>
        <v/>
      </c>
      <c r="FH13" s="43" t="str">
        <f t="shared" si="207"/>
        <v/>
      </c>
      <c r="FI13" s="43" t="str">
        <f t="shared" si="208"/>
        <v/>
      </c>
      <c r="FJ13" s="43" t="str">
        <f t="shared" si="209"/>
        <v/>
      </c>
      <c r="FK13" s="43" t="str">
        <f t="shared" si="210"/>
        <v/>
      </c>
      <c r="FL13" s="43" t="str">
        <f t="shared" si="211"/>
        <v/>
      </c>
      <c r="FM13" s="43" t="str">
        <f t="shared" si="212"/>
        <v/>
      </c>
      <c r="FN13" s="43" t="str">
        <f t="shared" si="213"/>
        <v/>
      </c>
      <c r="FO13" s="43" t="str">
        <f t="shared" si="214"/>
        <v/>
      </c>
      <c r="FP13" s="43" t="str">
        <f t="shared" si="215"/>
        <v/>
      </c>
      <c r="FQ13" s="43" t="str">
        <f t="shared" si="216"/>
        <v/>
      </c>
      <c r="FR13" s="43" t="str">
        <f t="shared" si="217"/>
        <v/>
      </c>
      <c r="FS13" s="43" t="str">
        <f t="shared" si="218"/>
        <v/>
      </c>
    </row>
    <row r="14" s="6" customFormat="1" ht="15" spans="1:175">
      <c r="A14" s="10"/>
      <c r="B14" s="45" t="s">
        <v>193</v>
      </c>
      <c r="C14" s="10" t="s">
        <v>194</v>
      </c>
      <c r="D14" s="46"/>
      <c r="E14" s="47"/>
      <c r="F14" s="48">
        <v>3000</v>
      </c>
      <c r="G14" s="49">
        <v>80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3"/>
      <c r="Q14" s="53"/>
      <c r="R14" s="53"/>
      <c r="S14" s="53"/>
      <c r="T14" s="58"/>
      <c r="U14" s="59" t="s">
        <v>192</v>
      </c>
      <c r="V14" s="60">
        <v>80000</v>
      </c>
      <c r="W14" s="60"/>
      <c r="X14" s="60"/>
      <c r="Y14" s="60"/>
      <c r="Z14" s="60"/>
      <c r="AA14" s="60"/>
      <c r="AB14" s="60"/>
      <c r="AC14" s="60"/>
      <c r="AD14" s="63"/>
      <c r="AE14" s="60"/>
      <c r="AF14" s="60"/>
      <c r="AG14" s="64"/>
      <c r="AH14" s="60"/>
      <c r="AI14" s="60"/>
      <c r="AJ14" s="60"/>
      <c r="AK14" s="60"/>
      <c r="AL14" s="64"/>
      <c r="AM14" s="60"/>
      <c r="AN14" s="60">
        <v>6</v>
      </c>
      <c r="AO14" s="60">
        <f t="shared" si="219"/>
        <v>200</v>
      </c>
      <c r="AP14" s="60">
        <v>3</v>
      </c>
      <c r="AQ14" s="60"/>
      <c r="AR14" s="66"/>
      <c r="AS14" s="66"/>
      <c r="AT14" s="60"/>
      <c r="AU14" s="60"/>
      <c r="AV14" s="60"/>
      <c r="AW14" s="60"/>
      <c r="AX14" s="60"/>
      <c r="AY14" s="60"/>
      <c r="AZ14" s="60"/>
      <c r="BA14" s="60"/>
      <c r="BB14" s="60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60"/>
      <c r="CF14" s="60"/>
      <c r="CG14" s="60"/>
      <c r="CH14" s="60"/>
      <c r="CI14" s="60"/>
      <c r="CJ14" s="60"/>
      <c r="CK14" s="60"/>
      <c r="CL14" s="60"/>
      <c r="CM14" s="60"/>
      <c r="CN14" s="69" t="str">
        <f t="shared" si="2"/>
        <v>InitUnitState('E012',80000,,,,,,,,,)</v>
      </c>
      <c r="CO14" s="69" t="str">
        <f t="shared" si="3"/>
        <v>InitUnitNormal('E012',,,,,,,,,6,200)</v>
      </c>
      <c r="CP14" s="69" t="str">
        <f t="shared" si="4"/>
        <v>InitUnitMagic('E012',3,,,,,,,,,)</v>
      </c>
      <c r="CQ14" s="69" t="str">
        <f t="shared" si="5"/>
        <v>InitUnitAdd('E012',,,,,,,,,,)</v>
      </c>
      <c r="CR14" s="69" t="str">
        <f t="shared" si="6"/>
        <v>InitEquipData('E012',,"",,E013,3000,80,'','','','','','',"ReplaceableTextures\\CommandButtons\\BTNZ03.blp")</v>
      </c>
      <c r="CS14" s="69"/>
      <c r="CT14" s="69"/>
      <c r="CU14" s="71" t="str">
        <f t="shared" si="78"/>
        <v>|n攻击+80000|n暴击+6%|n暴伤+200%|n伤害吸取+3%|n</v>
      </c>
      <c r="CV14" s="5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|Cffbbbbbb属性：|r|n攻击+80000|n暴击+6%|n暴伤+200%|n伤害吸取+3%|n|n|Cff00ff7f点击消耗3000金币进行强化|n成功率80%</v>
      </c>
      <c r="DB14" s="43" t="str">
        <f t="shared" si="149"/>
        <v>|n攻击+80000</v>
      </c>
      <c r="DC14" s="43" t="str">
        <f t="shared" si="150"/>
        <v/>
      </c>
      <c r="DD14" s="43" t="str">
        <f t="shared" si="151"/>
        <v/>
      </c>
      <c r="DE14" s="43" t="str">
        <f t="shared" si="152"/>
        <v/>
      </c>
      <c r="DF14" s="43" t="str">
        <f t="shared" si="153"/>
        <v/>
      </c>
      <c r="DG14" s="43" t="str">
        <f t="shared" si="154"/>
        <v/>
      </c>
      <c r="DH14" s="43" t="str">
        <f t="shared" si="155"/>
        <v/>
      </c>
      <c r="DI14" s="43" t="str">
        <f t="shared" si="156"/>
        <v/>
      </c>
      <c r="DJ14" s="43" t="str">
        <f t="shared" si="157"/>
        <v/>
      </c>
      <c r="DK14" s="43" t="str">
        <f t="shared" si="158"/>
        <v/>
      </c>
      <c r="DL14" s="43" t="str">
        <f t="shared" si="159"/>
        <v/>
      </c>
      <c r="DM14" s="43" t="str">
        <f t="shared" si="160"/>
        <v/>
      </c>
      <c r="DN14" s="43" t="str">
        <f t="shared" si="161"/>
        <v/>
      </c>
      <c r="DO14" s="43" t="str">
        <f t="shared" si="162"/>
        <v/>
      </c>
      <c r="DP14" s="43" t="str">
        <f t="shared" si="163"/>
        <v/>
      </c>
      <c r="DQ14" s="43" t="str">
        <f t="shared" si="164"/>
        <v/>
      </c>
      <c r="DR14" s="43" t="str">
        <f t="shared" si="165"/>
        <v/>
      </c>
      <c r="DS14" s="43" t="str">
        <f t="shared" si="166"/>
        <v/>
      </c>
      <c r="DT14" s="43" t="str">
        <f t="shared" si="167"/>
        <v>|n暴击+6%</v>
      </c>
      <c r="DU14" s="43" t="str">
        <f t="shared" si="168"/>
        <v>|n暴伤+200%</v>
      </c>
      <c r="DV14" s="43" t="str">
        <f t="shared" si="169"/>
        <v>|n伤害吸取+3%</v>
      </c>
      <c r="DW14" s="43" t="str">
        <f t="shared" si="170"/>
        <v/>
      </c>
      <c r="DX14" s="43" t="str">
        <f t="shared" si="171"/>
        <v/>
      </c>
      <c r="DY14" s="43" t="str">
        <f t="shared" si="172"/>
        <v/>
      </c>
      <c r="DZ14" s="43" t="str">
        <f t="shared" si="173"/>
        <v/>
      </c>
      <c r="EA14" s="43" t="str">
        <f t="shared" si="174"/>
        <v/>
      </c>
      <c r="EB14" s="43" t="str">
        <f t="shared" si="175"/>
        <v/>
      </c>
      <c r="EC14" s="43" t="str">
        <f t="shared" si="176"/>
        <v/>
      </c>
      <c r="ED14" s="43" t="str">
        <f t="shared" si="177"/>
        <v/>
      </c>
      <c r="EE14" s="43" t="str">
        <f t="shared" si="178"/>
        <v/>
      </c>
      <c r="EF14" s="43" t="str">
        <f t="shared" si="179"/>
        <v/>
      </c>
      <c r="EG14" s="43" t="str">
        <f t="shared" si="180"/>
        <v/>
      </c>
      <c r="EH14" s="43" t="str">
        <f t="shared" si="181"/>
        <v/>
      </c>
      <c r="EI14" s="43" t="str">
        <f t="shared" si="182"/>
        <v/>
      </c>
      <c r="EJ14" s="43" t="str">
        <f t="shared" si="183"/>
        <v/>
      </c>
      <c r="EK14" s="43" t="str">
        <f t="shared" si="184"/>
        <v/>
      </c>
      <c r="EL14" s="43" t="str">
        <f t="shared" si="185"/>
        <v/>
      </c>
      <c r="EM14" s="43" t="str">
        <f t="shared" si="186"/>
        <v/>
      </c>
      <c r="EN14" s="43" t="str">
        <f t="shared" si="187"/>
        <v/>
      </c>
      <c r="EO14" s="43" t="str">
        <f t="shared" si="188"/>
        <v/>
      </c>
      <c r="EP14" s="43" t="str">
        <f t="shared" si="189"/>
        <v/>
      </c>
      <c r="EQ14" s="43" t="str">
        <f t="shared" si="190"/>
        <v/>
      </c>
      <c r="ER14" s="43" t="str">
        <f t="shared" si="191"/>
        <v/>
      </c>
      <c r="ES14" s="43" t="str">
        <f t="shared" si="192"/>
        <v/>
      </c>
      <c r="ET14" s="43" t="str">
        <f t="shared" si="193"/>
        <v/>
      </c>
      <c r="EU14" s="43" t="str">
        <f t="shared" si="194"/>
        <v/>
      </c>
      <c r="EV14" s="43" t="str">
        <f t="shared" si="195"/>
        <v/>
      </c>
      <c r="EW14" s="43" t="str">
        <f t="shared" si="196"/>
        <v/>
      </c>
      <c r="EX14" s="43" t="str">
        <f t="shared" si="197"/>
        <v/>
      </c>
      <c r="EY14" s="43" t="str">
        <f t="shared" si="198"/>
        <v/>
      </c>
      <c r="EZ14" s="43" t="str">
        <f t="shared" si="199"/>
        <v/>
      </c>
      <c r="FA14" s="43" t="str">
        <f t="shared" si="200"/>
        <v/>
      </c>
      <c r="FB14" s="43" t="str">
        <f t="shared" si="201"/>
        <v/>
      </c>
      <c r="FC14" s="43" t="str">
        <f t="shared" si="202"/>
        <v/>
      </c>
      <c r="FD14" s="43" t="str">
        <f t="shared" si="203"/>
        <v/>
      </c>
      <c r="FE14" s="43" t="str">
        <f t="shared" si="204"/>
        <v/>
      </c>
      <c r="FF14" s="43" t="str">
        <f t="shared" si="205"/>
        <v/>
      </c>
      <c r="FG14" s="43" t="str">
        <f t="shared" si="206"/>
        <v/>
      </c>
      <c r="FH14" s="43" t="str">
        <f t="shared" si="207"/>
        <v/>
      </c>
      <c r="FI14" s="43" t="str">
        <f t="shared" si="208"/>
        <v/>
      </c>
      <c r="FJ14" s="43" t="str">
        <f t="shared" si="209"/>
        <v/>
      </c>
      <c r="FK14" s="43" t="str">
        <f t="shared" si="210"/>
        <v/>
      </c>
      <c r="FL14" s="43" t="str">
        <f t="shared" si="211"/>
        <v/>
      </c>
      <c r="FM14" s="43" t="str">
        <f t="shared" si="212"/>
        <v/>
      </c>
      <c r="FN14" s="43" t="str">
        <f t="shared" si="213"/>
        <v/>
      </c>
      <c r="FO14" s="43" t="str">
        <f t="shared" si="214"/>
        <v/>
      </c>
      <c r="FP14" s="43" t="str">
        <f t="shared" si="215"/>
        <v/>
      </c>
      <c r="FQ14" s="43" t="str">
        <f t="shared" si="216"/>
        <v/>
      </c>
      <c r="FR14" s="43" t="str">
        <f t="shared" si="217"/>
        <v/>
      </c>
      <c r="FS14" s="43" t="str">
        <f t="shared" si="218"/>
        <v/>
      </c>
    </row>
    <row r="15" s="6" customFormat="1" ht="15" spans="1:175">
      <c r="A15" s="10"/>
      <c r="B15" s="45" t="s">
        <v>195</v>
      </c>
      <c r="C15" s="10" t="s">
        <v>196</v>
      </c>
      <c r="D15" s="46"/>
      <c r="E15" s="47"/>
      <c r="F15" s="48">
        <v>3000</v>
      </c>
      <c r="G15" s="49">
        <v>80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3"/>
      <c r="Q15" s="53"/>
      <c r="R15" s="53"/>
      <c r="S15" s="53"/>
      <c r="T15" s="58"/>
      <c r="U15" s="59" t="s">
        <v>192</v>
      </c>
      <c r="V15" s="60">
        <v>100000</v>
      </c>
      <c r="W15" s="60"/>
      <c r="X15" s="60"/>
      <c r="Y15" s="60"/>
      <c r="Z15" s="60"/>
      <c r="AA15" s="60"/>
      <c r="AB15" s="60"/>
      <c r="AC15" s="60"/>
      <c r="AD15" s="63"/>
      <c r="AE15" s="60"/>
      <c r="AF15" s="60"/>
      <c r="AG15" s="64"/>
      <c r="AH15" s="60"/>
      <c r="AI15" s="60"/>
      <c r="AJ15" s="60"/>
      <c r="AK15" s="60"/>
      <c r="AL15" s="64"/>
      <c r="AM15" s="60"/>
      <c r="AN15" s="60">
        <v>6</v>
      </c>
      <c r="AO15" s="60">
        <f t="shared" si="219"/>
        <v>200</v>
      </c>
      <c r="AP15" s="60">
        <v>3</v>
      </c>
      <c r="AQ15" s="60"/>
      <c r="AR15" s="66"/>
      <c r="AS15" s="66"/>
      <c r="AT15" s="60"/>
      <c r="AU15" s="60"/>
      <c r="AV15" s="60"/>
      <c r="AW15" s="60"/>
      <c r="AX15" s="60"/>
      <c r="AY15" s="60"/>
      <c r="AZ15" s="60"/>
      <c r="BA15" s="60"/>
      <c r="BB15" s="60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60"/>
      <c r="CF15" s="60"/>
      <c r="CG15" s="60"/>
      <c r="CH15" s="60"/>
      <c r="CI15" s="60"/>
      <c r="CJ15" s="60"/>
      <c r="CK15" s="60"/>
      <c r="CL15" s="60"/>
      <c r="CM15" s="60"/>
      <c r="CN15" s="69" t="str">
        <f t="shared" si="2"/>
        <v>InitUnitState('E013',100000,,,,,,,,,)</v>
      </c>
      <c r="CO15" s="69" t="str">
        <f t="shared" si="3"/>
        <v>InitUnitNormal('E013',,,,,,,,,6,200)</v>
      </c>
      <c r="CP15" s="69" t="str">
        <f t="shared" si="4"/>
        <v>InitUnitMagic('E013',3,,,,,,,,,)</v>
      </c>
      <c r="CQ15" s="69" t="str">
        <f t="shared" si="5"/>
        <v>InitUnitAdd('E013',,,,,,,,,,)</v>
      </c>
      <c r="CR15" s="69" t="str">
        <f t="shared" si="6"/>
        <v>InitEquipData('E013',,"",,E014,3000,80,'','','','','','',"ReplaceableTextures\\CommandButtons\\BTNZ03.blp")</v>
      </c>
      <c r="CS15" s="69"/>
      <c r="CT15" s="69"/>
      <c r="CU15" s="71" t="str">
        <f t="shared" si="78"/>
        <v>|n攻击+100000|n暴击+6%|n暴伤+200%|n伤害吸取+3%|n</v>
      </c>
      <c r="CV15" s="5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|Cffbbbbbb属性：|r|n攻击+100000|n暴击+6%|n暴伤+200%|n伤害吸取+3%|n|n|Cff00ff7f点击消耗3000金币进行强化|n成功率80%</v>
      </c>
      <c r="DB15" s="43" t="str">
        <f t="shared" si="149"/>
        <v>|n攻击+100000</v>
      </c>
      <c r="DC15" s="43" t="str">
        <f t="shared" si="150"/>
        <v/>
      </c>
      <c r="DD15" s="43" t="str">
        <f t="shared" si="151"/>
        <v/>
      </c>
      <c r="DE15" s="43" t="str">
        <f t="shared" si="152"/>
        <v/>
      </c>
      <c r="DF15" s="43" t="str">
        <f t="shared" si="153"/>
        <v/>
      </c>
      <c r="DG15" s="43" t="str">
        <f t="shared" si="154"/>
        <v/>
      </c>
      <c r="DH15" s="43" t="str">
        <f t="shared" si="155"/>
        <v/>
      </c>
      <c r="DI15" s="43" t="str">
        <f t="shared" si="156"/>
        <v/>
      </c>
      <c r="DJ15" s="43" t="str">
        <f t="shared" si="157"/>
        <v/>
      </c>
      <c r="DK15" s="43" t="str">
        <f t="shared" si="158"/>
        <v/>
      </c>
      <c r="DL15" s="43" t="str">
        <f t="shared" si="159"/>
        <v/>
      </c>
      <c r="DM15" s="43" t="str">
        <f t="shared" si="160"/>
        <v/>
      </c>
      <c r="DN15" s="43" t="str">
        <f t="shared" si="161"/>
        <v/>
      </c>
      <c r="DO15" s="43" t="str">
        <f t="shared" si="162"/>
        <v/>
      </c>
      <c r="DP15" s="43" t="str">
        <f t="shared" si="163"/>
        <v/>
      </c>
      <c r="DQ15" s="43" t="str">
        <f t="shared" si="164"/>
        <v/>
      </c>
      <c r="DR15" s="43" t="str">
        <f t="shared" si="165"/>
        <v/>
      </c>
      <c r="DS15" s="43" t="str">
        <f t="shared" si="166"/>
        <v/>
      </c>
      <c r="DT15" s="43" t="str">
        <f t="shared" si="167"/>
        <v>|n暴击+6%</v>
      </c>
      <c r="DU15" s="43" t="str">
        <f t="shared" si="168"/>
        <v>|n暴伤+200%</v>
      </c>
      <c r="DV15" s="43" t="str">
        <f t="shared" si="169"/>
        <v>|n伤害吸取+3%</v>
      </c>
      <c r="DW15" s="43" t="str">
        <f t="shared" si="170"/>
        <v/>
      </c>
      <c r="DX15" s="43" t="str">
        <f t="shared" si="171"/>
        <v/>
      </c>
      <c r="DY15" s="43" t="str">
        <f t="shared" si="172"/>
        <v/>
      </c>
      <c r="DZ15" s="43" t="str">
        <f t="shared" si="173"/>
        <v/>
      </c>
      <c r="EA15" s="43" t="str">
        <f t="shared" si="174"/>
        <v/>
      </c>
      <c r="EB15" s="43" t="str">
        <f t="shared" si="175"/>
        <v/>
      </c>
      <c r="EC15" s="43" t="str">
        <f t="shared" si="176"/>
        <v/>
      </c>
      <c r="ED15" s="43" t="str">
        <f t="shared" si="177"/>
        <v/>
      </c>
      <c r="EE15" s="43" t="str">
        <f t="shared" si="178"/>
        <v/>
      </c>
      <c r="EF15" s="43" t="str">
        <f t="shared" si="179"/>
        <v/>
      </c>
      <c r="EG15" s="43" t="str">
        <f t="shared" si="180"/>
        <v/>
      </c>
      <c r="EH15" s="43" t="str">
        <f t="shared" si="181"/>
        <v/>
      </c>
      <c r="EI15" s="43" t="str">
        <f t="shared" si="182"/>
        <v/>
      </c>
      <c r="EJ15" s="43" t="str">
        <f t="shared" si="183"/>
        <v/>
      </c>
      <c r="EK15" s="43" t="str">
        <f t="shared" si="184"/>
        <v/>
      </c>
      <c r="EL15" s="43" t="str">
        <f t="shared" si="185"/>
        <v/>
      </c>
      <c r="EM15" s="43" t="str">
        <f t="shared" si="186"/>
        <v/>
      </c>
      <c r="EN15" s="43" t="str">
        <f t="shared" si="187"/>
        <v/>
      </c>
      <c r="EO15" s="43" t="str">
        <f t="shared" si="188"/>
        <v/>
      </c>
      <c r="EP15" s="43" t="str">
        <f t="shared" si="189"/>
        <v/>
      </c>
      <c r="EQ15" s="43" t="str">
        <f t="shared" si="190"/>
        <v/>
      </c>
      <c r="ER15" s="43" t="str">
        <f t="shared" si="191"/>
        <v/>
      </c>
      <c r="ES15" s="43" t="str">
        <f t="shared" si="192"/>
        <v/>
      </c>
      <c r="ET15" s="43" t="str">
        <f t="shared" si="193"/>
        <v/>
      </c>
      <c r="EU15" s="43" t="str">
        <f t="shared" si="194"/>
        <v/>
      </c>
      <c r="EV15" s="43" t="str">
        <f t="shared" si="195"/>
        <v/>
      </c>
      <c r="EW15" s="43" t="str">
        <f t="shared" si="196"/>
        <v/>
      </c>
      <c r="EX15" s="43" t="str">
        <f t="shared" si="197"/>
        <v/>
      </c>
      <c r="EY15" s="43" t="str">
        <f t="shared" si="198"/>
        <v/>
      </c>
      <c r="EZ15" s="43" t="str">
        <f t="shared" si="199"/>
        <v/>
      </c>
      <c r="FA15" s="43" t="str">
        <f t="shared" si="200"/>
        <v/>
      </c>
      <c r="FB15" s="43" t="str">
        <f t="shared" si="201"/>
        <v/>
      </c>
      <c r="FC15" s="43" t="str">
        <f t="shared" si="202"/>
        <v/>
      </c>
      <c r="FD15" s="43" t="str">
        <f t="shared" si="203"/>
        <v/>
      </c>
      <c r="FE15" s="43" t="str">
        <f t="shared" si="204"/>
        <v/>
      </c>
      <c r="FF15" s="43" t="str">
        <f t="shared" si="205"/>
        <v/>
      </c>
      <c r="FG15" s="43" t="str">
        <f t="shared" si="206"/>
        <v/>
      </c>
      <c r="FH15" s="43" t="str">
        <f t="shared" si="207"/>
        <v/>
      </c>
      <c r="FI15" s="43" t="str">
        <f t="shared" si="208"/>
        <v/>
      </c>
      <c r="FJ15" s="43" t="str">
        <f t="shared" si="209"/>
        <v/>
      </c>
      <c r="FK15" s="43" t="str">
        <f t="shared" si="210"/>
        <v/>
      </c>
      <c r="FL15" s="43" t="str">
        <f t="shared" si="211"/>
        <v/>
      </c>
      <c r="FM15" s="43" t="str">
        <f t="shared" si="212"/>
        <v/>
      </c>
      <c r="FN15" s="43" t="str">
        <f t="shared" si="213"/>
        <v/>
      </c>
      <c r="FO15" s="43" t="str">
        <f t="shared" si="214"/>
        <v/>
      </c>
      <c r="FP15" s="43" t="str">
        <f t="shared" si="215"/>
        <v/>
      </c>
      <c r="FQ15" s="43" t="str">
        <f t="shared" si="216"/>
        <v/>
      </c>
      <c r="FR15" s="43" t="str">
        <f t="shared" si="217"/>
        <v/>
      </c>
      <c r="FS15" s="43" t="str">
        <f t="shared" si="218"/>
        <v/>
      </c>
    </row>
    <row r="16" s="6" customFormat="1" ht="15" spans="1:175">
      <c r="A16" s="10"/>
      <c r="B16" s="45" t="s">
        <v>197</v>
      </c>
      <c r="C16" s="10" t="s">
        <v>198</v>
      </c>
      <c r="D16" s="46"/>
      <c r="E16" s="47"/>
      <c r="F16" s="48">
        <v>3000</v>
      </c>
      <c r="G16" s="49">
        <v>80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3"/>
      <c r="Q16" s="53"/>
      <c r="R16" s="53"/>
      <c r="S16" s="53"/>
      <c r="T16" s="58"/>
      <c r="U16" s="59" t="s">
        <v>192</v>
      </c>
      <c r="V16" s="60">
        <v>120000</v>
      </c>
      <c r="W16" s="60"/>
      <c r="X16" s="60"/>
      <c r="Y16" s="60"/>
      <c r="Z16" s="60"/>
      <c r="AA16" s="60"/>
      <c r="AB16" s="60"/>
      <c r="AC16" s="60"/>
      <c r="AD16" s="63"/>
      <c r="AE16" s="60"/>
      <c r="AF16" s="60"/>
      <c r="AG16" s="64"/>
      <c r="AH16" s="60"/>
      <c r="AI16" s="60"/>
      <c r="AJ16" s="60"/>
      <c r="AK16" s="60"/>
      <c r="AL16" s="64"/>
      <c r="AM16" s="60"/>
      <c r="AN16" s="60">
        <v>6</v>
      </c>
      <c r="AO16" s="60">
        <f t="shared" si="219"/>
        <v>200</v>
      </c>
      <c r="AP16" s="60">
        <v>3</v>
      </c>
      <c r="AQ16" s="60"/>
      <c r="AR16" s="66"/>
      <c r="AS16" s="66"/>
      <c r="AT16" s="60"/>
      <c r="AU16" s="60"/>
      <c r="AV16" s="60"/>
      <c r="AW16" s="60"/>
      <c r="AX16" s="60"/>
      <c r="AY16" s="60"/>
      <c r="AZ16" s="60"/>
      <c r="BA16" s="60"/>
      <c r="BB16" s="60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60"/>
      <c r="CF16" s="60"/>
      <c r="CG16" s="60"/>
      <c r="CH16" s="60"/>
      <c r="CI16" s="60"/>
      <c r="CJ16" s="60"/>
      <c r="CK16" s="60"/>
      <c r="CL16" s="60"/>
      <c r="CM16" s="60"/>
      <c r="CN16" s="69" t="str">
        <f t="shared" si="2"/>
        <v>InitUnitState('E014',120000,,,,,,,,,)</v>
      </c>
      <c r="CO16" s="69" t="str">
        <f t="shared" si="3"/>
        <v>InitUnitNormal('E014',,,,,,,,,6,200)</v>
      </c>
      <c r="CP16" s="69" t="str">
        <f t="shared" si="4"/>
        <v>InitUnitMagic('E014',3,,,,,,,,,)</v>
      </c>
      <c r="CQ16" s="69" t="str">
        <f t="shared" si="5"/>
        <v>InitUnitAdd('E014',,,,,,,,,,)</v>
      </c>
      <c r="CR16" s="69" t="str">
        <f t="shared" si="6"/>
        <v>InitEquipData('E014',,"",,E015,3000,80,'','','','','','',"ReplaceableTextures\\CommandButtons\\BTNZ03.blp")</v>
      </c>
      <c r="CS16" s="69"/>
      <c r="CT16" s="69"/>
      <c r="CU16" s="71" t="str">
        <f t="shared" si="78"/>
        <v>|n攻击+120000|n暴击+6%|n暴伤+200%|n伤害吸取+3%|n</v>
      </c>
      <c r="CV16" s="5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|Cffbbbbbb属性：|r|n攻击+120000|n暴击+6%|n暴伤+200%|n伤害吸取+3%|n|n|Cff00ff7f点击消耗3000金币进行强化|n成功率80%</v>
      </c>
      <c r="DB16" s="43" t="str">
        <f t="shared" si="149"/>
        <v>|n攻击+120000</v>
      </c>
      <c r="DC16" s="43" t="str">
        <f t="shared" si="150"/>
        <v/>
      </c>
      <c r="DD16" s="43" t="str">
        <f t="shared" si="151"/>
        <v/>
      </c>
      <c r="DE16" s="43" t="str">
        <f t="shared" si="152"/>
        <v/>
      </c>
      <c r="DF16" s="43" t="str">
        <f t="shared" si="153"/>
        <v/>
      </c>
      <c r="DG16" s="43" t="str">
        <f t="shared" si="154"/>
        <v/>
      </c>
      <c r="DH16" s="43" t="str">
        <f t="shared" si="155"/>
        <v/>
      </c>
      <c r="DI16" s="43" t="str">
        <f t="shared" si="156"/>
        <v/>
      </c>
      <c r="DJ16" s="43" t="str">
        <f t="shared" si="157"/>
        <v/>
      </c>
      <c r="DK16" s="43" t="str">
        <f t="shared" si="158"/>
        <v/>
      </c>
      <c r="DL16" s="43" t="str">
        <f t="shared" si="159"/>
        <v/>
      </c>
      <c r="DM16" s="43" t="str">
        <f t="shared" si="160"/>
        <v/>
      </c>
      <c r="DN16" s="43" t="str">
        <f t="shared" si="161"/>
        <v/>
      </c>
      <c r="DO16" s="43" t="str">
        <f t="shared" si="162"/>
        <v/>
      </c>
      <c r="DP16" s="43" t="str">
        <f t="shared" si="163"/>
        <v/>
      </c>
      <c r="DQ16" s="43" t="str">
        <f t="shared" si="164"/>
        <v/>
      </c>
      <c r="DR16" s="43" t="str">
        <f t="shared" si="165"/>
        <v/>
      </c>
      <c r="DS16" s="43" t="str">
        <f t="shared" si="166"/>
        <v/>
      </c>
      <c r="DT16" s="43" t="str">
        <f t="shared" si="167"/>
        <v>|n暴击+6%</v>
      </c>
      <c r="DU16" s="43" t="str">
        <f t="shared" si="168"/>
        <v>|n暴伤+200%</v>
      </c>
      <c r="DV16" s="43" t="str">
        <f t="shared" si="169"/>
        <v>|n伤害吸取+3%</v>
      </c>
      <c r="DW16" s="43" t="str">
        <f t="shared" si="170"/>
        <v/>
      </c>
      <c r="DX16" s="43" t="str">
        <f t="shared" si="171"/>
        <v/>
      </c>
      <c r="DY16" s="43" t="str">
        <f t="shared" si="172"/>
        <v/>
      </c>
      <c r="DZ16" s="43" t="str">
        <f t="shared" si="173"/>
        <v/>
      </c>
      <c r="EA16" s="43" t="str">
        <f t="shared" si="174"/>
        <v/>
      </c>
      <c r="EB16" s="43" t="str">
        <f t="shared" si="175"/>
        <v/>
      </c>
      <c r="EC16" s="43" t="str">
        <f t="shared" si="176"/>
        <v/>
      </c>
      <c r="ED16" s="43" t="str">
        <f t="shared" si="177"/>
        <v/>
      </c>
      <c r="EE16" s="43" t="str">
        <f t="shared" si="178"/>
        <v/>
      </c>
      <c r="EF16" s="43" t="str">
        <f t="shared" si="179"/>
        <v/>
      </c>
      <c r="EG16" s="43" t="str">
        <f t="shared" si="180"/>
        <v/>
      </c>
      <c r="EH16" s="43" t="str">
        <f t="shared" si="181"/>
        <v/>
      </c>
      <c r="EI16" s="43" t="str">
        <f t="shared" si="182"/>
        <v/>
      </c>
      <c r="EJ16" s="43" t="str">
        <f t="shared" si="183"/>
        <v/>
      </c>
      <c r="EK16" s="43" t="str">
        <f t="shared" si="184"/>
        <v/>
      </c>
      <c r="EL16" s="43" t="str">
        <f t="shared" si="185"/>
        <v/>
      </c>
      <c r="EM16" s="43" t="str">
        <f t="shared" si="186"/>
        <v/>
      </c>
      <c r="EN16" s="43" t="str">
        <f t="shared" si="187"/>
        <v/>
      </c>
      <c r="EO16" s="43" t="str">
        <f t="shared" si="188"/>
        <v/>
      </c>
      <c r="EP16" s="43" t="str">
        <f t="shared" si="189"/>
        <v/>
      </c>
      <c r="EQ16" s="43" t="str">
        <f t="shared" si="190"/>
        <v/>
      </c>
      <c r="ER16" s="43" t="str">
        <f t="shared" si="191"/>
        <v/>
      </c>
      <c r="ES16" s="43" t="str">
        <f t="shared" si="192"/>
        <v/>
      </c>
      <c r="ET16" s="43" t="str">
        <f t="shared" si="193"/>
        <v/>
      </c>
      <c r="EU16" s="43" t="str">
        <f t="shared" si="194"/>
        <v/>
      </c>
      <c r="EV16" s="43" t="str">
        <f t="shared" si="195"/>
        <v/>
      </c>
      <c r="EW16" s="43" t="str">
        <f t="shared" si="196"/>
        <v/>
      </c>
      <c r="EX16" s="43" t="str">
        <f t="shared" si="197"/>
        <v/>
      </c>
      <c r="EY16" s="43" t="str">
        <f t="shared" si="198"/>
        <v/>
      </c>
      <c r="EZ16" s="43" t="str">
        <f t="shared" si="199"/>
        <v/>
      </c>
      <c r="FA16" s="43" t="str">
        <f t="shared" si="200"/>
        <v/>
      </c>
      <c r="FB16" s="43" t="str">
        <f t="shared" si="201"/>
        <v/>
      </c>
      <c r="FC16" s="43" t="str">
        <f t="shared" si="202"/>
        <v/>
      </c>
      <c r="FD16" s="43" t="str">
        <f t="shared" si="203"/>
        <v/>
      </c>
      <c r="FE16" s="43" t="str">
        <f t="shared" si="204"/>
        <v/>
      </c>
      <c r="FF16" s="43" t="str">
        <f t="shared" si="205"/>
        <v/>
      </c>
      <c r="FG16" s="43" t="str">
        <f t="shared" si="206"/>
        <v/>
      </c>
      <c r="FH16" s="43" t="str">
        <f t="shared" si="207"/>
        <v/>
      </c>
      <c r="FI16" s="43" t="str">
        <f t="shared" si="208"/>
        <v/>
      </c>
      <c r="FJ16" s="43" t="str">
        <f t="shared" si="209"/>
        <v/>
      </c>
      <c r="FK16" s="43" t="str">
        <f t="shared" si="210"/>
        <v/>
      </c>
      <c r="FL16" s="43" t="str">
        <f t="shared" si="211"/>
        <v/>
      </c>
      <c r="FM16" s="43" t="str">
        <f t="shared" si="212"/>
        <v/>
      </c>
      <c r="FN16" s="43" t="str">
        <f t="shared" si="213"/>
        <v/>
      </c>
      <c r="FO16" s="43" t="str">
        <f t="shared" si="214"/>
        <v/>
      </c>
      <c r="FP16" s="43" t="str">
        <f t="shared" si="215"/>
        <v/>
      </c>
      <c r="FQ16" s="43" t="str">
        <f t="shared" si="216"/>
        <v/>
      </c>
      <c r="FR16" s="43" t="str">
        <f t="shared" si="217"/>
        <v/>
      </c>
      <c r="FS16" s="43" t="str">
        <f t="shared" si="218"/>
        <v/>
      </c>
    </row>
    <row r="17" s="6" customFormat="1" ht="15" spans="1:175">
      <c r="A17" s="10"/>
      <c r="B17" s="45" t="s">
        <v>199</v>
      </c>
      <c r="C17" s="10" t="s">
        <v>200</v>
      </c>
      <c r="D17" s="46"/>
      <c r="E17" s="47"/>
      <c r="F17" s="48">
        <v>15000</v>
      </c>
      <c r="G17" s="49">
        <v>100</v>
      </c>
      <c r="H17" s="50" t="s">
        <v>201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3"/>
      <c r="Q17" s="53"/>
      <c r="R17" s="53"/>
      <c r="S17" s="53"/>
      <c r="T17" s="58"/>
      <c r="U17" s="59" t="s">
        <v>192</v>
      </c>
      <c r="V17" s="60">
        <v>140000</v>
      </c>
      <c r="W17" s="60"/>
      <c r="X17" s="60"/>
      <c r="Y17" s="60"/>
      <c r="Z17" s="60"/>
      <c r="AA17" s="60"/>
      <c r="AB17" s="60"/>
      <c r="AC17" s="60"/>
      <c r="AD17" s="63"/>
      <c r="AE17" s="60"/>
      <c r="AF17" s="60"/>
      <c r="AG17" s="64"/>
      <c r="AH17" s="60"/>
      <c r="AI17" s="60"/>
      <c r="AJ17" s="60"/>
      <c r="AK17" s="60"/>
      <c r="AL17" s="64"/>
      <c r="AM17" s="60"/>
      <c r="AN17" s="60">
        <v>6</v>
      </c>
      <c r="AO17" s="60">
        <f t="shared" si="219"/>
        <v>200</v>
      </c>
      <c r="AP17" s="60">
        <v>3</v>
      </c>
      <c r="AQ17" s="60"/>
      <c r="AR17" s="66"/>
      <c r="AS17" s="66"/>
      <c r="AT17" s="60"/>
      <c r="AU17" s="60"/>
      <c r="AV17" s="60"/>
      <c r="AW17" s="60"/>
      <c r="AX17" s="60"/>
      <c r="AY17" s="60"/>
      <c r="AZ17" s="60"/>
      <c r="BA17" s="60"/>
      <c r="BB17" s="60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60"/>
      <c r="CF17" s="60"/>
      <c r="CG17" s="60"/>
      <c r="CH17" s="60"/>
      <c r="CI17" s="60"/>
      <c r="CJ17" s="60"/>
      <c r="CK17" s="60"/>
      <c r="CL17" s="60"/>
      <c r="CM17" s="60"/>
      <c r="CN17" s="69" t="str">
        <f t="shared" si="2"/>
        <v>InitUnitState('E015',140000,,,,,,,,,)</v>
      </c>
      <c r="CO17" s="69" t="str">
        <f t="shared" si="3"/>
        <v>InitUnitNormal('E015',,,,,,,,,6,200)</v>
      </c>
      <c r="CP17" s="69" t="str">
        <f t="shared" si="4"/>
        <v>InitUnitMagic('E015',3,,,,,,,,,)</v>
      </c>
      <c r="CQ17" s="69" t="str">
        <f t="shared" si="5"/>
        <v>InitUnitAdd('E015',,,,,,,,,,)</v>
      </c>
      <c r="CR17" s="69" t="str">
        <f t="shared" si="6"/>
        <v>InitEquipData('E015',,"",,E016,15000,100,'','','','','','',"ReplaceableTextures\\CommandButtons\\BTNZ04.blp")</v>
      </c>
      <c r="CS17" s="69"/>
      <c r="CT17" s="69"/>
      <c r="CU17" s="71" t="str">
        <f t="shared" si="78"/>
        <v>|n攻击+140000|n暴击+6%|n暴伤+200%|n伤害吸取+3%|n</v>
      </c>
      <c r="CV17" s="5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|Cffbbbbbb属性：|r|n攻击+140000|n暴击+6%|n暴伤+200%|n伤害吸取+3%|n|n|Cff00ff7f点击消耗15000金币进行晋阶挑战</v>
      </c>
      <c r="DB17" s="43" t="str">
        <f t="shared" si="149"/>
        <v>|n攻击+140000</v>
      </c>
      <c r="DC17" s="43" t="str">
        <f t="shared" si="150"/>
        <v/>
      </c>
      <c r="DD17" s="43" t="str">
        <f t="shared" si="151"/>
        <v/>
      </c>
      <c r="DE17" s="43" t="str">
        <f t="shared" si="152"/>
        <v/>
      </c>
      <c r="DF17" s="43" t="str">
        <f t="shared" si="153"/>
        <v/>
      </c>
      <c r="DG17" s="43" t="str">
        <f t="shared" si="154"/>
        <v/>
      </c>
      <c r="DH17" s="43" t="str">
        <f t="shared" si="155"/>
        <v/>
      </c>
      <c r="DI17" s="43" t="str">
        <f t="shared" si="156"/>
        <v/>
      </c>
      <c r="DJ17" s="43" t="str">
        <f t="shared" si="157"/>
        <v/>
      </c>
      <c r="DK17" s="43" t="str">
        <f t="shared" si="158"/>
        <v/>
      </c>
      <c r="DL17" s="43" t="str">
        <f t="shared" si="159"/>
        <v/>
      </c>
      <c r="DM17" s="43" t="str">
        <f t="shared" si="160"/>
        <v/>
      </c>
      <c r="DN17" s="43" t="str">
        <f t="shared" si="161"/>
        <v/>
      </c>
      <c r="DO17" s="43" t="str">
        <f t="shared" si="162"/>
        <v/>
      </c>
      <c r="DP17" s="43" t="str">
        <f t="shared" si="163"/>
        <v/>
      </c>
      <c r="DQ17" s="43" t="str">
        <f t="shared" si="164"/>
        <v/>
      </c>
      <c r="DR17" s="43" t="str">
        <f t="shared" si="165"/>
        <v/>
      </c>
      <c r="DS17" s="43" t="str">
        <f t="shared" si="166"/>
        <v/>
      </c>
      <c r="DT17" s="43" t="str">
        <f t="shared" si="167"/>
        <v>|n暴击+6%</v>
      </c>
      <c r="DU17" s="43" t="str">
        <f t="shared" si="168"/>
        <v>|n暴伤+200%</v>
      </c>
      <c r="DV17" s="43" t="str">
        <f t="shared" si="169"/>
        <v>|n伤害吸取+3%</v>
      </c>
      <c r="DW17" s="43" t="str">
        <f t="shared" si="170"/>
        <v/>
      </c>
      <c r="DX17" s="43" t="str">
        <f t="shared" si="171"/>
        <v/>
      </c>
      <c r="DY17" s="43" t="str">
        <f t="shared" si="172"/>
        <v/>
      </c>
      <c r="DZ17" s="43" t="str">
        <f t="shared" si="173"/>
        <v/>
      </c>
      <c r="EA17" s="43" t="str">
        <f t="shared" si="174"/>
        <v/>
      </c>
      <c r="EB17" s="43" t="str">
        <f t="shared" si="175"/>
        <v/>
      </c>
      <c r="EC17" s="43" t="str">
        <f t="shared" si="176"/>
        <v/>
      </c>
      <c r="ED17" s="43" t="str">
        <f t="shared" si="177"/>
        <v/>
      </c>
      <c r="EE17" s="43" t="str">
        <f t="shared" si="178"/>
        <v/>
      </c>
      <c r="EF17" s="43" t="str">
        <f t="shared" si="179"/>
        <v/>
      </c>
      <c r="EG17" s="43" t="str">
        <f t="shared" si="180"/>
        <v/>
      </c>
      <c r="EH17" s="43" t="str">
        <f t="shared" si="181"/>
        <v/>
      </c>
      <c r="EI17" s="43" t="str">
        <f t="shared" si="182"/>
        <v/>
      </c>
      <c r="EJ17" s="43" t="str">
        <f t="shared" si="183"/>
        <v/>
      </c>
      <c r="EK17" s="43" t="str">
        <f t="shared" si="184"/>
        <v/>
      </c>
      <c r="EL17" s="43" t="str">
        <f t="shared" si="185"/>
        <v/>
      </c>
      <c r="EM17" s="43" t="str">
        <f t="shared" si="186"/>
        <v/>
      </c>
      <c r="EN17" s="43" t="str">
        <f t="shared" si="187"/>
        <v/>
      </c>
      <c r="EO17" s="43" t="str">
        <f t="shared" si="188"/>
        <v/>
      </c>
      <c r="EP17" s="43" t="str">
        <f t="shared" si="189"/>
        <v/>
      </c>
      <c r="EQ17" s="43" t="str">
        <f t="shared" si="190"/>
        <v/>
      </c>
      <c r="ER17" s="43" t="str">
        <f t="shared" si="191"/>
        <v/>
      </c>
      <c r="ES17" s="43" t="str">
        <f t="shared" si="192"/>
        <v/>
      </c>
      <c r="ET17" s="43" t="str">
        <f t="shared" si="193"/>
        <v/>
      </c>
      <c r="EU17" s="43" t="str">
        <f t="shared" si="194"/>
        <v/>
      </c>
      <c r="EV17" s="43" t="str">
        <f t="shared" si="195"/>
        <v/>
      </c>
      <c r="EW17" s="43" t="str">
        <f t="shared" si="196"/>
        <v/>
      </c>
      <c r="EX17" s="43" t="str">
        <f t="shared" si="197"/>
        <v/>
      </c>
      <c r="EY17" s="43" t="str">
        <f t="shared" si="198"/>
        <v/>
      </c>
      <c r="EZ17" s="43" t="str">
        <f t="shared" si="199"/>
        <v/>
      </c>
      <c r="FA17" s="43" t="str">
        <f t="shared" si="200"/>
        <v/>
      </c>
      <c r="FB17" s="43" t="str">
        <f t="shared" si="201"/>
        <v/>
      </c>
      <c r="FC17" s="43" t="str">
        <f t="shared" si="202"/>
        <v/>
      </c>
      <c r="FD17" s="43" t="str">
        <f t="shared" si="203"/>
        <v/>
      </c>
      <c r="FE17" s="43" t="str">
        <f t="shared" si="204"/>
        <v/>
      </c>
      <c r="FF17" s="43" t="str">
        <f t="shared" si="205"/>
        <v/>
      </c>
      <c r="FG17" s="43" t="str">
        <f t="shared" si="206"/>
        <v/>
      </c>
      <c r="FH17" s="43" t="str">
        <f t="shared" si="207"/>
        <v/>
      </c>
      <c r="FI17" s="43" t="str">
        <f t="shared" si="208"/>
        <v/>
      </c>
      <c r="FJ17" s="43" t="str">
        <f t="shared" si="209"/>
        <v/>
      </c>
      <c r="FK17" s="43" t="str">
        <f t="shared" si="210"/>
        <v/>
      </c>
      <c r="FL17" s="43" t="str">
        <f t="shared" si="211"/>
        <v/>
      </c>
      <c r="FM17" s="43" t="str">
        <f t="shared" si="212"/>
        <v/>
      </c>
      <c r="FN17" s="43" t="str">
        <f t="shared" si="213"/>
        <v/>
      </c>
      <c r="FO17" s="43" t="str">
        <f t="shared" si="214"/>
        <v/>
      </c>
      <c r="FP17" s="43" t="str">
        <f t="shared" si="215"/>
        <v/>
      </c>
      <c r="FQ17" s="43" t="str">
        <f t="shared" si="216"/>
        <v/>
      </c>
      <c r="FR17" s="43" t="str">
        <f t="shared" si="217"/>
        <v/>
      </c>
      <c r="FS17" s="43" t="str">
        <f t="shared" si="218"/>
        <v/>
      </c>
    </row>
    <row r="18" s="6" customFormat="1" ht="15" spans="1:175">
      <c r="A18" s="10"/>
      <c r="B18" s="45" t="s">
        <v>202</v>
      </c>
      <c r="C18" s="10" t="s">
        <v>203</v>
      </c>
      <c r="D18" s="46"/>
      <c r="E18" s="47"/>
      <c r="F18" s="48">
        <v>10000</v>
      </c>
      <c r="G18" s="49">
        <v>70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3"/>
      <c r="Q18" s="53"/>
      <c r="R18" s="53"/>
      <c r="S18" s="53"/>
      <c r="T18" s="58"/>
      <c r="U18" s="59" t="s">
        <v>204</v>
      </c>
      <c r="V18" s="60">
        <v>300000</v>
      </c>
      <c r="W18" s="60"/>
      <c r="X18" s="60"/>
      <c r="Y18" s="60"/>
      <c r="Z18" s="60"/>
      <c r="AA18" s="60"/>
      <c r="AB18" s="60"/>
      <c r="AC18" s="60"/>
      <c r="AD18" s="63"/>
      <c r="AE18" s="60"/>
      <c r="AF18" s="60"/>
      <c r="AG18" s="64"/>
      <c r="AH18" s="60"/>
      <c r="AI18" s="60"/>
      <c r="AJ18" s="60"/>
      <c r="AK18" s="60"/>
      <c r="AL18" s="64"/>
      <c r="AM18" s="60"/>
      <c r="AN18" s="60">
        <v>7</v>
      </c>
      <c r="AO18" s="60">
        <f t="shared" si="219"/>
        <v>300</v>
      </c>
      <c r="AP18" s="60">
        <v>4</v>
      </c>
      <c r="AQ18" s="60"/>
      <c r="AR18" s="66"/>
      <c r="AS18" s="66"/>
      <c r="AT18" s="60"/>
      <c r="AU18" s="60"/>
      <c r="AV18" s="60"/>
      <c r="AW18" s="60"/>
      <c r="AX18" s="60"/>
      <c r="AY18" s="60"/>
      <c r="AZ18" s="60"/>
      <c r="BA18" s="60"/>
      <c r="BB18" s="60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60"/>
      <c r="CF18" s="60"/>
      <c r="CG18" s="60"/>
      <c r="CH18" s="60"/>
      <c r="CI18" s="60"/>
      <c r="CJ18" s="60"/>
      <c r="CK18" s="60"/>
      <c r="CL18" s="60"/>
      <c r="CM18" s="60"/>
      <c r="CN18" s="69" t="str">
        <f t="shared" si="2"/>
        <v>InitUnitState('E016',300000,,,,,,,,,)</v>
      </c>
      <c r="CO18" s="69" t="str">
        <f t="shared" si="3"/>
        <v>InitUnitNormal('E016',,,,,,,,,7,300)</v>
      </c>
      <c r="CP18" s="69" t="str">
        <f t="shared" si="4"/>
        <v>InitUnitMagic('E016',4,,,,,,,,,)</v>
      </c>
      <c r="CQ18" s="69" t="str">
        <f t="shared" si="5"/>
        <v>InitUnitAdd('E016',,,,,,,,,,)</v>
      </c>
      <c r="CR18" s="69" t="str">
        <f t="shared" si="6"/>
        <v>InitEquipData('E016',,"",,E017,10000,70,'','','','','','',"ReplaceableTextures\\CommandButtons\\BTNZ04.blp")</v>
      </c>
      <c r="CS18" s="69"/>
      <c r="CT18" s="69"/>
      <c r="CU18" s="71" t="str">
        <f t="shared" si="78"/>
        <v>|n攻击+300000|n暴击+7%|n暴伤+300%|n伤害吸取+4%|n</v>
      </c>
      <c r="CV18" s="5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3" t="str">
        <f t="shared" si="149"/>
        <v>|n攻击+300000</v>
      </c>
      <c r="DC18" s="43" t="str">
        <f t="shared" si="150"/>
        <v/>
      </c>
      <c r="DD18" s="43" t="str">
        <f t="shared" si="151"/>
        <v/>
      </c>
      <c r="DE18" s="43" t="str">
        <f t="shared" si="152"/>
        <v/>
      </c>
      <c r="DF18" s="43" t="str">
        <f t="shared" si="153"/>
        <v/>
      </c>
      <c r="DG18" s="43" t="str">
        <f t="shared" si="154"/>
        <v/>
      </c>
      <c r="DH18" s="43" t="str">
        <f t="shared" si="155"/>
        <v/>
      </c>
      <c r="DI18" s="43" t="str">
        <f t="shared" si="156"/>
        <v/>
      </c>
      <c r="DJ18" s="43" t="str">
        <f t="shared" si="157"/>
        <v/>
      </c>
      <c r="DK18" s="43" t="str">
        <f t="shared" si="158"/>
        <v/>
      </c>
      <c r="DL18" s="43" t="str">
        <f t="shared" si="159"/>
        <v/>
      </c>
      <c r="DM18" s="43" t="str">
        <f t="shared" si="160"/>
        <v/>
      </c>
      <c r="DN18" s="43" t="str">
        <f t="shared" si="161"/>
        <v/>
      </c>
      <c r="DO18" s="43" t="str">
        <f t="shared" si="162"/>
        <v/>
      </c>
      <c r="DP18" s="43" t="str">
        <f t="shared" si="163"/>
        <v/>
      </c>
      <c r="DQ18" s="43" t="str">
        <f t="shared" si="164"/>
        <v/>
      </c>
      <c r="DR18" s="43" t="str">
        <f t="shared" si="165"/>
        <v/>
      </c>
      <c r="DS18" s="43" t="str">
        <f t="shared" si="166"/>
        <v/>
      </c>
      <c r="DT18" s="43" t="str">
        <f t="shared" si="167"/>
        <v>|n暴击+7%</v>
      </c>
      <c r="DU18" s="43" t="str">
        <f t="shared" si="168"/>
        <v>|n暴伤+300%</v>
      </c>
      <c r="DV18" s="43" t="str">
        <f t="shared" si="169"/>
        <v>|n伤害吸取+4%</v>
      </c>
      <c r="DW18" s="43" t="str">
        <f t="shared" si="170"/>
        <v/>
      </c>
      <c r="DX18" s="43" t="str">
        <f t="shared" si="171"/>
        <v/>
      </c>
      <c r="DY18" s="43" t="str">
        <f t="shared" si="172"/>
        <v/>
      </c>
      <c r="DZ18" s="43" t="str">
        <f t="shared" si="173"/>
        <v/>
      </c>
      <c r="EA18" s="43" t="str">
        <f t="shared" si="174"/>
        <v/>
      </c>
      <c r="EB18" s="43" t="str">
        <f t="shared" si="175"/>
        <v/>
      </c>
      <c r="EC18" s="43" t="str">
        <f t="shared" si="176"/>
        <v/>
      </c>
      <c r="ED18" s="43" t="str">
        <f t="shared" si="177"/>
        <v/>
      </c>
      <c r="EE18" s="43" t="str">
        <f t="shared" si="178"/>
        <v/>
      </c>
      <c r="EF18" s="43" t="str">
        <f t="shared" si="179"/>
        <v/>
      </c>
      <c r="EG18" s="43" t="str">
        <f t="shared" si="180"/>
        <v/>
      </c>
      <c r="EH18" s="43" t="str">
        <f t="shared" si="181"/>
        <v/>
      </c>
      <c r="EI18" s="43" t="str">
        <f t="shared" si="182"/>
        <v/>
      </c>
      <c r="EJ18" s="43" t="str">
        <f t="shared" si="183"/>
        <v/>
      </c>
      <c r="EK18" s="43" t="str">
        <f t="shared" si="184"/>
        <v/>
      </c>
      <c r="EL18" s="43" t="str">
        <f t="shared" si="185"/>
        <v/>
      </c>
      <c r="EM18" s="43" t="str">
        <f t="shared" si="186"/>
        <v/>
      </c>
      <c r="EN18" s="43" t="str">
        <f t="shared" si="187"/>
        <v/>
      </c>
      <c r="EO18" s="43" t="str">
        <f t="shared" si="188"/>
        <v/>
      </c>
      <c r="EP18" s="43" t="str">
        <f t="shared" si="189"/>
        <v/>
      </c>
      <c r="EQ18" s="43" t="str">
        <f t="shared" si="190"/>
        <v/>
      </c>
      <c r="ER18" s="43" t="str">
        <f t="shared" si="191"/>
        <v/>
      </c>
      <c r="ES18" s="43" t="str">
        <f t="shared" si="192"/>
        <v/>
      </c>
      <c r="ET18" s="43" t="str">
        <f t="shared" si="193"/>
        <v/>
      </c>
      <c r="EU18" s="43" t="str">
        <f t="shared" si="194"/>
        <v/>
      </c>
      <c r="EV18" s="43" t="str">
        <f t="shared" si="195"/>
        <v/>
      </c>
      <c r="EW18" s="43" t="str">
        <f t="shared" si="196"/>
        <v/>
      </c>
      <c r="EX18" s="43" t="str">
        <f t="shared" si="197"/>
        <v/>
      </c>
      <c r="EY18" s="43" t="str">
        <f t="shared" si="198"/>
        <v/>
      </c>
      <c r="EZ18" s="43" t="str">
        <f t="shared" si="199"/>
        <v/>
      </c>
      <c r="FA18" s="43" t="str">
        <f t="shared" si="200"/>
        <v/>
      </c>
      <c r="FB18" s="43" t="str">
        <f t="shared" si="201"/>
        <v/>
      </c>
      <c r="FC18" s="43" t="str">
        <f t="shared" si="202"/>
        <v/>
      </c>
      <c r="FD18" s="43" t="str">
        <f t="shared" si="203"/>
        <v/>
      </c>
      <c r="FE18" s="43" t="str">
        <f t="shared" si="204"/>
        <v/>
      </c>
      <c r="FF18" s="43" t="str">
        <f t="shared" si="205"/>
        <v/>
      </c>
      <c r="FG18" s="43" t="str">
        <f t="shared" si="206"/>
        <v/>
      </c>
      <c r="FH18" s="43" t="str">
        <f t="shared" si="207"/>
        <v/>
      </c>
      <c r="FI18" s="43" t="str">
        <f t="shared" si="208"/>
        <v/>
      </c>
      <c r="FJ18" s="43" t="str">
        <f t="shared" si="209"/>
        <v/>
      </c>
      <c r="FK18" s="43" t="str">
        <f t="shared" si="210"/>
        <v/>
      </c>
      <c r="FL18" s="43" t="str">
        <f t="shared" si="211"/>
        <v/>
      </c>
      <c r="FM18" s="43" t="str">
        <f t="shared" si="212"/>
        <v/>
      </c>
      <c r="FN18" s="43" t="str">
        <f t="shared" si="213"/>
        <v/>
      </c>
      <c r="FO18" s="43" t="str">
        <f t="shared" si="214"/>
        <v/>
      </c>
      <c r="FP18" s="43" t="str">
        <f t="shared" si="215"/>
        <v/>
      </c>
      <c r="FQ18" s="43" t="str">
        <f t="shared" si="216"/>
        <v/>
      </c>
      <c r="FR18" s="43" t="str">
        <f t="shared" si="217"/>
        <v/>
      </c>
      <c r="FS18" s="43" t="str">
        <f t="shared" si="218"/>
        <v/>
      </c>
    </row>
    <row r="19" s="6" customFormat="1" ht="15" spans="1:175">
      <c r="A19" s="10"/>
      <c r="B19" s="45" t="s">
        <v>205</v>
      </c>
      <c r="C19" s="10" t="s">
        <v>206</v>
      </c>
      <c r="D19" s="46"/>
      <c r="E19" s="47"/>
      <c r="F19" s="48">
        <v>10000</v>
      </c>
      <c r="G19" s="49">
        <v>70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3"/>
      <c r="Q19" s="53"/>
      <c r="R19" s="53"/>
      <c r="S19" s="53"/>
      <c r="T19" s="58"/>
      <c r="U19" s="59" t="s">
        <v>204</v>
      </c>
      <c r="V19" s="60">
        <v>350000</v>
      </c>
      <c r="W19" s="60"/>
      <c r="X19" s="60"/>
      <c r="Y19" s="60"/>
      <c r="Z19" s="60"/>
      <c r="AA19" s="60"/>
      <c r="AB19" s="60"/>
      <c r="AC19" s="60"/>
      <c r="AD19" s="63"/>
      <c r="AE19" s="60"/>
      <c r="AF19" s="60"/>
      <c r="AG19" s="64"/>
      <c r="AH19" s="60"/>
      <c r="AI19" s="60"/>
      <c r="AJ19" s="60"/>
      <c r="AK19" s="60"/>
      <c r="AL19" s="64"/>
      <c r="AM19" s="60"/>
      <c r="AN19" s="60">
        <v>7</v>
      </c>
      <c r="AO19" s="60">
        <f t="shared" si="219"/>
        <v>300</v>
      </c>
      <c r="AP19" s="60">
        <v>4</v>
      </c>
      <c r="AQ19" s="60"/>
      <c r="AR19" s="66"/>
      <c r="AS19" s="66"/>
      <c r="AT19" s="60"/>
      <c r="AU19" s="60"/>
      <c r="AV19" s="60"/>
      <c r="AW19" s="60"/>
      <c r="AX19" s="60"/>
      <c r="AY19" s="60"/>
      <c r="AZ19" s="60"/>
      <c r="BA19" s="60"/>
      <c r="BB19" s="60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60"/>
      <c r="CF19" s="60"/>
      <c r="CG19" s="60"/>
      <c r="CH19" s="60"/>
      <c r="CI19" s="60"/>
      <c r="CJ19" s="60"/>
      <c r="CK19" s="60"/>
      <c r="CL19" s="60"/>
      <c r="CM19" s="60"/>
      <c r="CN19" s="69" t="str">
        <f t="shared" si="2"/>
        <v>InitUnitState('E017',350000,,,,,,,,,)</v>
      </c>
      <c r="CO19" s="69" t="str">
        <f t="shared" si="3"/>
        <v>InitUnitNormal('E017',,,,,,,,,7,300)</v>
      </c>
      <c r="CP19" s="69" t="str">
        <f t="shared" si="4"/>
        <v>InitUnitMagic('E017',4,,,,,,,,,)</v>
      </c>
      <c r="CQ19" s="69" t="str">
        <f t="shared" si="5"/>
        <v>InitUnitAdd('E017',,,,,,,,,,)</v>
      </c>
      <c r="CR19" s="69" t="str">
        <f t="shared" si="6"/>
        <v>InitEquipData('E017',,"",,E018,10000,70,'','','','','','',"ReplaceableTextures\\CommandButtons\\BTNZ04.blp")</v>
      </c>
      <c r="CS19" s="69"/>
      <c r="CT19" s="69"/>
      <c r="CU19" s="71" t="str">
        <f t="shared" si="78"/>
        <v>|n攻击+350000|n暴击+7%|n暴伤+300%|n伤害吸取+4%|n</v>
      </c>
      <c r="CV19" s="5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3" t="str">
        <f t="shared" ref="DB19:DB35" si="220">IF(V19="","","|n"&amp;DB$2&amp;"+"&amp;V19&amp;DB$1)</f>
        <v>|n攻击+350000</v>
      </c>
      <c r="DC19" s="43" t="str">
        <f t="shared" ref="DC19:DC35" si="221">IF(W19="","","|n"&amp;DC$2&amp;"+"&amp;W19&amp;DC$1)</f>
        <v/>
      </c>
      <c r="DD19" s="43" t="str">
        <f t="shared" ref="DD19:DD35" si="222">IF(X19="","","|n"&amp;DD$2&amp;"+"&amp;X19&amp;DD$1)</f>
        <v/>
      </c>
      <c r="DE19" s="43" t="str">
        <f t="shared" ref="DE19:DE35" si="223">IF(Y19="","","|n"&amp;DE$2&amp;"+"&amp;Y19&amp;DE$1)</f>
        <v/>
      </c>
      <c r="DF19" s="43" t="str">
        <f t="shared" ref="DF19:DF35" si="224">IF(Z19="","","|n"&amp;DF$2&amp;"+"&amp;Z19&amp;DF$1)</f>
        <v/>
      </c>
      <c r="DG19" s="43" t="str">
        <f t="shared" ref="DG19:DG35" si="225">IF(AA19="","","|n"&amp;DG$2&amp;"+"&amp;AA19&amp;DG$1)</f>
        <v/>
      </c>
      <c r="DH19" s="43" t="str">
        <f t="shared" ref="DH19:DH35" si="226">IF(AB19="","","|n"&amp;DH$2&amp;"+"&amp;AB19&amp;DH$1)</f>
        <v/>
      </c>
      <c r="DI19" s="43" t="str">
        <f t="shared" ref="DI19:DI35" si="227">IF(AC19="","","|n"&amp;DI$2&amp;"+"&amp;AC19&amp;DI$1)</f>
        <v/>
      </c>
      <c r="DJ19" s="43" t="str">
        <f t="shared" ref="DJ19:DJ35" si="228">IF(AD19="","","|n"&amp;DJ$2&amp;"+"&amp;AD19&amp;DJ$1)</f>
        <v/>
      </c>
      <c r="DK19" s="43" t="str">
        <f t="shared" ref="DK19:DK35" si="229">IF(AE19="","","|n"&amp;DK$2&amp;"+"&amp;AE19&amp;DK$1)</f>
        <v/>
      </c>
      <c r="DL19" s="43" t="str">
        <f t="shared" ref="DL19:DL35" si="230">IF(AF19="","","|n"&amp;DL$2&amp;"+"&amp;AF19&amp;DL$1)</f>
        <v/>
      </c>
      <c r="DM19" s="43" t="str">
        <f t="shared" ref="DM19:DM35" si="231">IF(AG19="","","|n"&amp;DM$2&amp;"+"&amp;AG19&amp;DM$1)</f>
        <v/>
      </c>
      <c r="DN19" s="43" t="str">
        <f t="shared" ref="DN19:DN35" si="232">IF(AH19="","","|n"&amp;DN$2&amp;"+"&amp;AH19&amp;DN$1)</f>
        <v/>
      </c>
      <c r="DO19" s="43" t="str">
        <f t="shared" ref="DO19:DO35" si="233">IF(AI19="","","|n"&amp;DO$2&amp;"+"&amp;AI19&amp;DO$1)</f>
        <v/>
      </c>
      <c r="DP19" s="43" t="str">
        <f t="shared" ref="DP19:DP35" si="234">IF(AJ19="","","|n"&amp;DP$2&amp;"+"&amp;AJ19&amp;DP$1)</f>
        <v/>
      </c>
      <c r="DQ19" s="43" t="str">
        <f t="shared" ref="DQ19:DQ35" si="235">IF(AK19="","","|n"&amp;DQ$2&amp;"+"&amp;AK19&amp;DQ$1)</f>
        <v/>
      </c>
      <c r="DR19" s="43" t="str">
        <f t="shared" ref="DR19:DR35" si="236">IF(AL19="","","|n"&amp;DR$2&amp;"+"&amp;AL19&amp;DR$1)</f>
        <v/>
      </c>
      <c r="DS19" s="43" t="str">
        <f t="shared" ref="DS19:DS35" si="237">IF(AM19="","","|n"&amp;DS$2&amp;"+"&amp;AM19&amp;DS$1)</f>
        <v/>
      </c>
      <c r="DT19" s="43" t="str">
        <f t="shared" ref="DT19:DT35" si="238">IF(AN19="","","|n"&amp;DT$2&amp;"+"&amp;AN19&amp;DT$1)</f>
        <v>|n暴击+7%</v>
      </c>
      <c r="DU19" s="43" t="str">
        <f t="shared" ref="DU19:DU35" si="239">IF(AO19="","","|n"&amp;DU$2&amp;"+"&amp;AO19&amp;DU$1)</f>
        <v>|n暴伤+300%</v>
      </c>
      <c r="DV19" s="43" t="str">
        <f t="shared" ref="DV19:DV35" si="240">IF(AP19="","","|n"&amp;DV$2&amp;"+"&amp;AP19&amp;DV$1)</f>
        <v>|n伤害吸取+4%</v>
      </c>
      <c r="DW19" s="43" t="str">
        <f t="shared" ref="DW19:DW35" si="241">IF(AQ19="","","|n"&amp;DW$2&amp;"+"&amp;AQ19&amp;DW$1)</f>
        <v/>
      </c>
      <c r="DX19" s="43" t="str">
        <f t="shared" ref="DX19:DX35" si="242">IF(AR19="","","|n"&amp;DX$2&amp;"+"&amp;AR19&amp;DX$1)</f>
        <v/>
      </c>
      <c r="DY19" s="43" t="str">
        <f t="shared" ref="DY19:DY35" si="243">IF(AS19="","","|n"&amp;DY$2&amp;"+"&amp;AS19&amp;DY$1)</f>
        <v/>
      </c>
      <c r="DZ19" s="43" t="str">
        <f t="shared" ref="DZ19:DZ35" si="244">IF(AT19="","","|n"&amp;DZ$2&amp;"+"&amp;AT19&amp;DZ$1)</f>
        <v/>
      </c>
      <c r="EA19" s="43" t="str">
        <f t="shared" ref="EA19:EA35" si="245">IF(AU19="","","|n"&amp;EA$2&amp;"+"&amp;AU19&amp;EA$1)</f>
        <v/>
      </c>
      <c r="EB19" s="43" t="str">
        <f t="shared" ref="EB19:EB35" si="246">IF(AV19="","","|n"&amp;EB$2&amp;"+"&amp;AV19&amp;EB$1)</f>
        <v/>
      </c>
      <c r="EC19" s="43" t="str">
        <f t="shared" ref="EC19:EC35" si="247">IF(AW19="","","|n"&amp;EC$2&amp;"+"&amp;AW19&amp;EC$1)</f>
        <v/>
      </c>
      <c r="ED19" s="43" t="str">
        <f t="shared" ref="ED19:ED35" si="248">IF(AX19="","","|n"&amp;ED$2&amp;"+"&amp;AX19&amp;ED$1)</f>
        <v/>
      </c>
      <c r="EE19" s="43" t="str">
        <f t="shared" ref="EE19:EE35" si="249">IF(AY19="","","|n"&amp;EE$2&amp;"+"&amp;AY19&amp;EE$1)</f>
        <v/>
      </c>
      <c r="EF19" s="43" t="str">
        <f t="shared" ref="EF19:EF35" si="250">IF(AZ19="","","|n"&amp;EF$2&amp;"+"&amp;AZ19&amp;EF$1)</f>
        <v/>
      </c>
      <c r="EG19" s="43" t="str">
        <f t="shared" ref="EG19:EG35" si="251">IF(BA19="","","|n"&amp;EG$2&amp;"+"&amp;BA19&amp;EG$1)</f>
        <v/>
      </c>
      <c r="EH19" s="43" t="str">
        <f t="shared" ref="EH19:EH35" si="252">IF(BB19="","","|n"&amp;EH$2&amp;"+"&amp;BB19&amp;EH$1)</f>
        <v/>
      </c>
      <c r="EI19" s="43" t="str">
        <f t="shared" ref="EI19:EI35" si="253">IF(BC19="","","|n"&amp;EI$2&amp;"+"&amp;BC19&amp;EI$1)</f>
        <v/>
      </c>
      <c r="EJ19" s="43" t="str">
        <f t="shared" ref="EJ19:EJ35" si="254">IF(BD19="","","|n"&amp;EJ$2&amp;"+"&amp;BD19&amp;EJ$1)</f>
        <v/>
      </c>
      <c r="EK19" s="43" t="str">
        <f t="shared" ref="EK19:EK35" si="255">IF(BE19="","","|n"&amp;EK$2&amp;"+"&amp;BE19&amp;EK$1)</f>
        <v/>
      </c>
      <c r="EL19" s="43" t="str">
        <f t="shared" ref="EL19:EL35" si="256">IF(BF19="","","|n"&amp;EL$2&amp;"+"&amp;BF19&amp;EL$1)</f>
        <v/>
      </c>
      <c r="EM19" s="43" t="str">
        <f t="shared" ref="EM19:EM35" si="257">IF(BG19="","","|n"&amp;EM$2&amp;"+"&amp;BG19&amp;EM$1)</f>
        <v/>
      </c>
      <c r="EN19" s="43" t="str">
        <f t="shared" ref="EN19:EN35" si="258">IF(BH19="","","|n"&amp;EN$2&amp;"+"&amp;BH19&amp;EN$1)</f>
        <v/>
      </c>
      <c r="EO19" s="43" t="str">
        <f t="shared" ref="EO19:EO35" si="259">IF(BI19="","","|n"&amp;EO$2&amp;"+"&amp;BI19&amp;EO$1)</f>
        <v/>
      </c>
      <c r="EP19" s="43" t="str">
        <f t="shared" ref="EP19:EP35" si="260">IF(BJ19="","","|n"&amp;EP$2&amp;"+"&amp;BJ19&amp;EP$1)</f>
        <v/>
      </c>
      <c r="EQ19" s="43" t="str">
        <f t="shared" ref="EQ19:EQ35" si="261">IF(BK19="","","|n"&amp;EQ$2&amp;"+"&amp;BK19&amp;EQ$1)</f>
        <v/>
      </c>
      <c r="ER19" s="43" t="str">
        <f t="shared" ref="ER19:ER35" si="262">IF(BL19="","","|n"&amp;ER$2&amp;"+"&amp;BL19&amp;ER$1)</f>
        <v/>
      </c>
      <c r="ES19" s="43" t="str">
        <f t="shared" ref="ES19:ES35" si="263">IF(BM19="","","|n"&amp;ES$2&amp;"+"&amp;BM19&amp;ES$1)</f>
        <v/>
      </c>
      <c r="ET19" s="43" t="str">
        <f t="shared" ref="ET19:ET35" si="264">IF(BN19="","","|n"&amp;ET$2&amp;"+"&amp;BN19&amp;ET$1)</f>
        <v/>
      </c>
      <c r="EU19" s="43" t="str">
        <f t="shared" ref="EU19:EU35" si="265">IF(BO19="","","|n"&amp;EU$2&amp;"+"&amp;BO19&amp;EU$1)</f>
        <v/>
      </c>
      <c r="EV19" s="43" t="str">
        <f t="shared" ref="EV19:EV35" si="266">IF(BP19="","","|n"&amp;EV$2&amp;"+"&amp;BP19&amp;EV$1)</f>
        <v/>
      </c>
      <c r="EW19" s="43" t="str">
        <f t="shared" ref="EW19:EW35" si="267">IF(BQ19="","","|n"&amp;EW$2&amp;"+"&amp;BQ19&amp;EW$1)</f>
        <v/>
      </c>
      <c r="EX19" s="43" t="str">
        <f t="shared" ref="EX19:EX35" si="268">IF(BR19="","","|n"&amp;EX$2&amp;"+"&amp;BR19&amp;EX$1)</f>
        <v/>
      </c>
      <c r="EY19" s="43" t="str">
        <f t="shared" ref="EY19:EY35" si="269">IF(BS19="","","|n"&amp;EY$2&amp;"+"&amp;BS19&amp;EY$1)</f>
        <v/>
      </c>
      <c r="EZ19" s="43" t="str">
        <f t="shared" ref="EZ19:EZ35" si="270">IF(BT19="","","|n"&amp;EZ$2&amp;"+"&amp;BT19&amp;EZ$1)</f>
        <v/>
      </c>
      <c r="FA19" s="43" t="str">
        <f t="shared" ref="FA19:FA35" si="271">IF(BU19="","","|n"&amp;FA$2&amp;"+"&amp;BU19&amp;FA$1)</f>
        <v/>
      </c>
      <c r="FB19" s="43" t="str">
        <f t="shared" ref="FB19:FB35" si="272">IF(BV19="","","|n"&amp;FB$2&amp;"+"&amp;BV19&amp;FB$1)</f>
        <v/>
      </c>
      <c r="FC19" s="43" t="str">
        <f t="shared" ref="FC19:FC35" si="273">IF(BW19="","","|n"&amp;FC$2&amp;"+"&amp;BW19&amp;FC$1)</f>
        <v/>
      </c>
      <c r="FD19" s="43" t="str">
        <f t="shared" ref="FD19:FD35" si="274">IF(BX19="","","|n"&amp;FD$2&amp;"+"&amp;BX19&amp;FD$1)</f>
        <v/>
      </c>
      <c r="FE19" s="43" t="str">
        <f t="shared" ref="FE19:FE35" si="275">IF(BY19="","","|n"&amp;FE$2&amp;"+"&amp;BY19&amp;FE$1)</f>
        <v/>
      </c>
      <c r="FF19" s="43" t="str">
        <f t="shared" ref="FF19:FF35" si="276">IF(BZ19="","","|n"&amp;FF$2&amp;"+"&amp;BZ19&amp;FF$1)</f>
        <v/>
      </c>
      <c r="FG19" s="43" t="str">
        <f t="shared" ref="FG19:FG35" si="277">IF(CA19="","","|n"&amp;FG$2&amp;"+"&amp;CA19&amp;FG$1)</f>
        <v/>
      </c>
      <c r="FH19" s="43" t="str">
        <f t="shared" ref="FH19:FH35" si="278">IF(CB19="","","|n"&amp;FH$2&amp;"+"&amp;CB19&amp;FH$1)</f>
        <v/>
      </c>
      <c r="FI19" s="43" t="str">
        <f t="shared" ref="FI19:FI35" si="279">IF(CC19="","","|n"&amp;FI$2&amp;"+"&amp;CC19&amp;FI$1)</f>
        <v/>
      </c>
      <c r="FJ19" s="43" t="str">
        <f t="shared" ref="FJ19:FJ35" si="280">IF(CD19="","","|n"&amp;FJ$2&amp;"+"&amp;CD19&amp;FJ$1)</f>
        <v/>
      </c>
      <c r="FK19" s="43" t="str">
        <f t="shared" ref="FK19:FK35" si="281">IF(CE19="","","|n"&amp;FK$2&amp;"+"&amp;CE19&amp;FK$1)</f>
        <v/>
      </c>
      <c r="FL19" s="43" t="str">
        <f t="shared" ref="FL19:FL35" si="282">IF(CF19="","","|n"&amp;FL$2&amp;"+"&amp;CF19&amp;FL$1)</f>
        <v/>
      </c>
      <c r="FM19" s="43" t="str">
        <f t="shared" ref="FM19:FM35" si="283">IF(CG19="","","|n"&amp;FM$2&amp;"+"&amp;CG19&amp;FM$1)</f>
        <v/>
      </c>
      <c r="FN19" s="43" t="str">
        <f t="shared" ref="FN19:FN35" si="284">IF(CH19="","","|n"&amp;FN$2&amp;"+"&amp;CH19&amp;FN$1)</f>
        <v/>
      </c>
      <c r="FO19" s="43" t="str">
        <f t="shared" ref="FO19:FO35" si="285">IF(CI19="","","|n"&amp;FO$2&amp;"+"&amp;CI19&amp;FO$1)</f>
        <v/>
      </c>
      <c r="FP19" s="43" t="str">
        <f t="shared" ref="FP19:FP35" si="286">IF(CJ19="","","|n"&amp;FP$2&amp;"+"&amp;CJ19&amp;FP$1)</f>
        <v/>
      </c>
      <c r="FQ19" s="43" t="str">
        <f t="shared" ref="FQ19:FQ35" si="287">IF(CK19="","","|n"&amp;FQ$2&amp;"+"&amp;CK19&amp;FQ$1)</f>
        <v/>
      </c>
      <c r="FR19" s="43" t="str">
        <f t="shared" ref="FR19:FR35" si="288">IF(CL19="","","|n"&amp;FR$2&amp;"+"&amp;CL19&amp;FR$1)</f>
        <v/>
      </c>
      <c r="FS19" s="43" t="str">
        <f t="shared" ref="FS19:FS35" si="289">IF(CM19="","","|n"&amp;FS$2&amp;"+"&amp;CM19&amp;FS$1)</f>
        <v/>
      </c>
    </row>
    <row r="20" s="6" customFormat="1" ht="15" spans="1:175">
      <c r="A20" s="10"/>
      <c r="B20" s="45" t="s">
        <v>207</v>
      </c>
      <c r="C20" s="10" t="s">
        <v>208</v>
      </c>
      <c r="D20" s="46"/>
      <c r="E20" s="47"/>
      <c r="F20" s="48">
        <v>10000</v>
      </c>
      <c r="G20" s="49">
        <v>70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3"/>
      <c r="Q20" s="53"/>
      <c r="R20" s="53"/>
      <c r="S20" s="53"/>
      <c r="T20" s="58"/>
      <c r="U20" s="59" t="s">
        <v>204</v>
      </c>
      <c r="V20" s="60">
        <v>400000</v>
      </c>
      <c r="W20" s="60"/>
      <c r="X20" s="60"/>
      <c r="Y20" s="60"/>
      <c r="Z20" s="60"/>
      <c r="AA20" s="60"/>
      <c r="AB20" s="60"/>
      <c r="AC20" s="60"/>
      <c r="AD20" s="63"/>
      <c r="AE20" s="60"/>
      <c r="AF20" s="60"/>
      <c r="AG20" s="64"/>
      <c r="AH20" s="60"/>
      <c r="AI20" s="60"/>
      <c r="AJ20" s="60"/>
      <c r="AK20" s="60"/>
      <c r="AL20" s="64"/>
      <c r="AM20" s="60"/>
      <c r="AN20" s="60">
        <v>7</v>
      </c>
      <c r="AO20" s="60">
        <f t="shared" si="219"/>
        <v>300</v>
      </c>
      <c r="AP20" s="60">
        <v>4</v>
      </c>
      <c r="AQ20" s="60"/>
      <c r="AR20" s="66"/>
      <c r="AS20" s="66"/>
      <c r="AT20" s="60"/>
      <c r="AU20" s="60"/>
      <c r="AV20" s="60"/>
      <c r="AW20" s="60"/>
      <c r="AX20" s="60"/>
      <c r="AY20" s="60"/>
      <c r="AZ20" s="60"/>
      <c r="BA20" s="60"/>
      <c r="BB20" s="6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60"/>
      <c r="CF20" s="60"/>
      <c r="CG20" s="60"/>
      <c r="CH20" s="60"/>
      <c r="CI20" s="60"/>
      <c r="CJ20" s="60"/>
      <c r="CK20" s="60"/>
      <c r="CL20" s="60"/>
      <c r="CM20" s="60"/>
      <c r="CN20" s="69" t="str">
        <f t="shared" si="2"/>
        <v>InitUnitState('E018',400000,,,,,,,,,)</v>
      </c>
      <c r="CO20" s="69" t="str">
        <f t="shared" si="3"/>
        <v>InitUnitNormal('E018',,,,,,,,,7,300)</v>
      </c>
      <c r="CP20" s="69" t="str">
        <f t="shared" si="4"/>
        <v>InitUnitMagic('E018',4,,,,,,,,,)</v>
      </c>
      <c r="CQ20" s="69" t="str">
        <f t="shared" si="5"/>
        <v>InitUnitAdd('E018',,,,,,,,,,)</v>
      </c>
      <c r="CR20" s="69" t="str">
        <f t="shared" si="6"/>
        <v>InitEquipData('E018',,"",,E019,10000,70,'','','','','','',"ReplaceableTextures\\CommandButtons\\BTNZ04.blp")</v>
      </c>
      <c r="CS20" s="69"/>
      <c r="CT20" s="69"/>
      <c r="CU20" s="71" t="str">
        <f t="shared" si="78"/>
        <v>|n攻击+400000|n暴击+7%|n暴伤+300%|n伤害吸取+4%|n</v>
      </c>
      <c r="CV20" s="5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3" t="str">
        <f t="shared" si="220"/>
        <v>|n攻击+400000</v>
      </c>
      <c r="DC20" s="43" t="str">
        <f t="shared" si="221"/>
        <v/>
      </c>
      <c r="DD20" s="43" t="str">
        <f t="shared" si="222"/>
        <v/>
      </c>
      <c r="DE20" s="43" t="str">
        <f t="shared" si="223"/>
        <v/>
      </c>
      <c r="DF20" s="43" t="str">
        <f t="shared" si="224"/>
        <v/>
      </c>
      <c r="DG20" s="43" t="str">
        <f t="shared" si="225"/>
        <v/>
      </c>
      <c r="DH20" s="43" t="str">
        <f t="shared" si="226"/>
        <v/>
      </c>
      <c r="DI20" s="43" t="str">
        <f t="shared" si="227"/>
        <v/>
      </c>
      <c r="DJ20" s="43" t="str">
        <f t="shared" si="228"/>
        <v/>
      </c>
      <c r="DK20" s="43" t="str">
        <f t="shared" si="229"/>
        <v/>
      </c>
      <c r="DL20" s="43" t="str">
        <f t="shared" si="230"/>
        <v/>
      </c>
      <c r="DM20" s="43" t="str">
        <f t="shared" si="231"/>
        <v/>
      </c>
      <c r="DN20" s="43" t="str">
        <f t="shared" si="232"/>
        <v/>
      </c>
      <c r="DO20" s="43" t="str">
        <f t="shared" si="233"/>
        <v/>
      </c>
      <c r="DP20" s="43" t="str">
        <f t="shared" si="234"/>
        <v/>
      </c>
      <c r="DQ20" s="43" t="str">
        <f t="shared" si="235"/>
        <v/>
      </c>
      <c r="DR20" s="43" t="str">
        <f t="shared" si="236"/>
        <v/>
      </c>
      <c r="DS20" s="43" t="str">
        <f t="shared" si="237"/>
        <v/>
      </c>
      <c r="DT20" s="43" t="str">
        <f t="shared" si="238"/>
        <v>|n暴击+7%</v>
      </c>
      <c r="DU20" s="43" t="str">
        <f t="shared" si="239"/>
        <v>|n暴伤+300%</v>
      </c>
      <c r="DV20" s="43" t="str">
        <f t="shared" si="240"/>
        <v>|n伤害吸取+4%</v>
      </c>
      <c r="DW20" s="43" t="str">
        <f t="shared" si="241"/>
        <v/>
      </c>
      <c r="DX20" s="43" t="str">
        <f t="shared" si="242"/>
        <v/>
      </c>
      <c r="DY20" s="43" t="str">
        <f t="shared" si="243"/>
        <v/>
      </c>
      <c r="DZ20" s="43" t="str">
        <f t="shared" si="244"/>
        <v/>
      </c>
      <c r="EA20" s="43" t="str">
        <f t="shared" si="245"/>
        <v/>
      </c>
      <c r="EB20" s="43" t="str">
        <f t="shared" si="246"/>
        <v/>
      </c>
      <c r="EC20" s="43" t="str">
        <f t="shared" si="247"/>
        <v/>
      </c>
      <c r="ED20" s="43" t="str">
        <f t="shared" si="248"/>
        <v/>
      </c>
      <c r="EE20" s="43" t="str">
        <f t="shared" si="249"/>
        <v/>
      </c>
      <c r="EF20" s="43" t="str">
        <f t="shared" si="250"/>
        <v/>
      </c>
      <c r="EG20" s="43" t="str">
        <f t="shared" si="251"/>
        <v/>
      </c>
      <c r="EH20" s="43" t="str">
        <f t="shared" si="252"/>
        <v/>
      </c>
      <c r="EI20" s="43" t="str">
        <f t="shared" si="253"/>
        <v/>
      </c>
      <c r="EJ20" s="43" t="str">
        <f t="shared" si="254"/>
        <v/>
      </c>
      <c r="EK20" s="43" t="str">
        <f t="shared" si="255"/>
        <v/>
      </c>
      <c r="EL20" s="43" t="str">
        <f t="shared" si="256"/>
        <v/>
      </c>
      <c r="EM20" s="43" t="str">
        <f t="shared" si="257"/>
        <v/>
      </c>
      <c r="EN20" s="43" t="str">
        <f t="shared" si="258"/>
        <v/>
      </c>
      <c r="EO20" s="43" t="str">
        <f t="shared" si="259"/>
        <v/>
      </c>
      <c r="EP20" s="43" t="str">
        <f t="shared" si="260"/>
        <v/>
      </c>
      <c r="EQ20" s="43" t="str">
        <f t="shared" si="261"/>
        <v/>
      </c>
      <c r="ER20" s="43" t="str">
        <f t="shared" si="262"/>
        <v/>
      </c>
      <c r="ES20" s="43" t="str">
        <f t="shared" si="263"/>
        <v/>
      </c>
      <c r="ET20" s="43" t="str">
        <f t="shared" si="264"/>
        <v/>
      </c>
      <c r="EU20" s="43" t="str">
        <f t="shared" si="265"/>
        <v/>
      </c>
      <c r="EV20" s="43" t="str">
        <f t="shared" si="266"/>
        <v/>
      </c>
      <c r="EW20" s="43" t="str">
        <f t="shared" si="267"/>
        <v/>
      </c>
      <c r="EX20" s="43" t="str">
        <f t="shared" si="268"/>
        <v/>
      </c>
      <c r="EY20" s="43" t="str">
        <f t="shared" si="269"/>
        <v/>
      </c>
      <c r="EZ20" s="43" t="str">
        <f t="shared" si="270"/>
        <v/>
      </c>
      <c r="FA20" s="43" t="str">
        <f t="shared" si="271"/>
        <v/>
      </c>
      <c r="FB20" s="43" t="str">
        <f t="shared" si="272"/>
        <v/>
      </c>
      <c r="FC20" s="43" t="str">
        <f t="shared" si="273"/>
        <v/>
      </c>
      <c r="FD20" s="43" t="str">
        <f t="shared" si="274"/>
        <v/>
      </c>
      <c r="FE20" s="43" t="str">
        <f t="shared" si="275"/>
        <v/>
      </c>
      <c r="FF20" s="43" t="str">
        <f t="shared" si="276"/>
        <v/>
      </c>
      <c r="FG20" s="43" t="str">
        <f t="shared" si="277"/>
        <v/>
      </c>
      <c r="FH20" s="43" t="str">
        <f t="shared" si="278"/>
        <v/>
      </c>
      <c r="FI20" s="43" t="str">
        <f t="shared" si="279"/>
        <v/>
      </c>
      <c r="FJ20" s="43" t="str">
        <f t="shared" si="280"/>
        <v/>
      </c>
      <c r="FK20" s="43" t="str">
        <f t="shared" si="281"/>
        <v/>
      </c>
      <c r="FL20" s="43" t="str">
        <f t="shared" si="282"/>
        <v/>
      </c>
      <c r="FM20" s="43" t="str">
        <f t="shared" si="283"/>
        <v/>
      </c>
      <c r="FN20" s="43" t="str">
        <f t="shared" si="284"/>
        <v/>
      </c>
      <c r="FO20" s="43" t="str">
        <f t="shared" si="285"/>
        <v/>
      </c>
      <c r="FP20" s="43" t="str">
        <f t="shared" si="286"/>
        <v/>
      </c>
      <c r="FQ20" s="43" t="str">
        <f t="shared" si="287"/>
        <v/>
      </c>
      <c r="FR20" s="43" t="str">
        <f t="shared" si="288"/>
        <v/>
      </c>
      <c r="FS20" s="43" t="str">
        <f t="shared" si="289"/>
        <v/>
      </c>
    </row>
    <row r="21" s="6" customFormat="1" ht="15" spans="1:175">
      <c r="A21" s="10"/>
      <c r="B21" s="45" t="s">
        <v>209</v>
      </c>
      <c r="C21" s="10" t="s">
        <v>210</v>
      </c>
      <c r="D21" s="46"/>
      <c r="E21" s="47"/>
      <c r="F21" s="48">
        <v>10000</v>
      </c>
      <c r="G21" s="49">
        <v>70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3"/>
      <c r="Q21" s="53"/>
      <c r="R21" s="53"/>
      <c r="S21" s="53"/>
      <c r="T21" s="58"/>
      <c r="U21" s="59" t="s">
        <v>204</v>
      </c>
      <c r="V21" s="60">
        <v>450000</v>
      </c>
      <c r="W21" s="60"/>
      <c r="X21" s="60"/>
      <c r="Y21" s="60"/>
      <c r="Z21" s="60"/>
      <c r="AA21" s="60"/>
      <c r="AB21" s="60"/>
      <c r="AC21" s="60"/>
      <c r="AD21" s="63"/>
      <c r="AE21" s="60"/>
      <c r="AF21" s="60"/>
      <c r="AG21" s="64"/>
      <c r="AH21" s="60"/>
      <c r="AI21" s="60"/>
      <c r="AJ21" s="60"/>
      <c r="AK21" s="60"/>
      <c r="AL21" s="64"/>
      <c r="AM21" s="60"/>
      <c r="AN21" s="60">
        <v>7</v>
      </c>
      <c r="AO21" s="60">
        <f t="shared" si="219"/>
        <v>300</v>
      </c>
      <c r="AP21" s="60">
        <v>4</v>
      </c>
      <c r="AQ21" s="60"/>
      <c r="AR21" s="66"/>
      <c r="AS21" s="66"/>
      <c r="AT21" s="60"/>
      <c r="AU21" s="60"/>
      <c r="AV21" s="60"/>
      <c r="AW21" s="60"/>
      <c r="AX21" s="60"/>
      <c r="AY21" s="60"/>
      <c r="AZ21" s="60"/>
      <c r="BA21" s="60"/>
      <c r="BB21" s="60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60"/>
      <c r="CF21" s="60"/>
      <c r="CG21" s="60"/>
      <c r="CH21" s="60"/>
      <c r="CI21" s="60"/>
      <c r="CJ21" s="60"/>
      <c r="CK21" s="60"/>
      <c r="CL21" s="60"/>
      <c r="CM21" s="60"/>
      <c r="CN21" s="69" t="str">
        <f t="shared" si="2"/>
        <v>InitUnitState('E019',450000,,,,,,,,,)</v>
      </c>
      <c r="CO21" s="69" t="str">
        <f t="shared" si="3"/>
        <v>InitUnitNormal('E019',,,,,,,,,7,300)</v>
      </c>
      <c r="CP21" s="69" t="str">
        <f t="shared" si="4"/>
        <v>InitUnitMagic('E019',4,,,,,,,,,)</v>
      </c>
      <c r="CQ21" s="69" t="str">
        <f t="shared" si="5"/>
        <v>InitUnitAdd('E019',,,,,,,,,,)</v>
      </c>
      <c r="CR21" s="69" t="str">
        <f t="shared" si="6"/>
        <v>InitEquipData('E019',,"",,E020,10000,70,'','','','','','',"ReplaceableTextures\\CommandButtons\\BTNZ04.blp")</v>
      </c>
      <c r="CS21" s="69"/>
      <c r="CT21" s="69"/>
      <c r="CU21" s="71" t="str">
        <f t="shared" si="78"/>
        <v>|n攻击+450000|n暴击+7%|n暴伤+300%|n伤害吸取+4%|n</v>
      </c>
      <c r="CV21" s="5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3" t="str">
        <f t="shared" si="220"/>
        <v>|n攻击+450000</v>
      </c>
      <c r="DC21" s="43" t="str">
        <f t="shared" si="221"/>
        <v/>
      </c>
      <c r="DD21" s="43" t="str">
        <f t="shared" si="222"/>
        <v/>
      </c>
      <c r="DE21" s="43" t="str">
        <f t="shared" si="223"/>
        <v/>
      </c>
      <c r="DF21" s="43" t="str">
        <f t="shared" si="224"/>
        <v/>
      </c>
      <c r="DG21" s="43" t="str">
        <f t="shared" si="225"/>
        <v/>
      </c>
      <c r="DH21" s="43" t="str">
        <f t="shared" si="226"/>
        <v/>
      </c>
      <c r="DI21" s="43" t="str">
        <f t="shared" si="227"/>
        <v/>
      </c>
      <c r="DJ21" s="43" t="str">
        <f t="shared" si="228"/>
        <v/>
      </c>
      <c r="DK21" s="43" t="str">
        <f t="shared" si="229"/>
        <v/>
      </c>
      <c r="DL21" s="43" t="str">
        <f t="shared" si="230"/>
        <v/>
      </c>
      <c r="DM21" s="43" t="str">
        <f t="shared" si="231"/>
        <v/>
      </c>
      <c r="DN21" s="43" t="str">
        <f t="shared" si="232"/>
        <v/>
      </c>
      <c r="DO21" s="43" t="str">
        <f t="shared" si="233"/>
        <v/>
      </c>
      <c r="DP21" s="43" t="str">
        <f t="shared" si="234"/>
        <v/>
      </c>
      <c r="DQ21" s="43" t="str">
        <f t="shared" si="235"/>
        <v/>
      </c>
      <c r="DR21" s="43" t="str">
        <f t="shared" si="236"/>
        <v/>
      </c>
      <c r="DS21" s="43" t="str">
        <f t="shared" si="237"/>
        <v/>
      </c>
      <c r="DT21" s="43" t="str">
        <f t="shared" si="238"/>
        <v>|n暴击+7%</v>
      </c>
      <c r="DU21" s="43" t="str">
        <f t="shared" si="239"/>
        <v>|n暴伤+300%</v>
      </c>
      <c r="DV21" s="43" t="str">
        <f t="shared" si="240"/>
        <v>|n伤害吸取+4%</v>
      </c>
      <c r="DW21" s="43" t="str">
        <f t="shared" si="241"/>
        <v/>
      </c>
      <c r="DX21" s="43" t="str">
        <f t="shared" si="242"/>
        <v/>
      </c>
      <c r="DY21" s="43" t="str">
        <f t="shared" si="243"/>
        <v/>
      </c>
      <c r="DZ21" s="43" t="str">
        <f t="shared" si="244"/>
        <v/>
      </c>
      <c r="EA21" s="43" t="str">
        <f t="shared" si="245"/>
        <v/>
      </c>
      <c r="EB21" s="43" t="str">
        <f t="shared" si="246"/>
        <v/>
      </c>
      <c r="EC21" s="43" t="str">
        <f t="shared" si="247"/>
        <v/>
      </c>
      <c r="ED21" s="43" t="str">
        <f t="shared" si="248"/>
        <v/>
      </c>
      <c r="EE21" s="43" t="str">
        <f t="shared" si="249"/>
        <v/>
      </c>
      <c r="EF21" s="43" t="str">
        <f t="shared" si="250"/>
        <v/>
      </c>
      <c r="EG21" s="43" t="str">
        <f t="shared" si="251"/>
        <v/>
      </c>
      <c r="EH21" s="43" t="str">
        <f t="shared" si="252"/>
        <v/>
      </c>
      <c r="EI21" s="43" t="str">
        <f t="shared" si="253"/>
        <v/>
      </c>
      <c r="EJ21" s="43" t="str">
        <f t="shared" si="254"/>
        <v/>
      </c>
      <c r="EK21" s="43" t="str">
        <f t="shared" si="255"/>
        <v/>
      </c>
      <c r="EL21" s="43" t="str">
        <f t="shared" si="256"/>
        <v/>
      </c>
      <c r="EM21" s="43" t="str">
        <f t="shared" si="257"/>
        <v/>
      </c>
      <c r="EN21" s="43" t="str">
        <f t="shared" si="258"/>
        <v/>
      </c>
      <c r="EO21" s="43" t="str">
        <f t="shared" si="259"/>
        <v/>
      </c>
      <c r="EP21" s="43" t="str">
        <f t="shared" si="260"/>
        <v/>
      </c>
      <c r="EQ21" s="43" t="str">
        <f t="shared" si="261"/>
        <v/>
      </c>
      <c r="ER21" s="43" t="str">
        <f t="shared" si="262"/>
        <v/>
      </c>
      <c r="ES21" s="43" t="str">
        <f t="shared" si="263"/>
        <v/>
      </c>
      <c r="ET21" s="43" t="str">
        <f t="shared" si="264"/>
        <v/>
      </c>
      <c r="EU21" s="43" t="str">
        <f t="shared" si="265"/>
        <v/>
      </c>
      <c r="EV21" s="43" t="str">
        <f t="shared" si="266"/>
        <v/>
      </c>
      <c r="EW21" s="43" t="str">
        <f t="shared" si="267"/>
        <v/>
      </c>
      <c r="EX21" s="43" t="str">
        <f t="shared" si="268"/>
        <v/>
      </c>
      <c r="EY21" s="43" t="str">
        <f t="shared" si="269"/>
        <v/>
      </c>
      <c r="EZ21" s="43" t="str">
        <f t="shared" si="270"/>
        <v/>
      </c>
      <c r="FA21" s="43" t="str">
        <f t="shared" si="271"/>
        <v/>
      </c>
      <c r="FB21" s="43" t="str">
        <f t="shared" si="272"/>
        <v/>
      </c>
      <c r="FC21" s="43" t="str">
        <f t="shared" si="273"/>
        <v/>
      </c>
      <c r="FD21" s="43" t="str">
        <f t="shared" si="274"/>
        <v/>
      </c>
      <c r="FE21" s="43" t="str">
        <f t="shared" si="275"/>
        <v/>
      </c>
      <c r="FF21" s="43" t="str">
        <f t="shared" si="276"/>
        <v/>
      </c>
      <c r="FG21" s="43" t="str">
        <f t="shared" si="277"/>
        <v/>
      </c>
      <c r="FH21" s="43" t="str">
        <f t="shared" si="278"/>
        <v/>
      </c>
      <c r="FI21" s="43" t="str">
        <f t="shared" si="279"/>
        <v/>
      </c>
      <c r="FJ21" s="43" t="str">
        <f t="shared" si="280"/>
        <v/>
      </c>
      <c r="FK21" s="43" t="str">
        <f t="shared" si="281"/>
        <v/>
      </c>
      <c r="FL21" s="43" t="str">
        <f t="shared" si="282"/>
        <v/>
      </c>
      <c r="FM21" s="43" t="str">
        <f t="shared" si="283"/>
        <v/>
      </c>
      <c r="FN21" s="43" t="str">
        <f t="shared" si="284"/>
        <v/>
      </c>
      <c r="FO21" s="43" t="str">
        <f t="shared" si="285"/>
        <v/>
      </c>
      <c r="FP21" s="43" t="str">
        <f t="shared" si="286"/>
        <v/>
      </c>
      <c r="FQ21" s="43" t="str">
        <f t="shared" si="287"/>
        <v/>
      </c>
      <c r="FR21" s="43" t="str">
        <f t="shared" si="288"/>
        <v/>
      </c>
      <c r="FS21" s="43" t="str">
        <f t="shared" si="289"/>
        <v/>
      </c>
    </row>
    <row r="22" s="6" customFormat="1" ht="15" spans="1:175">
      <c r="A22" s="10"/>
      <c r="B22" s="45" t="s">
        <v>211</v>
      </c>
      <c r="C22" s="10" t="s">
        <v>212</v>
      </c>
      <c r="D22" s="46"/>
      <c r="E22" s="47"/>
      <c r="F22" s="48">
        <v>30000</v>
      </c>
      <c r="G22" s="49">
        <v>100</v>
      </c>
      <c r="H22" s="50" t="s">
        <v>213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3"/>
      <c r="Q22" s="53"/>
      <c r="R22" s="53"/>
      <c r="S22" s="53"/>
      <c r="T22" s="58"/>
      <c r="U22" s="59" t="s">
        <v>204</v>
      </c>
      <c r="V22" s="60">
        <v>550000</v>
      </c>
      <c r="W22" s="60"/>
      <c r="X22" s="60"/>
      <c r="Y22" s="60"/>
      <c r="Z22" s="60"/>
      <c r="AA22" s="60"/>
      <c r="AB22" s="60"/>
      <c r="AC22" s="60"/>
      <c r="AD22" s="63"/>
      <c r="AE22" s="60"/>
      <c r="AF22" s="60"/>
      <c r="AG22" s="64"/>
      <c r="AH22" s="60"/>
      <c r="AI22" s="60"/>
      <c r="AJ22" s="60"/>
      <c r="AK22" s="60"/>
      <c r="AL22" s="64"/>
      <c r="AM22" s="60"/>
      <c r="AN22" s="60">
        <v>7</v>
      </c>
      <c r="AO22" s="60">
        <f t="shared" si="219"/>
        <v>300</v>
      </c>
      <c r="AP22" s="60">
        <v>4</v>
      </c>
      <c r="AQ22" s="60"/>
      <c r="AR22" s="66"/>
      <c r="AS22" s="66"/>
      <c r="AT22" s="60"/>
      <c r="AU22" s="60"/>
      <c r="AV22" s="60"/>
      <c r="AW22" s="60"/>
      <c r="AX22" s="60"/>
      <c r="AY22" s="60"/>
      <c r="AZ22" s="60"/>
      <c r="BA22" s="60"/>
      <c r="BB22" s="60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60"/>
      <c r="CF22" s="60"/>
      <c r="CG22" s="60"/>
      <c r="CH22" s="60"/>
      <c r="CI22" s="60"/>
      <c r="CJ22" s="60"/>
      <c r="CK22" s="60"/>
      <c r="CL22" s="60"/>
      <c r="CM22" s="60"/>
      <c r="CN22" s="69" t="str">
        <f t="shared" si="2"/>
        <v>InitUnitState('E020',550000,,,,,,,,,)</v>
      </c>
      <c r="CO22" s="69" t="str">
        <f t="shared" si="3"/>
        <v>InitUnitNormal('E020',,,,,,,,,7,300)</v>
      </c>
      <c r="CP22" s="69" t="str">
        <f t="shared" si="4"/>
        <v>InitUnitMagic('E020',4,,,,,,,,,)</v>
      </c>
      <c r="CQ22" s="69" t="str">
        <f t="shared" si="5"/>
        <v>InitUnitAdd('E020',,,,,,,,,,)</v>
      </c>
      <c r="CR22" s="69" t="str">
        <f t="shared" si="6"/>
        <v>InitEquipData('E020',,"",,E021,30000,100,'','','','','','',"ReplaceableTextures\\CommandButtons\\BTNZ05.blp")</v>
      </c>
      <c r="CS22" s="69"/>
      <c r="CT22" s="69"/>
      <c r="CU22" s="71" t="str">
        <f t="shared" si="78"/>
        <v>|n攻击+550000|n暴击+7%|n暴伤+300%|n伤害吸取+4%|n</v>
      </c>
      <c r="CV22" s="5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|Cffbbbbbb属性：|r|n攻击+550000|n暴击+7%|n暴伤+300%|n伤害吸取+4%|n|n|Cff00ff7f点击消耗30000金币进行晋阶挑战</v>
      </c>
      <c r="DB22" s="43" t="str">
        <f t="shared" si="220"/>
        <v>|n攻击+550000</v>
      </c>
      <c r="DC22" s="43" t="str">
        <f t="shared" si="221"/>
        <v/>
      </c>
      <c r="DD22" s="43" t="str">
        <f t="shared" si="222"/>
        <v/>
      </c>
      <c r="DE22" s="43" t="str">
        <f t="shared" si="223"/>
        <v/>
      </c>
      <c r="DF22" s="43" t="str">
        <f t="shared" si="224"/>
        <v/>
      </c>
      <c r="DG22" s="43" t="str">
        <f t="shared" si="225"/>
        <v/>
      </c>
      <c r="DH22" s="43" t="str">
        <f t="shared" si="226"/>
        <v/>
      </c>
      <c r="DI22" s="43" t="str">
        <f t="shared" si="227"/>
        <v/>
      </c>
      <c r="DJ22" s="43" t="str">
        <f t="shared" si="228"/>
        <v/>
      </c>
      <c r="DK22" s="43" t="str">
        <f t="shared" si="229"/>
        <v/>
      </c>
      <c r="DL22" s="43" t="str">
        <f t="shared" si="230"/>
        <v/>
      </c>
      <c r="DM22" s="43" t="str">
        <f t="shared" si="231"/>
        <v/>
      </c>
      <c r="DN22" s="43" t="str">
        <f t="shared" si="232"/>
        <v/>
      </c>
      <c r="DO22" s="43" t="str">
        <f t="shared" si="233"/>
        <v/>
      </c>
      <c r="DP22" s="43" t="str">
        <f t="shared" si="234"/>
        <v/>
      </c>
      <c r="DQ22" s="43" t="str">
        <f t="shared" si="235"/>
        <v/>
      </c>
      <c r="DR22" s="43" t="str">
        <f t="shared" si="236"/>
        <v/>
      </c>
      <c r="DS22" s="43" t="str">
        <f t="shared" si="237"/>
        <v/>
      </c>
      <c r="DT22" s="43" t="str">
        <f t="shared" si="238"/>
        <v>|n暴击+7%</v>
      </c>
      <c r="DU22" s="43" t="str">
        <f t="shared" si="239"/>
        <v>|n暴伤+300%</v>
      </c>
      <c r="DV22" s="43" t="str">
        <f t="shared" si="240"/>
        <v>|n伤害吸取+4%</v>
      </c>
      <c r="DW22" s="43" t="str">
        <f t="shared" si="241"/>
        <v/>
      </c>
      <c r="DX22" s="43" t="str">
        <f t="shared" si="242"/>
        <v/>
      </c>
      <c r="DY22" s="43" t="str">
        <f t="shared" si="243"/>
        <v/>
      </c>
      <c r="DZ22" s="43" t="str">
        <f t="shared" si="244"/>
        <v/>
      </c>
      <c r="EA22" s="43" t="str">
        <f t="shared" si="245"/>
        <v/>
      </c>
      <c r="EB22" s="43" t="str">
        <f t="shared" si="246"/>
        <v/>
      </c>
      <c r="EC22" s="43" t="str">
        <f t="shared" si="247"/>
        <v/>
      </c>
      <c r="ED22" s="43" t="str">
        <f t="shared" si="248"/>
        <v/>
      </c>
      <c r="EE22" s="43" t="str">
        <f t="shared" si="249"/>
        <v/>
      </c>
      <c r="EF22" s="43" t="str">
        <f t="shared" si="250"/>
        <v/>
      </c>
      <c r="EG22" s="43" t="str">
        <f t="shared" si="251"/>
        <v/>
      </c>
      <c r="EH22" s="43" t="str">
        <f t="shared" si="252"/>
        <v/>
      </c>
      <c r="EI22" s="43" t="str">
        <f t="shared" si="253"/>
        <v/>
      </c>
      <c r="EJ22" s="43" t="str">
        <f t="shared" si="254"/>
        <v/>
      </c>
      <c r="EK22" s="43" t="str">
        <f t="shared" si="255"/>
        <v/>
      </c>
      <c r="EL22" s="43" t="str">
        <f t="shared" si="256"/>
        <v/>
      </c>
      <c r="EM22" s="43" t="str">
        <f t="shared" si="257"/>
        <v/>
      </c>
      <c r="EN22" s="43" t="str">
        <f t="shared" si="258"/>
        <v/>
      </c>
      <c r="EO22" s="43" t="str">
        <f t="shared" si="259"/>
        <v/>
      </c>
      <c r="EP22" s="43" t="str">
        <f t="shared" si="260"/>
        <v/>
      </c>
      <c r="EQ22" s="43" t="str">
        <f t="shared" si="261"/>
        <v/>
      </c>
      <c r="ER22" s="43" t="str">
        <f t="shared" si="262"/>
        <v/>
      </c>
      <c r="ES22" s="43" t="str">
        <f t="shared" si="263"/>
        <v/>
      </c>
      <c r="ET22" s="43" t="str">
        <f t="shared" si="264"/>
        <v/>
      </c>
      <c r="EU22" s="43" t="str">
        <f t="shared" si="265"/>
        <v/>
      </c>
      <c r="EV22" s="43" t="str">
        <f t="shared" si="266"/>
        <v/>
      </c>
      <c r="EW22" s="43" t="str">
        <f t="shared" si="267"/>
        <v/>
      </c>
      <c r="EX22" s="43" t="str">
        <f t="shared" si="268"/>
        <v/>
      </c>
      <c r="EY22" s="43" t="str">
        <f t="shared" si="269"/>
        <v/>
      </c>
      <c r="EZ22" s="43" t="str">
        <f t="shared" si="270"/>
        <v/>
      </c>
      <c r="FA22" s="43" t="str">
        <f t="shared" si="271"/>
        <v/>
      </c>
      <c r="FB22" s="43" t="str">
        <f t="shared" si="272"/>
        <v/>
      </c>
      <c r="FC22" s="43" t="str">
        <f t="shared" si="273"/>
        <v/>
      </c>
      <c r="FD22" s="43" t="str">
        <f t="shared" si="274"/>
        <v/>
      </c>
      <c r="FE22" s="43" t="str">
        <f t="shared" si="275"/>
        <v/>
      </c>
      <c r="FF22" s="43" t="str">
        <f t="shared" si="276"/>
        <v/>
      </c>
      <c r="FG22" s="43" t="str">
        <f t="shared" si="277"/>
        <v/>
      </c>
      <c r="FH22" s="43" t="str">
        <f t="shared" si="278"/>
        <v/>
      </c>
      <c r="FI22" s="43" t="str">
        <f t="shared" si="279"/>
        <v/>
      </c>
      <c r="FJ22" s="43" t="str">
        <f t="shared" si="280"/>
        <v/>
      </c>
      <c r="FK22" s="43" t="str">
        <f t="shared" si="281"/>
        <v/>
      </c>
      <c r="FL22" s="43" t="str">
        <f t="shared" si="282"/>
        <v/>
      </c>
      <c r="FM22" s="43" t="str">
        <f t="shared" si="283"/>
        <v/>
      </c>
      <c r="FN22" s="43" t="str">
        <f t="shared" si="284"/>
        <v/>
      </c>
      <c r="FO22" s="43" t="str">
        <f t="shared" si="285"/>
        <v/>
      </c>
      <c r="FP22" s="43" t="str">
        <f t="shared" si="286"/>
        <v/>
      </c>
      <c r="FQ22" s="43" t="str">
        <f t="shared" si="287"/>
        <v/>
      </c>
      <c r="FR22" s="43" t="str">
        <f t="shared" si="288"/>
        <v/>
      </c>
      <c r="FS22" s="43" t="str">
        <f t="shared" si="289"/>
        <v/>
      </c>
    </row>
    <row r="23" s="6" customFormat="1" ht="15" spans="1:175">
      <c r="A23" s="10"/>
      <c r="B23" s="45" t="s">
        <v>214</v>
      </c>
      <c r="C23" s="10" t="s">
        <v>215</v>
      </c>
      <c r="D23" s="46"/>
      <c r="E23" s="47"/>
      <c r="F23" s="48">
        <v>20000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3"/>
      <c r="Q23" s="53"/>
      <c r="R23" s="53"/>
      <c r="S23" s="53"/>
      <c r="T23" s="58"/>
      <c r="U23" s="59" t="s">
        <v>216</v>
      </c>
      <c r="V23" s="60">
        <v>800000</v>
      </c>
      <c r="W23" s="60"/>
      <c r="X23" s="60"/>
      <c r="Y23" s="60"/>
      <c r="Z23" s="60"/>
      <c r="AA23" s="60"/>
      <c r="AB23" s="60"/>
      <c r="AC23" s="60"/>
      <c r="AD23" s="63"/>
      <c r="AE23" s="60"/>
      <c r="AF23" s="60"/>
      <c r="AG23" s="64"/>
      <c r="AH23" s="60"/>
      <c r="AI23" s="60"/>
      <c r="AJ23" s="60"/>
      <c r="AK23" s="60"/>
      <c r="AL23" s="64"/>
      <c r="AM23" s="60"/>
      <c r="AN23" s="60">
        <v>8</v>
      </c>
      <c r="AO23" s="60">
        <f t="shared" si="219"/>
        <v>400</v>
      </c>
      <c r="AP23" s="60">
        <v>5</v>
      </c>
      <c r="AQ23" s="60"/>
      <c r="AR23" s="66"/>
      <c r="AS23" s="66"/>
      <c r="AT23" s="60"/>
      <c r="AU23" s="60"/>
      <c r="AV23" s="60"/>
      <c r="AW23" s="60"/>
      <c r="AX23" s="60"/>
      <c r="AY23" s="60"/>
      <c r="AZ23" s="60"/>
      <c r="BA23" s="60"/>
      <c r="BB23" s="60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60"/>
      <c r="CF23" s="60"/>
      <c r="CG23" s="60"/>
      <c r="CH23" s="60"/>
      <c r="CI23" s="60"/>
      <c r="CJ23" s="60"/>
      <c r="CK23" s="60"/>
      <c r="CL23" s="60"/>
      <c r="CM23" s="60"/>
      <c r="CN23" s="69" t="str">
        <f t="shared" si="2"/>
        <v>InitUnitState('E021',800000,,,,,,,,,)</v>
      </c>
      <c r="CO23" s="69" t="str">
        <f t="shared" si="3"/>
        <v>InitUnitNormal('E021',,,,,,,,,8,400)</v>
      </c>
      <c r="CP23" s="69" t="str">
        <f t="shared" si="4"/>
        <v>InitUnitMagic('E021',5,,,,,,,,,)</v>
      </c>
      <c r="CQ23" s="69" t="str">
        <f t="shared" si="5"/>
        <v>InitUnitAdd('E021',,,,,,,,,,)</v>
      </c>
      <c r="CR23" s="69" t="str">
        <f t="shared" si="6"/>
        <v>InitEquipData('E021',,"",,E022,20000,50,'','','','','','',"ReplaceableTextures\\CommandButtons\\BTNZ05.blp")</v>
      </c>
      <c r="CS23" s="69"/>
      <c r="CT23" s="69"/>
      <c r="CU23" s="71" t="str">
        <f t="shared" si="78"/>
        <v>|n攻击+800000|n暴击+8%|n暴伤+400%|n伤害吸取+5%|n</v>
      </c>
      <c r="CV23" s="5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3" t="str">
        <f t="shared" si="220"/>
        <v>|n攻击+800000</v>
      </c>
      <c r="DC23" s="43" t="str">
        <f t="shared" si="221"/>
        <v/>
      </c>
      <c r="DD23" s="43" t="str">
        <f t="shared" si="222"/>
        <v/>
      </c>
      <c r="DE23" s="43" t="str">
        <f t="shared" si="223"/>
        <v/>
      </c>
      <c r="DF23" s="43" t="str">
        <f t="shared" si="224"/>
        <v/>
      </c>
      <c r="DG23" s="43" t="str">
        <f t="shared" si="225"/>
        <v/>
      </c>
      <c r="DH23" s="43" t="str">
        <f t="shared" si="226"/>
        <v/>
      </c>
      <c r="DI23" s="43" t="str">
        <f t="shared" si="227"/>
        <v/>
      </c>
      <c r="DJ23" s="43" t="str">
        <f t="shared" si="228"/>
        <v/>
      </c>
      <c r="DK23" s="43" t="str">
        <f t="shared" si="229"/>
        <v/>
      </c>
      <c r="DL23" s="43" t="str">
        <f t="shared" si="230"/>
        <v/>
      </c>
      <c r="DM23" s="43" t="str">
        <f t="shared" si="231"/>
        <v/>
      </c>
      <c r="DN23" s="43" t="str">
        <f t="shared" si="232"/>
        <v/>
      </c>
      <c r="DO23" s="43" t="str">
        <f t="shared" si="233"/>
        <v/>
      </c>
      <c r="DP23" s="43" t="str">
        <f t="shared" si="234"/>
        <v/>
      </c>
      <c r="DQ23" s="43" t="str">
        <f t="shared" si="235"/>
        <v/>
      </c>
      <c r="DR23" s="43" t="str">
        <f t="shared" si="236"/>
        <v/>
      </c>
      <c r="DS23" s="43" t="str">
        <f t="shared" si="237"/>
        <v/>
      </c>
      <c r="DT23" s="43" t="str">
        <f t="shared" si="238"/>
        <v>|n暴击+8%</v>
      </c>
      <c r="DU23" s="43" t="str">
        <f t="shared" si="239"/>
        <v>|n暴伤+400%</v>
      </c>
      <c r="DV23" s="43" t="str">
        <f t="shared" si="240"/>
        <v>|n伤害吸取+5%</v>
      </c>
      <c r="DW23" s="43" t="str">
        <f t="shared" si="241"/>
        <v/>
      </c>
      <c r="DX23" s="43" t="str">
        <f t="shared" si="242"/>
        <v/>
      </c>
      <c r="DY23" s="43" t="str">
        <f t="shared" si="243"/>
        <v/>
      </c>
      <c r="DZ23" s="43" t="str">
        <f t="shared" si="244"/>
        <v/>
      </c>
      <c r="EA23" s="43" t="str">
        <f t="shared" si="245"/>
        <v/>
      </c>
      <c r="EB23" s="43" t="str">
        <f t="shared" si="246"/>
        <v/>
      </c>
      <c r="EC23" s="43" t="str">
        <f t="shared" si="247"/>
        <v/>
      </c>
      <c r="ED23" s="43" t="str">
        <f t="shared" si="248"/>
        <v/>
      </c>
      <c r="EE23" s="43" t="str">
        <f t="shared" si="249"/>
        <v/>
      </c>
      <c r="EF23" s="43" t="str">
        <f t="shared" si="250"/>
        <v/>
      </c>
      <c r="EG23" s="43" t="str">
        <f t="shared" si="251"/>
        <v/>
      </c>
      <c r="EH23" s="43" t="str">
        <f t="shared" si="252"/>
        <v/>
      </c>
      <c r="EI23" s="43" t="str">
        <f t="shared" si="253"/>
        <v/>
      </c>
      <c r="EJ23" s="43" t="str">
        <f t="shared" si="254"/>
        <v/>
      </c>
      <c r="EK23" s="43" t="str">
        <f t="shared" si="255"/>
        <v/>
      </c>
      <c r="EL23" s="43" t="str">
        <f t="shared" si="256"/>
        <v/>
      </c>
      <c r="EM23" s="43" t="str">
        <f t="shared" si="257"/>
        <v/>
      </c>
      <c r="EN23" s="43" t="str">
        <f t="shared" si="258"/>
        <v/>
      </c>
      <c r="EO23" s="43" t="str">
        <f t="shared" si="259"/>
        <v/>
      </c>
      <c r="EP23" s="43" t="str">
        <f t="shared" si="260"/>
        <v/>
      </c>
      <c r="EQ23" s="43" t="str">
        <f t="shared" si="261"/>
        <v/>
      </c>
      <c r="ER23" s="43" t="str">
        <f t="shared" si="262"/>
        <v/>
      </c>
      <c r="ES23" s="43" t="str">
        <f t="shared" si="263"/>
        <v/>
      </c>
      <c r="ET23" s="43" t="str">
        <f t="shared" si="264"/>
        <v/>
      </c>
      <c r="EU23" s="43" t="str">
        <f t="shared" si="265"/>
        <v/>
      </c>
      <c r="EV23" s="43" t="str">
        <f t="shared" si="266"/>
        <v/>
      </c>
      <c r="EW23" s="43" t="str">
        <f t="shared" si="267"/>
        <v/>
      </c>
      <c r="EX23" s="43" t="str">
        <f t="shared" si="268"/>
        <v/>
      </c>
      <c r="EY23" s="43" t="str">
        <f t="shared" si="269"/>
        <v/>
      </c>
      <c r="EZ23" s="43" t="str">
        <f t="shared" si="270"/>
        <v/>
      </c>
      <c r="FA23" s="43" t="str">
        <f t="shared" si="271"/>
        <v/>
      </c>
      <c r="FB23" s="43" t="str">
        <f t="shared" si="272"/>
        <v/>
      </c>
      <c r="FC23" s="43" t="str">
        <f t="shared" si="273"/>
        <v/>
      </c>
      <c r="FD23" s="43" t="str">
        <f t="shared" si="274"/>
        <v/>
      </c>
      <c r="FE23" s="43" t="str">
        <f t="shared" si="275"/>
        <v/>
      </c>
      <c r="FF23" s="43" t="str">
        <f t="shared" si="276"/>
        <v/>
      </c>
      <c r="FG23" s="43" t="str">
        <f t="shared" si="277"/>
        <v/>
      </c>
      <c r="FH23" s="43" t="str">
        <f t="shared" si="278"/>
        <v/>
      </c>
      <c r="FI23" s="43" t="str">
        <f t="shared" si="279"/>
        <v/>
      </c>
      <c r="FJ23" s="43" t="str">
        <f t="shared" si="280"/>
        <v/>
      </c>
      <c r="FK23" s="43" t="str">
        <f t="shared" si="281"/>
        <v/>
      </c>
      <c r="FL23" s="43" t="str">
        <f t="shared" si="282"/>
        <v/>
      </c>
      <c r="FM23" s="43" t="str">
        <f t="shared" si="283"/>
        <v/>
      </c>
      <c r="FN23" s="43" t="str">
        <f t="shared" si="284"/>
        <v/>
      </c>
      <c r="FO23" s="43" t="str">
        <f t="shared" si="285"/>
        <v/>
      </c>
      <c r="FP23" s="43" t="str">
        <f t="shared" si="286"/>
        <v/>
      </c>
      <c r="FQ23" s="43" t="str">
        <f t="shared" si="287"/>
        <v/>
      </c>
      <c r="FR23" s="43" t="str">
        <f t="shared" si="288"/>
        <v/>
      </c>
      <c r="FS23" s="43" t="str">
        <f t="shared" si="289"/>
        <v/>
      </c>
    </row>
    <row r="24" s="6" customFormat="1" ht="15" spans="1:175">
      <c r="A24" s="10"/>
      <c r="B24" s="45" t="s">
        <v>217</v>
      </c>
      <c r="C24" s="10" t="s">
        <v>218</v>
      </c>
      <c r="D24" s="46"/>
      <c r="E24" s="47"/>
      <c r="F24" s="48">
        <v>20000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3"/>
      <c r="Q24" s="53"/>
      <c r="R24" s="53"/>
      <c r="S24" s="53"/>
      <c r="T24" s="58"/>
      <c r="U24" s="59" t="s">
        <v>216</v>
      </c>
      <c r="V24" s="60">
        <v>1000000</v>
      </c>
      <c r="W24" s="60"/>
      <c r="X24" s="60"/>
      <c r="Y24" s="60"/>
      <c r="Z24" s="60"/>
      <c r="AA24" s="60"/>
      <c r="AB24" s="60"/>
      <c r="AC24" s="60"/>
      <c r="AD24" s="63"/>
      <c r="AE24" s="60"/>
      <c r="AF24" s="60"/>
      <c r="AG24" s="64"/>
      <c r="AH24" s="60"/>
      <c r="AI24" s="60"/>
      <c r="AJ24" s="60"/>
      <c r="AK24" s="60"/>
      <c r="AL24" s="64"/>
      <c r="AM24" s="60"/>
      <c r="AN24" s="60">
        <v>8</v>
      </c>
      <c r="AO24" s="60">
        <f t="shared" si="219"/>
        <v>400</v>
      </c>
      <c r="AP24" s="60">
        <v>5</v>
      </c>
      <c r="AQ24" s="60"/>
      <c r="AR24" s="66"/>
      <c r="AS24" s="66"/>
      <c r="AT24" s="60"/>
      <c r="AU24" s="60"/>
      <c r="AV24" s="60"/>
      <c r="AW24" s="60"/>
      <c r="AX24" s="60"/>
      <c r="AY24" s="60"/>
      <c r="AZ24" s="60"/>
      <c r="BA24" s="60"/>
      <c r="BB24" s="60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60"/>
      <c r="CF24" s="60"/>
      <c r="CG24" s="60"/>
      <c r="CH24" s="60"/>
      <c r="CI24" s="60"/>
      <c r="CJ24" s="60"/>
      <c r="CK24" s="60"/>
      <c r="CL24" s="60"/>
      <c r="CM24" s="60"/>
      <c r="CN24" s="69" t="str">
        <f t="shared" si="2"/>
        <v>InitUnitState('E022',1000000,,,,,,,,,)</v>
      </c>
      <c r="CO24" s="69" t="str">
        <f t="shared" si="3"/>
        <v>InitUnitNormal('E022',,,,,,,,,8,400)</v>
      </c>
      <c r="CP24" s="69" t="str">
        <f t="shared" si="4"/>
        <v>InitUnitMagic('E022',5,,,,,,,,,)</v>
      </c>
      <c r="CQ24" s="69" t="str">
        <f t="shared" si="5"/>
        <v>InitUnitAdd('E022',,,,,,,,,,)</v>
      </c>
      <c r="CR24" s="69" t="str">
        <f t="shared" si="6"/>
        <v>InitEquipData('E022',,"",,E023,20000,50,'','','','','','',"ReplaceableTextures\\CommandButtons\\BTNZ05.blp")</v>
      </c>
      <c r="CS24" s="69"/>
      <c r="CT24" s="69"/>
      <c r="CU24" s="71" t="str">
        <f t="shared" si="78"/>
        <v>|n攻击+1000000|n暴击+8%|n暴伤+400%|n伤害吸取+5%|n</v>
      </c>
      <c r="CV24" s="5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3" t="str">
        <f t="shared" si="220"/>
        <v>|n攻击+1000000</v>
      </c>
      <c r="DC24" s="43" t="str">
        <f t="shared" si="221"/>
        <v/>
      </c>
      <c r="DD24" s="43" t="str">
        <f t="shared" si="222"/>
        <v/>
      </c>
      <c r="DE24" s="43" t="str">
        <f t="shared" si="223"/>
        <v/>
      </c>
      <c r="DF24" s="43" t="str">
        <f t="shared" si="224"/>
        <v/>
      </c>
      <c r="DG24" s="43" t="str">
        <f t="shared" si="225"/>
        <v/>
      </c>
      <c r="DH24" s="43" t="str">
        <f t="shared" si="226"/>
        <v/>
      </c>
      <c r="DI24" s="43" t="str">
        <f t="shared" si="227"/>
        <v/>
      </c>
      <c r="DJ24" s="43" t="str">
        <f t="shared" si="228"/>
        <v/>
      </c>
      <c r="DK24" s="43" t="str">
        <f t="shared" si="229"/>
        <v/>
      </c>
      <c r="DL24" s="43" t="str">
        <f t="shared" si="230"/>
        <v/>
      </c>
      <c r="DM24" s="43" t="str">
        <f t="shared" si="231"/>
        <v/>
      </c>
      <c r="DN24" s="43" t="str">
        <f t="shared" si="232"/>
        <v/>
      </c>
      <c r="DO24" s="43" t="str">
        <f t="shared" si="233"/>
        <v/>
      </c>
      <c r="DP24" s="43" t="str">
        <f t="shared" si="234"/>
        <v/>
      </c>
      <c r="DQ24" s="43" t="str">
        <f t="shared" si="235"/>
        <v/>
      </c>
      <c r="DR24" s="43" t="str">
        <f t="shared" si="236"/>
        <v/>
      </c>
      <c r="DS24" s="43" t="str">
        <f t="shared" si="237"/>
        <v/>
      </c>
      <c r="DT24" s="43" t="str">
        <f t="shared" si="238"/>
        <v>|n暴击+8%</v>
      </c>
      <c r="DU24" s="43" t="str">
        <f t="shared" si="239"/>
        <v>|n暴伤+400%</v>
      </c>
      <c r="DV24" s="43" t="str">
        <f t="shared" si="240"/>
        <v>|n伤害吸取+5%</v>
      </c>
      <c r="DW24" s="43" t="str">
        <f t="shared" si="241"/>
        <v/>
      </c>
      <c r="DX24" s="43" t="str">
        <f t="shared" si="242"/>
        <v/>
      </c>
      <c r="DY24" s="43" t="str">
        <f t="shared" si="243"/>
        <v/>
      </c>
      <c r="DZ24" s="43" t="str">
        <f t="shared" si="244"/>
        <v/>
      </c>
      <c r="EA24" s="43" t="str">
        <f t="shared" si="245"/>
        <v/>
      </c>
      <c r="EB24" s="43" t="str">
        <f t="shared" si="246"/>
        <v/>
      </c>
      <c r="EC24" s="43" t="str">
        <f t="shared" si="247"/>
        <v/>
      </c>
      <c r="ED24" s="43" t="str">
        <f t="shared" si="248"/>
        <v/>
      </c>
      <c r="EE24" s="43" t="str">
        <f t="shared" si="249"/>
        <v/>
      </c>
      <c r="EF24" s="43" t="str">
        <f t="shared" si="250"/>
        <v/>
      </c>
      <c r="EG24" s="43" t="str">
        <f t="shared" si="251"/>
        <v/>
      </c>
      <c r="EH24" s="43" t="str">
        <f t="shared" si="252"/>
        <v/>
      </c>
      <c r="EI24" s="43" t="str">
        <f t="shared" si="253"/>
        <v/>
      </c>
      <c r="EJ24" s="43" t="str">
        <f t="shared" si="254"/>
        <v/>
      </c>
      <c r="EK24" s="43" t="str">
        <f t="shared" si="255"/>
        <v/>
      </c>
      <c r="EL24" s="43" t="str">
        <f t="shared" si="256"/>
        <v/>
      </c>
      <c r="EM24" s="43" t="str">
        <f t="shared" si="257"/>
        <v/>
      </c>
      <c r="EN24" s="43" t="str">
        <f t="shared" si="258"/>
        <v/>
      </c>
      <c r="EO24" s="43" t="str">
        <f t="shared" si="259"/>
        <v/>
      </c>
      <c r="EP24" s="43" t="str">
        <f t="shared" si="260"/>
        <v/>
      </c>
      <c r="EQ24" s="43" t="str">
        <f t="shared" si="261"/>
        <v/>
      </c>
      <c r="ER24" s="43" t="str">
        <f t="shared" si="262"/>
        <v/>
      </c>
      <c r="ES24" s="43" t="str">
        <f t="shared" si="263"/>
        <v/>
      </c>
      <c r="ET24" s="43" t="str">
        <f t="shared" si="264"/>
        <v/>
      </c>
      <c r="EU24" s="43" t="str">
        <f t="shared" si="265"/>
        <v/>
      </c>
      <c r="EV24" s="43" t="str">
        <f t="shared" si="266"/>
        <v/>
      </c>
      <c r="EW24" s="43" t="str">
        <f t="shared" si="267"/>
        <v/>
      </c>
      <c r="EX24" s="43" t="str">
        <f t="shared" si="268"/>
        <v/>
      </c>
      <c r="EY24" s="43" t="str">
        <f t="shared" si="269"/>
        <v/>
      </c>
      <c r="EZ24" s="43" t="str">
        <f t="shared" si="270"/>
        <v/>
      </c>
      <c r="FA24" s="43" t="str">
        <f t="shared" si="271"/>
        <v/>
      </c>
      <c r="FB24" s="43" t="str">
        <f t="shared" si="272"/>
        <v/>
      </c>
      <c r="FC24" s="43" t="str">
        <f t="shared" si="273"/>
        <v/>
      </c>
      <c r="FD24" s="43" t="str">
        <f t="shared" si="274"/>
        <v/>
      </c>
      <c r="FE24" s="43" t="str">
        <f t="shared" si="275"/>
        <v/>
      </c>
      <c r="FF24" s="43" t="str">
        <f t="shared" si="276"/>
        <v/>
      </c>
      <c r="FG24" s="43" t="str">
        <f t="shared" si="277"/>
        <v/>
      </c>
      <c r="FH24" s="43" t="str">
        <f t="shared" si="278"/>
        <v/>
      </c>
      <c r="FI24" s="43" t="str">
        <f t="shared" si="279"/>
        <v/>
      </c>
      <c r="FJ24" s="43" t="str">
        <f t="shared" si="280"/>
        <v/>
      </c>
      <c r="FK24" s="43" t="str">
        <f t="shared" si="281"/>
        <v/>
      </c>
      <c r="FL24" s="43" t="str">
        <f t="shared" si="282"/>
        <v/>
      </c>
      <c r="FM24" s="43" t="str">
        <f t="shared" si="283"/>
        <v/>
      </c>
      <c r="FN24" s="43" t="str">
        <f t="shared" si="284"/>
        <v/>
      </c>
      <c r="FO24" s="43" t="str">
        <f t="shared" si="285"/>
        <v/>
      </c>
      <c r="FP24" s="43" t="str">
        <f t="shared" si="286"/>
        <v/>
      </c>
      <c r="FQ24" s="43" t="str">
        <f t="shared" si="287"/>
        <v/>
      </c>
      <c r="FR24" s="43" t="str">
        <f t="shared" si="288"/>
        <v/>
      </c>
      <c r="FS24" s="43" t="str">
        <f t="shared" si="289"/>
        <v/>
      </c>
    </row>
    <row r="25" s="6" customFormat="1" ht="15" spans="1:175">
      <c r="A25" s="10"/>
      <c r="B25" s="45" t="s">
        <v>219</v>
      </c>
      <c r="C25" s="10" t="s">
        <v>220</v>
      </c>
      <c r="D25" s="46"/>
      <c r="E25" s="47"/>
      <c r="F25" s="48">
        <v>20000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3"/>
      <c r="Q25" s="53"/>
      <c r="R25" s="53"/>
      <c r="S25" s="53"/>
      <c r="T25" s="58"/>
      <c r="U25" s="59" t="s">
        <v>216</v>
      </c>
      <c r="V25" s="60">
        <v>1200000</v>
      </c>
      <c r="W25" s="60"/>
      <c r="X25" s="60"/>
      <c r="Y25" s="60"/>
      <c r="Z25" s="60"/>
      <c r="AA25" s="60"/>
      <c r="AB25" s="60"/>
      <c r="AC25" s="60"/>
      <c r="AD25" s="63"/>
      <c r="AE25" s="60"/>
      <c r="AF25" s="60"/>
      <c r="AG25" s="64"/>
      <c r="AH25" s="60"/>
      <c r="AI25" s="60"/>
      <c r="AJ25" s="60"/>
      <c r="AK25" s="60"/>
      <c r="AL25" s="64"/>
      <c r="AM25" s="60"/>
      <c r="AN25" s="60">
        <v>8</v>
      </c>
      <c r="AO25" s="60">
        <f t="shared" si="219"/>
        <v>400</v>
      </c>
      <c r="AP25" s="60">
        <v>5</v>
      </c>
      <c r="AQ25" s="60"/>
      <c r="AR25" s="66"/>
      <c r="AS25" s="66"/>
      <c r="AT25" s="60"/>
      <c r="AU25" s="60"/>
      <c r="AV25" s="60"/>
      <c r="AW25" s="60"/>
      <c r="AX25" s="60"/>
      <c r="AY25" s="60"/>
      <c r="AZ25" s="60"/>
      <c r="BA25" s="60"/>
      <c r="BB25" s="60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60"/>
      <c r="CF25" s="60"/>
      <c r="CG25" s="60"/>
      <c r="CH25" s="60"/>
      <c r="CI25" s="60"/>
      <c r="CJ25" s="60"/>
      <c r="CK25" s="60"/>
      <c r="CL25" s="60"/>
      <c r="CM25" s="60"/>
      <c r="CN25" s="69" t="str">
        <f t="shared" si="2"/>
        <v>InitUnitState('E023',1200000,,,,,,,,,)</v>
      </c>
      <c r="CO25" s="69" t="str">
        <f t="shared" si="3"/>
        <v>InitUnitNormal('E023',,,,,,,,,8,400)</v>
      </c>
      <c r="CP25" s="69" t="str">
        <f t="shared" si="4"/>
        <v>InitUnitMagic('E023',5,,,,,,,,,)</v>
      </c>
      <c r="CQ25" s="69" t="str">
        <f t="shared" si="5"/>
        <v>InitUnitAdd('E023',,,,,,,,,,)</v>
      </c>
      <c r="CR25" s="69" t="str">
        <f t="shared" si="6"/>
        <v>InitEquipData('E023',,"",,E024,20000,50,'','','','','','',"ReplaceableTextures\\CommandButtons\\BTNZ05.blp")</v>
      </c>
      <c r="CS25" s="69"/>
      <c r="CT25" s="69"/>
      <c r="CU25" s="71" t="str">
        <f t="shared" si="78"/>
        <v>|n攻击+1200000|n暴击+8%|n暴伤+400%|n伤害吸取+5%|n</v>
      </c>
      <c r="CV25" s="5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3" t="str">
        <f t="shared" si="220"/>
        <v>|n攻击+1200000</v>
      </c>
      <c r="DC25" s="43" t="str">
        <f t="shared" si="221"/>
        <v/>
      </c>
      <c r="DD25" s="43" t="str">
        <f t="shared" si="222"/>
        <v/>
      </c>
      <c r="DE25" s="43" t="str">
        <f t="shared" si="223"/>
        <v/>
      </c>
      <c r="DF25" s="43" t="str">
        <f t="shared" si="224"/>
        <v/>
      </c>
      <c r="DG25" s="43" t="str">
        <f t="shared" si="225"/>
        <v/>
      </c>
      <c r="DH25" s="43" t="str">
        <f t="shared" si="226"/>
        <v/>
      </c>
      <c r="DI25" s="43" t="str">
        <f t="shared" si="227"/>
        <v/>
      </c>
      <c r="DJ25" s="43" t="str">
        <f t="shared" si="228"/>
        <v/>
      </c>
      <c r="DK25" s="43" t="str">
        <f t="shared" si="229"/>
        <v/>
      </c>
      <c r="DL25" s="43" t="str">
        <f t="shared" si="230"/>
        <v/>
      </c>
      <c r="DM25" s="43" t="str">
        <f t="shared" si="231"/>
        <v/>
      </c>
      <c r="DN25" s="43" t="str">
        <f t="shared" si="232"/>
        <v/>
      </c>
      <c r="DO25" s="43" t="str">
        <f t="shared" si="233"/>
        <v/>
      </c>
      <c r="DP25" s="43" t="str">
        <f t="shared" si="234"/>
        <v/>
      </c>
      <c r="DQ25" s="43" t="str">
        <f t="shared" si="235"/>
        <v/>
      </c>
      <c r="DR25" s="43" t="str">
        <f t="shared" si="236"/>
        <v/>
      </c>
      <c r="DS25" s="43" t="str">
        <f t="shared" si="237"/>
        <v/>
      </c>
      <c r="DT25" s="43" t="str">
        <f t="shared" si="238"/>
        <v>|n暴击+8%</v>
      </c>
      <c r="DU25" s="43" t="str">
        <f t="shared" si="239"/>
        <v>|n暴伤+400%</v>
      </c>
      <c r="DV25" s="43" t="str">
        <f t="shared" si="240"/>
        <v>|n伤害吸取+5%</v>
      </c>
      <c r="DW25" s="43" t="str">
        <f t="shared" si="241"/>
        <v/>
      </c>
      <c r="DX25" s="43" t="str">
        <f t="shared" si="242"/>
        <v/>
      </c>
      <c r="DY25" s="43" t="str">
        <f t="shared" si="243"/>
        <v/>
      </c>
      <c r="DZ25" s="43" t="str">
        <f t="shared" si="244"/>
        <v/>
      </c>
      <c r="EA25" s="43" t="str">
        <f t="shared" si="245"/>
        <v/>
      </c>
      <c r="EB25" s="43" t="str">
        <f t="shared" si="246"/>
        <v/>
      </c>
      <c r="EC25" s="43" t="str">
        <f t="shared" si="247"/>
        <v/>
      </c>
      <c r="ED25" s="43" t="str">
        <f t="shared" si="248"/>
        <v/>
      </c>
      <c r="EE25" s="43" t="str">
        <f t="shared" si="249"/>
        <v/>
      </c>
      <c r="EF25" s="43" t="str">
        <f t="shared" si="250"/>
        <v/>
      </c>
      <c r="EG25" s="43" t="str">
        <f t="shared" si="251"/>
        <v/>
      </c>
      <c r="EH25" s="43" t="str">
        <f t="shared" si="252"/>
        <v/>
      </c>
      <c r="EI25" s="43" t="str">
        <f t="shared" si="253"/>
        <v/>
      </c>
      <c r="EJ25" s="43" t="str">
        <f t="shared" si="254"/>
        <v/>
      </c>
      <c r="EK25" s="43" t="str">
        <f t="shared" si="255"/>
        <v/>
      </c>
      <c r="EL25" s="43" t="str">
        <f t="shared" si="256"/>
        <v/>
      </c>
      <c r="EM25" s="43" t="str">
        <f t="shared" si="257"/>
        <v/>
      </c>
      <c r="EN25" s="43" t="str">
        <f t="shared" si="258"/>
        <v/>
      </c>
      <c r="EO25" s="43" t="str">
        <f t="shared" si="259"/>
        <v/>
      </c>
      <c r="EP25" s="43" t="str">
        <f t="shared" si="260"/>
        <v/>
      </c>
      <c r="EQ25" s="43" t="str">
        <f t="shared" si="261"/>
        <v/>
      </c>
      <c r="ER25" s="43" t="str">
        <f t="shared" si="262"/>
        <v/>
      </c>
      <c r="ES25" s="43" t="str">
        <f t="shared" si="263"/>
        <v/>
      </c>
      <c r="ET25" s="43" t="str">
        <f t="shared" si="264"/>
        <v/>
      </c>
      <c r="EU25" s="43" t="str">
        <f t="shared" si="265"/>
        <v/>
      </c>
      <c r="EV25" s="43" t="str">
        <f t="shared" si="266"/>
        <v/>
      </c>
      <c r="EW25" s="43" t="str">
        <f t="shared" si="267"/>
        <v/>
      </c>
      <c r="EX25" s="43" t="str">
        <f t="shared" si="268"/>
        <v/>
      </c>
      <c r="EY25" s="43" t="str">
        <f t="shared" si="269"/>
        <v/>
      </c>
      <c r="EZ25" s="43" t="str">
        <f t="shared" si="270"/>
        <v/>
      </c>
      <c r="FA25" s="43" t="str">
        <f t="shared" si="271"/>
        <v/>
      </c>
      <c r="FB25" s="43" t="str">
        <f t="shared" si="272"/>
        <v/>
      </c>
      <c r="FC25" s="43" t="str">
        <f t="shared" si="273"/>
        <v/>
      </c>
      <c r="FD25" s="43" t="str">
        <f t="shared" si="274"/>
        <v/>
      </c>
      <c r="FE25" s="43" t="str">
        <f t="shared" si="275"/>
        <v/>
      </c>
      <c r="FF25" s="43" t="str">
        <f t="shared" si="276"/>
        <v/>
      </c>
      <c r="FG25" s="43" t="str">
        <f t="shared" si="277"/>
        <v/>
      </c>
      <c r="FH25" s="43" t="str">
        <f t="shared" si="278"/>
        <v/>
      </c>
      <c r="FI25" s="43" t="str">
        <f t="shared" si="279"/>
        <v/>
      </c>
      <c r="FJ25" s="43" t="str">
        <f t="shared" si="280"/>
        <v/>
      </c>
      <c r="FK25" s="43" t="str">
        <f t="shared" si="281"/>
        <v/>
      </c>
      <c r="FL25" s="43" t="str">
        <f t="shared" si="282"/>
        <v/>
      </c>
      <c r="FM25" s="43" t="str">
        <f t="shared" si="283"/>
        <v/>
      </c>
      <c r="FN25" s="43" t="str">
        <f t="shared" si="284"/>
        <v/>
      </c>
      <c r="FO25" s="43" t="str">
        <f t="shared" si="285"/>
        <v/>
      </c>
      <c r="FP25" s="43" t="str">
        <f t="shared" si="286"/>
        <v/>
      </c>
      <c r="FQ25" s="43" t="str">
        <f t="shared" si="287"/>
        <v/>
      </c>
      <c r="FR25" s="43" t="str">
        <f t="shared" si="288"/>
        <v/>
      </c>
      <c r="FS25" s="43" t="str">
        <f t="shared" si="289"/>
        <v/>
      </c>
    </row>
    <row r="26" s="6" customFormat="1" ht="15" spans="1:175">
      <c r="A26" s="10"/>
      <c r="B26" s="45" t="s">
        <v>221</v>
      </c>
      <c r="C26" s="10" t="s">
        <v>222</v>
      </c>
      <c r="D26" s="46"/>
      <c r="E26" s="47"/>
      <c r="F26" s="48">
        <v>20000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3"/>
      <c r="Q26" s="53"/>
      <c r="R26" s="53"/>
      <c r="S26" s="53"/>
      <c r="T26" s="58"/>
      <c r="U26" s="59" t="s">
        <v>216</v>
      </c>
      <c r="V26" s="60">
        <v>1400000</v>
      </c>
      <c r="W26" s="60"/>
      <c r="X26" s="60"/>
      <c r="Y26" s="60"/>
      <c r="Z26" s="60"/>
      <c r="AA26" s="60"/>
      <c r="AB26" s="60"/>
      <c r="AC26" s="60"/>
      <c r="AD26" s="63"/>
      <c r="AE26" s="60"/>
      <c r="AF26" s="60"/>
      <c r="AG26" s="64"/>
      <c r="AH26" s="60"/>
      <c r="AI26" s="60"/>
      <c r="AJ26" s="60"/>
      <c r="AK26" s="60"/>
      <c r="AL26" s="64"/>
      <c r="AM26" s="60"/>
      <c r="AN26" s="60">
        <v>8</v>
      </c>
      <c r="AO26" s="60">
        <f t="shared" si="219"/>
        <v>400</v>
      </c>
      <c r="AP26" s="60">
        <v>5</v>
      </c>
      <c r="AQ26" s="60"/>
      <c r="AR26" s="66"/>
      <c r="AS26" s="66"/>
      <c r="AT26" s="60"/>
      <c r="AU26" s="60"/>
      <c r="AV26" s="60"/>
      <c r="AW26" s="60"/>
      <c r="AX26" s="60"/>
      <c r="AY26" s="60"/>
      <c r="AZ26" s="60"/>
      <c r="BA26" s="60"/>
      <c r="BB26" s="60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60"/>
      <c r="CF26" s="60"/>
      <c r="CG26" s="60"/>
      <c r="CH26" s="60"/>
      <c r="CI26" s="60"/>
      <c r="CJ26" s="60"/>
      <c r="CK26" s="60"/>
      <c r="CL26" s="60"/>
      <c r="CM26" s="60"/>
      <c r="CN26" s="69" t="str">
        <f t="shared" si="2"/>
        <v>InitUnitState('E024',1400000,,,,,,,,,)</v>
      </c>
      <c r="CO26" s="69" t="str">
        <f t="shared" si="3"/>
        <v>InitUnitNormal('E024',,,,,,,,,8,400)</v>
      </c>
      <c r="CP26" s="69" t="str">
        <f t="shared" si="4"/>
        <v>InitUnitMagic('E024',5,,,,,,,,,)</v>
      </c>
      <c r="CQ26" s="69" t="str">
        <f t="shared" si="5"/>
        <v>InitUnitAdd('E024',,,,,,,,,,)</v>
      </c>
      <c r="CR26" s="69" t="str">
        <f t="shared" si="6"/>
        <v>InitEquipData('E024',,"",,E025,20000,50,'','','','','','',"ReplaceableTextures\\CommandButtons\\BTNZ05.blp")</v>
      </c>
      <c r="CS26" s="69"/>
      <c r="CT26" s="69"/>
      <c r="CU26" s="71" t="str">
        <f t="shared" si="78"/>
        <v>|n攻击+1400000|n暴击+8%|n暴伤+400%|n伤害吸取+5%|n</v>
      </c>
      <c r="CV26" s="5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3" t="str">
        <f t="shared" si="220"/>
        <v>|n攻击+1400000</v>
      </c>
      <c r="DC26" s="43" t="str">
        <f t="shared" si="221"/>
        <v/>
      </c>
      <c r="DD26" s="43" t="str">
        <f t="shared" si="222"/>
        <v/>
      </c>
      <c r="DE26" s="43" t="str">
        <f t="shared" si="223"/>
        <v/>
      </c>
      <c r="DF26" s="43" t="str">
        <f t="shared" si="224"/>
        <v/>
      </c>
      <c r="DG26" s="43" t="str">
        <f t="shared" si="225"/>
        <v/>
      </c>
      <c r="DH26" s="43" t="str">
        <f t="shared" si="226"/>
        <v/>
      </c>
      <c r="DI26" s="43" t="str">
        <f t="shared" si="227"/>
        <v/>
      </c>
      <c r="DJ26" s="43" t="str">
        <f t="shared" si="228"/>
        <v/>
      </c>
      <c r="DK26" s="43" t="str">
        <f t="shared" si="229"/>
        <v/>
      </c>
      <c r="DL26" s="43" t="str">
        <f t="shared" si="230"/>
        <v/>
      </c>
      <c r="DM26" s="43" t="str">
        <f t="shared" si="231"/>
        <v/>
      </c>
      <c r="DN26" s="43" t="str">
        <f t="shared" si="232"/>
        <v/>
      </c>
      <c r="DO26" s="43" t="str">
        <f t="shared" si="233"/>
        <v/>
      </c>
      <c r="DP26" s="43" t="str">
        <f t="shared" si="234"/>
        <v/>
      </c>
      <c r="DQ26" s="43" t="str">
        <f t="shared" si="235"/>
        <v/>
      </c>
      <c r="DR26" s="43" t="str">
        <f t="shared" si="236"/>
        <v/>
      </c>
      <c r="DS26" s="43" t="str">
        <f t="shared" si="237"/>
        <v/>
      </c>
      <c r="DT26" s="43" t="str">
        <f t="shared" si="238"/>
        <v>|n暴击+8%</v>
      </c>
      <c r="DU26" s="43" t="str">
        <f t="shared" si="239"/>
        <v>|n暴伤+400%</v>
      </c>
      <c r="DV26" s="43" t="str">
        <f t="shared" si="240"/>
        <v>|n伤害吸取+5%</v>
      </c>
      <c r="DW26" s="43" t="str">
        <f t="shared" si="241"/>
        <v/>
      </c>
      <c r="DX26" s="43" t="str">
        <f t="shared" si="242"/>
        <v/>
      </c>
      <c r="DY26" s="43" t="str">
        <f t="shared" si="243"/>
        <v/>
      </c>
      <c r="DZ26" s="43" t="str">
        <f t="shared" si="244"/>
        <v/>
      </c>
      <c r="EA26" s="43" t="str">
        <f t="shared" si="245"/>
        <v/>
      </c>
      <c r="EB26" s="43" t="str">
        <f t="shared" si="246"/>
        <v/>
      </c>
      <c r="EC26" s="43" t="str">
        <f t="shared" si="247"/>
        <v/>
      </c>
      <c r="ED26" s="43" t="str">
        <f t="shared" si="248"/>
        <v/>
      </c>
      <c r="EE26" s="43" t="str">
        <f t="shared" si="249"/>
        <v/>
      </c>
      <c r="EF26" s="43" t="str">
        <f t="shared" si="250"/>
        <v/>
      </c>
      <c r="EG26" s="43" t="str">
        <f t="shared" si="251"/>
        <v/>
      </c>
      <c r="EH26" s="43" t="str">
        <f t="shared" si="252"/>
        <v/>
      </c>
      <c r="EI26" s="43" t="str">
        <f t="shared" si="253"/>
        <v/>
      </c>
      <c r="EJ26" s="43" t="str">
        <f t="shared" si="254"/>
        <v/>
      </c>
      <c r="EK26" s="43" t="str">
        <f t="shared" si="255"/>
        <v/>
      </c>
      <c r="EL26" s="43" t="str">
        <f t="shared" si="256"/>
        <v/>
      </c>
      <c r="EM26" s="43" t="str">
        <f t="shared" si="257"/>
        <v/>
      </c>
      <c r="EN26" s="43" t="str">
        <f t="shared" si="258"/>
        <v/>
      </c>
      <c r="EO26" s="43" t="str">
        <f t="shared" si="259"/>
        <v/>
      </c>
      <c r="EP26" s="43" t="str">
        <f t="shared" si="260"/>
        <v/>
      </c>
      <c r="EQ26" s="43" t="str">
        <f t="shared" si="261"/>
        <v/>
      </c>
      <c r="ER26" s="43" t="str">
        <f t="shared" si="262"/>
        <v/>
      </c>
      <c r="ES26" s="43" t="str">
        <f t="shared" si="263"/>
        <v/>
      </c>
      <c r="ET26" s="43" t="str">
        <f t="shared" si="264"/>
        <v/>
      </c>
      <c r="EU26" s="43" t="str">
        <f t="shared" si="265"/>
        <v/>
      </c>
      <c r="EV26" s="43" t="str">
        <f t="shared" si="266"/>
        <v/>
      </c>
      <c r="EW26" s="43" t="str">
        <f t="shared" si="267"/>
        <v/>
      </c>
      <c r="EX26" s="43" t="str">
        <f t="shared" si="268"/>
        <v/>
      </c>
      <c r="EY26" s="43" t="str">
        <f t="shared" si="269"/>
        <v/>
      </c>
      <c r="EZ26" s="43" t="str">
        <f t="shared" si="270"/>
        <v/>
      </c>
      <c r="FA26" s="43" t="str">
        <f t="shared" si="271"/>
        <v/>
      </c>
      <c r="FB26" s="43" t="str">
        <f t="shared" si="272"/>
        <v/>
      </c>
      <c r="FC26" s="43" t="str">
        <f t="shared" si="273"/>
        <v/>
      </c>
      <c r="FD26" s="43" t="str">
        <f t="shared" si="274"/>
        <v/>
      </c>
      <c r="FE26" s="43" t="str">
        <f t="shared" si="275"/>
        <v/>
      </c>
      <c r="FF26" s="43" t="str">
        <f t="shared" si="276"/>
        <v/>
      </c>
      <c r="FG26" s="43" t="str">
        <f t="shared" si="277"/>
        <v/>
      </c>
      <c r="FH26" s="43" t="str">
        <f t="shared" si="278"/>
        <v/>
      </c>
      <c r="FI26" s="43" t="str">
        <f t="shared" si="279"/>
        <v/>
      </c>
      <c r="FJ26" s="43" t="str">
        <f t="shared" si="280"/>
        <v/>
      </c>
      <c r="FK26" s="43" t="str">
        <f t="shared" si="281"/>
        <v/>
      </c>
      <c r="FL26" s="43" t="str">
        <f t="shared" si="282"/>
        <v/>
      </c>
      <c r="FM26" s="43" t="str">
        <f t="shared" si="283"/>
        <v/>
      </c>
      <c r="FN26" s="43" t="str">
        <f t="shared" si="284"/>
        <v/>
      </c>
      <c r="FO26" s="43" t="str">
        <f t="shared" si="285"/>
        <v/>
      </c>
      <c r="FP26" s="43" t="str">
        <f t="shared" si="286"/>
        <v/>
      </c>
      <c r="FQ26" s="43" t="str">
        <f t="shared" si="287"/>
        <v/>
      </c>
      <c r="FR26" s="43" t="str">
        <f t="shared" si="288"/>
        <v/>
      </c>
      <c r="FS26" s="43" t="str">
        <f t="shared" si="289"/>
        <v/>
      </c>
    </row>
    <row r="27" s="6" customFormat="1" ht="15" spans="1:175">
      <c r="A27" s="10"/>
      <c r="B27" s="45" t="s">
        <v>223</v>
      </c>
      <c r="C27" s="10" t="s">
        <v>224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3"/>
      <c r="Q27" s="53"/>
      <c r="R27" s="53"/>
      <c r="S27" s="53"/>
      <c r="T27" s="58" t="s">
        <v>225</v>
      </c>
      <c r="U27" s="59" t="s">
        <v>216</v>
      </c>
      <c r="V27" s="60">
        <v>1600000</v>
      </c>
      <c r="W27" s="60"/>
      <c r="X27" s="60"/>
      <c r="Y27" s="60"/>
      <c r="Z27" s="60"/>
      <c r="AA27" s="60"/>
      <c r="AB27" s="60"/>
      <c r="AC27" s="60"/>
      <c r="AD27" s="63"/>
      <c r="AE27" s="60"/>
      <c r="AF27" s="60"/>
      <c r="AG27" s="64"/>
      <c r="AH27" s="60"/>
      <c r="AI27" s="60"/>
      <c r="AJ27" s="60"/>
      <c r="AK27" s="60"/>
      <c r="AL27" s="64"/>
      <c r="AM27" s="60"/>
      <c r="AN27" s="60">
        <v>8</v>
      </c>
      <c r="AO27" s="60">
        <f t="shared" si="219"/>
        <v>400</v>
      </c>
      <c r="AP27" s="60">
        <v>5</v>
      </c>
      <c r="AQ27" s="60"/>
      <c r="AR27" s="66"/>
      <c r="AS27" s="66"/>
      <c r="AT27" s="60"/>
      <c r="AU27" s="60"/>
      <c r="AV27" s="60"/>
      <c r="AW27" s="60"/>
      <c r="AX27" s="60"/>
      <c r="AY27" s="60"/>
      <c r="AZ27" s="60"/>
      <c r="BA27" s="60"/>
      <c r="BB27" s="60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60"/>
      <c r="CF27" s="60"/>
      <c r="CG27" s="60"/>
      <c r="CH27" s="60"/>
      <c r="CI27" s="60"/>
      <c r="CJ27" s="60"/>
      <c r="CK27" s="60"/>
      <c r="CL27" s="60"/>
      <c r="CM27" s="60"/>
      <c r="CN27" s="69" t="str">
        <f t="shared" si="2"/>
        <v>InitUnitState('E025',1600000,,,,,,,,,)</v>
      </c>
      <c r="CO27" s="69" t="str">
        <f t="shared" si="3"/>
        <v>InitUnitNormal('E025',,,,,,,,,8,400)</v>
      </c>
      <c r="CP27" s="69" t="str">
        <f t="shared" si="4"/>
        <v>InitUnitMagic('E025',5,,,,,,,,,)</v>
      </c>
      <c r="CQ27" s="69" t="str">
        <f t="shared" si="5"/>
        <v>InitUnitAdd('E025',,,,,,,,,,)</v>
      </c>
      <c r="CR27" s="69" t="str">
        <f t="shared" si="6"/>
        <v>InitEquipData('E025',,"",,,,,'','','','','','',"ReplaceableTextures\\CommandButtons\\BTNZ06.blp")</v>
      </c>
      <c r="CS27" s="69"/>
      <c r="CT27" s="69"/>
      <c r="CU27" s="71" t="str">
        <f t="shared" si="78"/>
        <v>|n攻击+1600000|n暴击+8%|n暴伤+400%|n伤害吸取+5%|n</v>
      </c>
      <c r="CV27" s="5" t="str">
        <f>"|Cffbbbbbb属性：|r"&amp;CU27&amp;VLOOKUP(A27,合成公式!A:P,16,FALSE)&amp;T27</f>
        <v>|Cffbbbbbb属性：|r|n攻击+1600000|n暴击+8%|n暴伤+400%|n伤害吸取+5%|n|Cff999999装备进化：未开放|r</v>
      </c>
      <c r="DB27" s="43" t="str">
        <f t="shared" si="220"/>
        <v>|n攻击+1600000</v>
      </c>
      <c r="DC27" s="43" t="str">
        <f t="shared" si="221"/>
        <v/>
      </c>
      <c r="DD27" s="43" t="str">
        <f t="shared" si="222"/>
        <v/>
      </c>
      <c r="DE27" s="43" t="str">
        <f t="shared" si="223"/>
        <v/>
      </c>
      <c r="DF27" s="43" t="str">
        <f t="shared" si="224"/>
        <v/>
      </c>
      <c r="DG27" s="43" t="str">
        <f t="shared" si="225"/>
        <v/>
      </c>
      <c r="DH27" s="43" t="str">
        <f t="shared" si="226"/>
        <v/>
      </c>
      <c r="DI27" s="43" t="str">
        <f t="shared" si="227"/>
        <v/>
      </c>
      <c r="DJ27" s="43" t="str">
        <f t="shared" si="228"/>
        <v/>
      </c>
      <c r="DK27" s="43" t="str">
        <f t="shared" si="229"/>
        <v/>
      </c>
      <c r="DL27" s="43" t="str">
        <f t="shared" si="230"/>
        <v/>
      </c>
      <c r="DM27" s="43" t="str">
        <f t="shared" si="231"/>
        <v/>
      </c>
      <c r="DN27" s="43" t="str">
        <f t="shared" si="232"/>
        <v/>
      </c>
      <c r="DO27" s="43" t="str">
        <f t="shared" si="233"/>
        <v/>
      </c>
      <c r="DP27" s="43" t="str">
        <f t="shared" si="234"/>
        <v/>
      </c>
      <c r="DQ27" s="43" t="str">
        <f t="shared" si="235"/>
        <v/>
      </c>
      <c r="DR27" s="43" t="str">
        <f t="shared" si="236"/>
        <v/>
      </c>
      <c r="DS27" s="43" t="str">
        <f t="shared" si="237"/>
        <v/>
      </c>
      <c r="DT27" s="43" t="str">
        <f t="shared" si="238"/>
        <v>|n暴击+8%</v>
      </c>
      <c r="DU27" s="43" t="str">
        <f t="shared" si="239"/>
        <v>|n暴伤+400%</v>
      </c>
      <c r="DV27" s="43" t="str">
        <f t="shared" si="240"/>
        <v>|n伤害吸取+5%</v>
      </c>
      <c r="DW27" s="43" t="str">
        <f t="shared" si="241"/>
        <v/>
      </c>
      <c r="DX27" s="43" t="str">
        <f t="shared" si="242"/>
        <v/>
      </c>
      <c r="DY27" s="43" t="str">
        <f t="shared" si="243"/>
        <v/>
      </c>
      <c r="DZ27" s="43" t="str">
        <f t="shared" si="244"/>
        <v/>
      </c>
      <c r="EA27" s="43" t="str">
        <f t="shared" si="245"/>
        <v/>
      </c>
      <c r="EB27" s="43" t="str">
        <f t="shared" si="246"/>
        <v/>
      </c>
      <c r="EC27" s="43" t="str">
        <f t="shared" si="247"/>
        <v/>
      </c>
      <c r="ED27" s="43" t="str">
        <f t="shared" si="248"/>
        <v/>
      </c>
      <c r="EE27" s="43" t="str">
        <f t="shared" si="249"/>
        <v/>
      </c>
      <c r="EF27" s="43" t="str">
        <f t="shared" si="250"/>
        <v/>
      </c>
      <c r="EG27" s="43" t="str">
        <f t="shared" si="251"/>
        <v/>
      </c>
      <c r="EH27" s="43" t="str">
        <f t="shared" si="252"/>
        <v/>
      </c>
      <c r="EI27" s="43" t="str">
        <f t="shared" si="253"/>
        <v/>
      </c>
      <c r="EJ27" s="43" t="str">
        <f t="shared" si="254"/>
        <v/>
      </c>
      <c r="EK27" s="43" t="str">
        <f t="shared" si="255"/>
        <v/>
      </c>
      <c r="EL27" s="43" t="str">
        <f t="shared" si="256"/>
        <v/>
      </c>
      <c r="EM27" s="43" t="str">
        <f t="shared" si="257"/>
        <v/>
      </c>
      <c r="EN27" s="43" t="str">
        <f t="shared" si="258"/>
        <v/>
      </c>
      <c r="EO27" s="43" t="str">
        <f t="shared" si="259"/>
        <v/>
      </c>
      <c r="EP27" s="43" t="str">
        <f t="shared" si="260"/>
        <v/>
      </c>
      <c r="EQ27" s="43" t="str">
        <f t="shared" si="261"/>
        <v/>
      </c>
      <c r="ER27" s="43" t="str">
        <f t="shared" si="262"/>
        <v/>
      </c>
      <c r="ES27" s="43" t="str">
        <f t="shared" si="263"/>
        <v/>
      </c>
      <c r="ET27" s="43" t="str">
        <f t="shared" si="264"/>
        <v/>
      </c>
      <c r="EU27" s="43" t="str">
        <f t="shared" si="265"/>
        <v/>
      </c>
      <c r="EV27" s="43" t="str">
        <f t="shared" si="266"/>
        <v/>
      </c>
      <c r="EW27" s="43" t="str">
        <f t="shared" si="267"/>
        <v/>
      </c>
      <c r="EX27" s="43" t="str">
        <f t="shared" si="268"/>
        <v/>
      </c>
      <c r="EY27" s="43" t="str">
        <f t="shared" si="269"/>
        <v/>
      </c>
      <c r="EZ27" s="43" t="str">
        <f t="shared" si="270"/>
        <v/>
      </c>
      <c r="FA27" s="43" t="str">
        <f t="shared" si="271"/>
        <v/>
      </c>
      <c r="FB27" s="43" t="str">
        <f t="shared" si="272"/>
        <v/>
      </c>
      <c r="FC27" s="43" t="str">
        <f t="shared" si="273"/>
        <v/>
      </c>
      <c r="FD27" s="43" t="str">
        <f t="shared" si="274"/>
        <v/>
      </c>
      <c r="FE27" s="43" t="str">
        <f t="shared" si="275"/>
        <v/>
      </c>
      <c r="FF27" s="43" t="str">
        <f t="shared" si="276"/>
        <v/>
      </c>
      <c r="FG27" s="43" t="str">
        <f t="shared" si="277"/>
        <v/>
      </c>
      <c r="FH27" s="43" t="str">
        <f t="shared" si="278"/>
        <v/>
      </c>
      <c r="FI27" s="43" t="str">
        <f t="shared" si="279"/>
        <v/>
      </c>
      <c r="FJ27" s="43" t="str">
        <f t="shared" si="280"/>
        <v/>
      </c>
      <c r="FK27" s="43" t="str">
        <f t="shared" si="281"/>
        <v/>
      </c>
      <c r="FL27" s="43" t="str">
        <f t="shared" si="282"/>
        <v/>
      </c>
      <c r="FM27" s="43" t="str">
        <f t="shared" si="283"/>
        <v/>
      </c>
      <c r="FN27" s="43" t="str">
        <f t="shared" si="284"/>
        <v/>
      </c>
      <c r="FO27" s="43" t="str">
        <f t="shared" si="285"/>
        <v/>
      </c>
      <c r="FP27" s="43" t="str">
        <f t="shared" si="286"/>
        <v/>
      </c>
      <c r="FQ27" s="43" t="str">
        <f t="shared" si="287"/>
        <v/>
      </c>
      <c r="FR27" s="43" t="str">
        <f t="shared" si="288"/>
        <v/>
      </c>
      <c r="FS27" s="43" t="str">
        <f t="shared" si="289"/>
        <v/>
      </c>
    </row>
    <row r="28" s="6" customFormat="1" ht="15" spans="1:175">
      <c r="A28" s="10"/>
      <c r="B28" s="45" t="s">
        <v>226</v>
      </c>
      <c r="C28" s="3" t="s">
        <v>227</v>
      </c>
      <c r="D28" s="7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3"/>
      <c r="Q28" s="53"/>
      <c r="R28" s="53"/>
      <c r="S28" s="53"/>
      <c r="T28" s="58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9" t="s">
        <v>228</v>
      </c>
      <c r="V28" s="60">
        <f>Z28/5</f>
        <v>150</v>
      </c>
      <c r="W28" s="60"/>
      <c r="X28" s="60"/>
      <c r="Y28" s="60"/>
      <c r="Z28" s="60">
        <v>750</v>
      </c>
      <c r="AA28" s="60"/>
      <c r="AB28" s="60">
        <f t="shared" ref="AB28:AB32" si="290">Z28/50</f>
        <v>15</v>
      </c>
      <c r="AC28" s="60"/>
      <c r="AD28" s="60">
        <v>10</v>
      </c>
      <c r="AE28" s="60">
        <v>3</v>
      </c>
      <c r="AF28" s="60"/>
      <c r="AG28" s="64"/>
      <c r="AH28" s="60"/>
      <c r="AI28" s="60"/>
      <c r="AJ28" s="60"/>
      <c r="AK28" s="60"/>
      <c r="AL28" s="64"/>
      <c r="AM28" s="60"/>
      <c r="AN28" s="60"/>
      <c r="AO28" s="60"/>
      <c r="AP28" s="60"/>
      <c r="AQ28" s="60"/>
      <c r="AR28" s="66"/>
      <c r="AS28" s="66"/>
      <c r="AT28" s="60"/>
      <c r="AU28" s="60"/>
      <c r="AV28" s="60"/>
      <c r="AW28" s="60"/>
      <c r="AX28" s="60"/>
      <c r="AY28" s="60"/>
      <c r="AZ28" s="60"/>
      <c r="BA28" s="60"/>
      <c r="BB28" s="60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60"/>
      <c r="CF28" s="60"/>
      <c r="CG28" s="60"/>
      <c r="CH28" s="60"/>
      <c r="CI28" s="60"/>
      <c r="CJ28" s="60"/>
      <c r="CK28" s="60"/>
      <c r="CL28" s="60"/>
      <c r="CM28" s="60"/>
      <c r="CN28" s="69" t="str">
        <f t="shared" si="2"/>
        <v>InitUnitState('E101',150,,,,750,,15,,10,3)</v>
      </c>
      <c r="CO28" s="69" t="str">
        <f t="shared" si="3"/>
        <v>InitUnitNormal('E101',,,,,,,,,,)</v>
      </c>
      <c r="CP28" s="69" t="str">
        <f t="shared" si="4"/>
        <v>InitUnitMagic('E101',,,,,,,,,,)</v>
      </c>
      <c r="CQ28" s="69" t="str">
        <f t="shared" si="5"/>
        <v>InitUnitAdd('E101',,,,,,,1,,,)</v>
      </c>
      <c r="CR28" s="69" t="str">
        <f t="shared" si="6"/>
        <v>InitEquipData('E101',150,"",,E102,,50,'','','','','','',"ReplaceableTextures\\CommandButtons\\BTNZ06.blp")</v>
      </c>
      <c r="CS28" s="69"/>
      <c r="CT28" s="69"/>
      <c r="CU28" s="71" t="str">
        <f t="shared" si="78"/>
        <v>|n攻击+150|n生命值+750|n生命回复+15|n攻速+10%|n闪避+3%|n每秒业力+1|n</v>
      </c>
      <c r="CV28" s="5" t="str">
        <f>"|Cffbbbbbb属性：|r"&amp;CU28&amp;VLOOKUP(A28,合成公式!A:P,16,FALSE)&amp;T28</f>
        <v>|Cffbbbbbb属性：|r|n攻击+150|n生命值+750|n生命回复+15|n攻速+10%|n闪避+3%|n每秒业力+1|n|n攻击6%概率范围|cffff4646业力*15|r魔法伤害|n|n|Cff00ff7f击杀150只怪有50%概率升级|r</v>
      </c>
      <c r="DB28" s="43" t="str">
        <f t="shared" si="220"/>
        <v>|n攻击+150</v>
      </c>
      <c r="DC28" s="43" t="str">
        <f t="shared" si="221"/>
        <v/>
      </c>
      <c r="DD28" s="43" t="str">
        <f t="shared" si="222"/>
        <v/>
      </c>
      <c r="DE28" s="43" t="str">
        <f t="shared" si="223"/>
        <v/>
      </c>
      <c r="DF28" s="43" t="str">
        <f t="shared" si="224"/>
        <v>|n生命值+750</v>
      </c>
      <c r="DG28" s="43" t="str">
        <f t="shared" si="225"/>
        <v/>
      </c>
      <c r="DH28" s="43" t="str">
        <f t="shared" si="226"/>
        <v>|n生命回复+15</v>
      </c>
      <c r="DI28" s="43" t="str">
        <f t="shared" si="227"/>
        <v/>
      </c>
      <c r="DJ28" s="43" t="str">
        <f t="shared" si="228"/>
        <v>|n攻速+10%</v>
      </c>
      <c r="DK28" s="43" t="str">
        <f t="shared" si="229"/>
        <v>|n闪避+3%</v>
      </c>
      <c r="DL28" s="43" t="str">
        <f t="shared" si="230"/>
        <v/>
      </c>
      <c r="DM28" s="43" t="str">
        <f t="shared" si="231"/>
        <v/>
      </c>
      <c r="DN28" s="43" t="str">
        <f t="shared" si="232"/>
        <v/>
      </c>
      <c r="DO28" s="43" t="str">
        <f t="shared" si="233"/>
        <v/>
      </c>
      <c r="DP28" s="43" t="str">
        <f t="shared" si="234"/>
        <v/>
      </c>
      <c r="DQ28" s="43" t="str">
        <f t="shared" si="235"/>
        <v/>
      </c>
      <c r="DR28" s="43" t="str">
        <f t="shared" si="236"/>
        <v/>
      </c>
      <c r="DS28" s="43" t="str">
        <f t="shared" si="237"/>
        <v/>
      </c>
      <c r="DT28" s="43" t="str">
        <f t="shared" si="238"/>
        <v/>
      </c>
      <c r="DU28" s="43" t="str">
        <f t="shared" si="239"/>
        <v/>
      </c>
      <c r="DV28" s="43" t="str">
        <f t="shared" si="240"/>
        <v/>
      </c>
      <c r="DW28" s="43" t="str">
        <f t="shared" si="241"/>
        <v/>
      </c>
      <c r="DX28" s="43" t="str">
        <f t="shared" si="242"/>
        <v/>
      </c>
      <c r="DY28" s="43" t="str">
        <f t="shared" si="243"/>
        <v/>
      </c>
      <c r="DZ28" s="43" t="str">
        <f t="shared" si="244"/>
        <v/>
      </c>
      <c r="EA28" s="43" t="str">
        <f t="shared" si="245"/>
        <v/>
      </c>
      <c r="EB28" s="43" t="str">
        <f t="shared" si="246"/>
        <v/>
      </c>
      <c r="EC28" s="43" t="str">
        <f t="shared" si="247"/>
        <v/>
      </c>
      <c r="ED28" s="43" t="str">
        <f t="shared" si="248"/>
        <v/>
      </c>
      <c r="EE28" s="43" t="str">
        <f t="shared" si="249"/>
        <v/>
      </c>
      <c r="EF28" s="43" t="str">
        <f t="shared" si="250"/>
        <v/>
      </c>
      <c r="EG28" s="43" t="str">
        <f t="shared" si="251"/>
        <v/>
      </c>
      <c r="EH28" s="43" t="str">
        <f t="shared" si="252"/>
        <v/>
      </c>
      <c r="EI28" s="43" t="str">
        <f t="shared" si="253"/>
        <v/>
      </c>
      <c r="EJ28" s="43" t="str">
        <f t="shared" si="254"/>
        <v/>
      </c>
      <c r="EK28" s="43" t="str">
        <f t="shared" si="255"/>
        <v/>
      </c>
      <c r="EL28" s="43" t="str">
        <f t="shared" si="256"/>
        <v/>
      </c>
      <c r="EM28" s="43" t="str">
        <f t="shared" si="257"/>
        <v/>
      </c>
      <c r="EN28" s="43" t="str">
        <f t="shared" si="258"/>
        <v/>
      </c>
      <c r="EO28" s="43" t="str">
        <f t="shared" si="259"/>
        <v/>
      </c>
      <c r="EP28" s="43" t="str">
        <f t="shared" si="260"/>
        <v/>
      </c>
      <c r="EQ28" s="43" t="str">
        <f t="shared" si="261"/>
        <v/>
      </c>
      <c r="ER28" s="43" t="str">
        <f t="shared" si="262"/>
        <v/>
      </c>
      <c r="ES28" s="43" t="str">
        <f t="shared" si="263"/>
        <v/>
      </c>
      <c r="ET28" s="43" t="str">
        <f t="shared" si="264"/>
        <v/>
      </c>
      <c r="EU28" s="43" t="str">
        <f t="shared" si="265"/>
        <v/>
      </c>
      <c r="EV28" s="43" t="str">
        <f t="shared" si="266"/>
        <v/>
      </c>
      <c r="EW28" s="43" t="str">
        <f t="shared" si="267"/>
        <v>|n每秒业力+1</v>
      </c>
      <c r="EX28" s="43" t="str">
        <f t="shared" si="268"/>
        <v/>
      </c>
      <c r="EY28" s="43" t="str">
        <f t="shared" si="269"/>
        <v/>
      </c>
      <c r="EZ28" s="43" t="str">
        <f t="shared" si="270"/>
        <v/>
      </c>
      <c r="FA28" s="43" t="str">
        <f t="shared" si="271"/>
        <v/>
      </c>
      <c r="FB28" s="43" t="str">
        <f t="shared" si="272"/>
        <v/>
      </c>
      <c r="FC28" s="43" t="str">
        <f t="shared" si="273"/>
        <v/>
      </c>
      <c r="FD28" s="43" t="str">
        <f t="shared" si="274"/>
        <v/>
      </c>
      <c r="FE28" s="43" t="str">
        <f t="shared" si="275"/>
        <v/>
      </c>
      <c r="FF28" s="43" t="str">
        <f t="shared" si="276"/>
        <v/>
      </c>
      <c r="FG28" s="43" t="str">
        <f t="shared" si="277"/>
        <v/>
      </c>
      <c r="FH28" s="43" t="str">
        <f t="shared" si="278"/>
        <v/>
      </c>
      <c r="FI28" s="43" t="str">
        <f t="shared" si="279"/>
        <v/>
      </c>
      <c r="FJ28" s="43" t="str">
        <f t="shared" si="280"/>
        <v/>
      </c>
      <c r="FK28" s="43" t="str">
        <f t="shared" si="281"/>
        <v/>
      </c>
      <c r="FL28" s="43" t="str">
        <f t="shared" si="282"/>
        <v/>
      </c>
      <c r="FM28" s="43" t="str">
        <f t="shared" si="283"/>
        <v/>
      </c>
      <c r="FN28" s="43" t="str">
        <f t="shared" si="284"/>
        <v/>
      </c>
      <c r="FO28" s="43" t="str">
        <f t="shared" si="285"/>
        <v/>
      </c>
      <c r="FP28" s="43" t="str">
        <f t="shared" si="286"/>
        <v/>
      </c>
      <c r="FQ28" s="43" t="str">
        <f t="shared" si="287"/>
        <v/>
      </c>
      <c r="FR28" s="43" t="str">
        <f t="shared" si="288"/>
        <v/>
      </c>
      <c r="FS28" s="43" t="str">
        <f t="shared" si="289"/>
        <v/>
      </c>
    </row>
    <row r="29" s="6" customFormat="1" ht="15" spans="1:175">
      <c r="A29" s="10"/>
      <c r="B29" s="45" t="s">
        <v>229</v>
      </c>
      <c r="C29" s="3" t="s">
        <v>230</v>
      </c>
      <c r="D29" s="7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3"/>
      <c r="Q29" s="53"/>
      <c r="R29" s="53"/>
      <c r="S29" s="53"/>
      <c r="T29" s="58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9" t="s">
        <v>228</v>
      </c>
      <c r="V29" s="60">
        <f t="shared" ref="V29:V52" si="293">Z29/5</f>
        <v>300</v>
      </c>
      <c r="W29" s="60"/>
      <c r="X29" s="60"/>
      <c r="Y29"/>
      <c r="Z29" s="60">
        <v>1500</v>
      </c>
      <c r="AA29" s="60"/>
      <c r="AB29" s="60">
        <f t="shared" si="290"/>
        <v>30</v>
      </c>
      <c r="AC29" s="60"/>
      <c r="AD29" s="60">
        <v>15</v>
      </c>
      <c r="AE29" s="60">
        <v>3</v>
      </c>
      <c r="AF29" s="60"/>
      <c r="AG29" s="64"/>
      <c r="AH29" s="60"/>
      <c r="AI29" s="60"/>
      <c r="AJ29" s="60"/>
      <c r="AK29" s="60"/>
      <c r="AL29" s="64"/>
      <c r="AM29" s="60"/>
      <c r="AN29" s="60"/>
      <c r="AO29" s="60"/>
      <c r="AP29" s="60"/>
      <c r="AQ29" s="60"/>
      <c r="AR29" s="66"/>
      <c r="AS29" s="66"/>
      <c r="AT29" s="60"/>
      <c r="AU29" s="60"/>
      <c r="AV29" s="60"/>
      <c r="AW29" s="60"/>
      <c r="AX29" s="60"/>
      <c r="AY29" s="60"/>
      <c r="AZ29" s="60"/>
      <c r="BA29" s="60"/>
      <c r="BB29" s="60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60"/>
      <c r="CF29" s="60"/>
      <c r="CG29" s="60"/>
      <c r="CH29" s="60"/>
      <c r="CI29" s="60"/>
      <c r="CJ29" s="60"/>
      <c r="CK29" s="60"/>
      <c r="CL29" s="60"/>
      <c r="CM29" s="60"/>
      <c r="CN29" s="69" t="str">
        <f t="shared" si="2"/>
        <v>InitUnitState('E102',300,,,,1500,,30,,15,3)</v>
      </c>
      <c r="CO29" s="69" t="str">
        <f t="shared" si="3"/>
        <v>InitUnitNormal('E102',,,,,,,,,,)</v>
      </c>
      <c r="CP29" s="69" t="str">
        <f t="shared" si="4"/>
        <v>InitUnitMagic('E102',,,,,,,,,,)</v>
      </c>
      <c r="CQ29" s="69" t="str">
        <f t="shared" si="5"/>
        <v>InitUnitAdd('E102',,,,,,,2,,,)</v>
      </c>
      <c r="CR29" s="69" t="str">
        <f t="shared" si="6"/>
        <v>InitEquipData('E102',150,"",,E103,,50,'','','','','','',"ReplaceableTextures\\CommandButtons\\BTNZ06.blp")</v>
      </c>
      <c r="CS29" s="69"/>
      <c r="CT29" s="69"/>
      <c r="CU29" s="71" t="str">
        <f t="shared" si="78"/>
        <v>|n攻击+300|n生命值+1500|n生命回复+30|n攻速+15%|n闪避+3%|n每秒业力+2|n</v>
      </c>
      <c r="CV29" s="5" t="str">
        <f>"|Cffbbbbbb属性：|r"&amp;CU29&amp;VLOOKUP(A29,合成公式!A:P,16,FALSE)&amp;T29</f>
        <v>|Cffbbbbbb属性：|r|n攻击+300|n生命值+1500|n生命回复+30|n攻速+15%|n闪避+3%|n每秒业力+2|n|n攻击6%概率范围|cffff4646业力*15|r魔法伤害|n|n|Cff00ff7f击杀150只怪有50%概率升级|r</v>
      </c>
      <c r="DB29" s="43" t="str">
        <f t="shared" si="220"/>
        <v>|n攻击+300</v>
      </c>
      <c r="DC29" s="43" t="str">
        <f t="shared" si="221"/>
        <v/>
      </c>
      <c r="DD29" s="43" t="str">
        <f t="shared" si="222"/>
        <v/>
      </c>
      <c r="DE29" s="43" t="str">
        <f t="shared" si="223"/>
        <v/>
      </c>
      <c r="DF29" s="43" t="str">
        <f t="shared" si="224"/>
        <v>|n生命值+1500</v>
      </c>
      <c r="DG29" s="43" t="str">
        <f t="shared" si="225"/>
        <v/>
      </c>
      <c r="DH29" s="43" t="str">
        <f t="shared" si="226"/>
        <v>|n生命回复+30</v>
      </c>
      <c r="DI29" s="43" t="str">
        <f t="shared" si="227"/>
        <v/>
      </c>
      <c r="DJ29" s="43" t="str">
        <f t="shared" si="228"/>
        <v>|n攻速+15%</v>
      </c>
      <c r="DK29" s="43" t="str">
        <f t="shared" si="229"/>
        <v>|n闪避+3%</v>
      </c>
      <c r="DL29" s="43" t="str">
        <f t="shared" si="230"/>
        <v/>
      </c>
      <c r="DM29" s="43" t="str">
        <f t="shared" si="231"/>
        <v/>
      </c>
      <c r="DN29" s="43" t="str">
        <f t="shared" si="232"/>
        <v/>
      </c>
      <c r="DO29" s="43" t="str">
        <f t="shared" si="233"/>
        <v/>
      </c>
      <c r="DP29" s="43" t="str">
        <f t="shared" si="234"/>
        <v/>
      </c>
      <c r="DQ29" s="43" t="str">
        <f t="shared" si="235"/>
        <v/>
      </c>
      <c r="DR29" s="43" t="str">
        <f t="shared" si="236"/>
        <v/>
      </c>
      <c r="DS29" s="43" t="str">
        <f t="shared" si="237"/>
        <v/>
      </c>
      <c r="DT29" s="43" t="str">
        <f t="shared" si="238"/>
        <v/>
      </c>
      <c r="DU29" s="43" t="str">
        <f t="shared" si="239"/>
        <v/>
      </c>
      <c r="DV29" s="43" t="str">
        <f t="shared" si="240"/>
        <v/>
      </c>
      <c r="DW29" s="43" t="str">
        <f t="shared" si="241"/>
        <v/>
      </c>
      <c r="DX29" s="43" t="str">
        <f t="shared" si="242"/>
        <v/>
      </c>
      <c r="DY29" s="43" t="str">
        <f t="shared" si="243"/>
        <v/>
      </c>
      <c r="DZ29" s="43" t="str">
        <f t="shared" si="244"/>
        <v/>
      </c>
      <c r="EA29" s="43" t="str">
        <f t="shared" si="245"/>
        <v/>
      </c>
      <c r="EB29" s="43" t="str">
        <f t="shared" si="246"/>
        <v/>
      </c>
      <c r="EC29" s="43" t="str">
        <f t="shared" si="247"/>
        <v/>
      </c>
      <c r="ED29" s="43" t="str">
        <f t="shared" si="248"/>
        <v/>
      </c>
      <c r="EE29" s="43" t="str">
        <f t="shared" si="249"/>
        <v/>
      </c>
      <c r="EF29" s="43" t="str">
        <f t="shared" si="250"/>
        <v/>
      </c>
      <c r="EG29" s="43" t="str">
        <f t="shared" si="251"/>
        <v/>
      </c>
      <c r="EH29" s="43" t="str">
        <f t="shared" si="252"/>
        <v/>
      </c>
      <c r="EI29" s="43" t="str">
        <f t="shared" si="253"/>
        <v/>
      </c>
      <c r="EJ29" s="43" t="str">
        <f t="shared" si="254"/>
        <v/>
      </c>
      <c r="EK29" s="43" t="str">
        <f t="shared" si="255"/>
        <v/>
      </c>
      <c r="EL29" s="43" t="str">
        <f t="shared" si="256"/>
        <v/>
      </c>
      <c r="EM29" s="43" t="str">
        <f t="shared" si="257"/>
        <v/>
      </c>
      <c r="EN29" s="43" t="str">
        <f t="shared" si="258"/>
        <v/>
      </c>
      <c r="EO29" s="43" t="str">
        <f t="shared" si="259"/>
        <v/>
      </c>
      <c r="EP29" s="43" t="str">
        <f t="shared" si="260"/>
        <v/>
      </c>
      <c r="EQ29" s="43" t="str">
        <f t="shared" si="261"/>
        <v/>
      </c>
      <c r="ER29" s="43" t="str">
        <f t="shared" si="262"/>
        <v/>
      </c>
      <c r="ES29" s="43" t="str">
        <f t="shared" si="263"/>
        <v/>
      </c>
      <c r="ET29" s="43" t="str">
        <f t="shared" si="264"/>
        <v/>
      </c>
      <c r="EU29" s="43" t="str">
        <f t="shared" si="265"/>
        <v/>
      </c>
      <c r="EV29" s="43" t="str">
        <f t="shared" si="266"/>
        <v/>
      </c>
      <c r="EW29" s="43" t="str">
        <f t="shared" si="267"/>
        <v>|n每秒业力+2</v>
      </c>
      <c r="EX29" s="43" t="str">
        <f t="shared" si="268"/>
        <v/>
      </c>
      <c r="EY29" s="43" t="str">
        <f t="shared" si="269"/>
        <v/>
      </c>
      <c r="EZ29" s="43" t="str">
        <f t="shared" si="270"/>
        <v/>
      </c>
      <c r="FA29" s="43" t="str">
        <f t="shared" si="271"/>
        <v/>
      </c>
      <c r="FB29" s="43" t="str">
        <f t="shared" si="272"/>
        <v/>
      </c>
      <c r="FC29" s="43" t="str">
        <f t="shared" si="273"/>
        <v/>
      </c>
      <c r="FD29" s="43" t="str">
        <f t="shared" si="274"/>
        <v/>
      </c>
      <c r="FE29" s="43" t="str">
        <f t="shared" si="275"/>
        <v/>
      </c>
      <c r="FF29" s="43" t="str">
        <f t="shared" si="276"/>
        <v/>
      </c>
      <c r="FG29" s="43" t="str">
        <f t="shared" si="277"/>
        <v/>
      </c>
      <c r="FH29" s="43" t="str">
        <f t="shared" si="278"/>
        <v/>
      </c>
      <c r="FI29" s="43" t="str">
        <f t="shared" si="279"/>
        <v/>
      </c>
      <c r="FJ29" s="43" t="str">
        <f t="shared" si="280"/>
        <v/>
      </c>
      <c r="FK29" s="43" t="str">
        <f t="shared" si="281"/>
        <v/>
      </c>
      <c r="FL29" s="43" t="str">
        <f t="shared" si="282"/>
        <v/>
      </c>
      <c r="FM29" s="43" t="str">
        <f t="shared" si="283"/>
        <v/>
      </c>
      <c r="FN29" s="43" t="str">
        <f t="shared" si="284"/>
        <v/>
      </c>
      <c r="FO29" s="43" t="str">
        <f t="shared" si="285"/>
        <v/>
      </c>
      <c r="FP29" s="43" t="str">
        <f t="shared" si="286"/>
        <v/>
      </c>
      <c r="FQ29" s="43" t="str">
        <f t="shared" si="287"/>
        <v/>
      </c>
      <c r="FR29" s="43" t="str">
        <f t="shared" si="288"/>
        <v/>
      </c>
      <c r="FS29" s="43" t="str">
        <f t="shared" si="289"/>
        <v/>
      </c>
    </row>
    <row r="30" s="6" customFormat="1" ht="15" spans="1:175">
      <c r="A30" s="10"/>
      <c r="B30" s="45" t="s">
        <v>231</v>
      </c>
      <c r="C30" s="3" t="s">
        <v>232</v>
      </c>
      <c r="D30" s="7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3"/>
      <c r="Q30" s="53"/>
      <c r="R30" s="53"/>
      <c r="S30" s="53"/>
      <c r="T30" s="58" t="str">
        <f t="shared" si="292"/>
        <v>|n攻击6%概率范围|cffff4646业力*15|r魔法伤害|n|n|Cff00ff7f击杀150只怪有50%概率升级|r</v>
      </c>
      <c r="U30" s="59" t="s">
        <v>228</v>
      </c>
      <c r="V30" s="60">
        <f t="shared" si="293"/>
        <v>600</v>
      </c>
      <c r="W30" s="60"/>
      <c r="X30" s="60"/>
      <c r="Y30"/>
      <c r="Z30" s="60">
        <v>3000</v>
      </c>
      <c r="AA30" s="60"/>
      <c r="AB30" s="60">
        <f t="shared" si="290"/>
        <v>60</v>
      </c>
      <c r="AC30" s="60"/>
      <c r="AD30" s="60">
        <v>20</v>
      </c>
      <c r="AE30" s="60">
        <v>3</v>
      </c>
      <c r="AF30" s="60"/>
      <c r="AG30" s="64"/>
      <c r="AH30"/>
      <c r="AI30" s="60"/>
      <c r="AJ30" s="60"/>
      <c r="AK30" s="60"/>
      <c r="AL30" s="64"/>
      <c r="AM30" s="60"/>
      <c r="AN30" s="60"/>
      <c r="AO30" s="60"/>
      <c r="AP30" s="60"/>
      <c r="AQ30" s="60"/>
      <c r="AR30" s="66"/>
      <c r="AS30" s="66"/>
      <c r="AT30" s="60"/>
      <c r="AU30" s="60"/>
      <c r="AV30" s="60"/>
      <c r="AW30" s="60"/>
      <c r="AX30" s="60"/>
      <c r="AY30" s="60"/>
      <c r="AZ30" s="60"/>
      <c r="BA30" s="60"/>
      <c r="BB30" s="6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60"/>
      <c r="CF30" s="60"/>
      <c r="CG30" s="60"/>
      <c r="CH30" s="60"/>
      <c r="CI30" s="60"/>
      <c r="CJ30" s="60"/>
      <c r="CK30" s="60"/>
      <c r="CL30" s="60"/>
      <c r="CM30" s="60"/>
      <c r="CN30" s="69" t="str">
        <f t="shared" si="2"/>
        <v>InitUnitState('E103',600,,,,3000,,60,,20,3)</v>
      </c>
      <c r="CO30" s="69" t="str">
        <f t="shared" si="3"/>
        <v>InitUnitNormal('E103',,,,,,,,,,)</v>
      </c>
      <c r="CP30" s="69" t="str">
        <f t="shared" si="4"/>
        <v>InitUnitMagic('E103',,,,,,,,,,)</v>
      </c>
      <c r="CQ30" s="69" t="str">
        <f t="shared" si="5"/>
        <v>InitUnitAdd('E103',,,,,,,3,,,)</v>
      </c>
      <c r="CR30" s="69" t="str">
        <f t="shared" si="6"/>
        <v>InitEquipData('E103',150,"",,E104,,50,'','','','','','',"ReplaceableTextures\\CommandButtons\\BTNZ06.blp")</v>
      </c>
      <c r="CS30" s="69"/>
      <c r="CT30" s="69"/>
      <c r="CU30" s="71" t="str">
        <f t="shared" si="78"/>
        <v>|n攻击+600|n生命值+3000|n生命回复+60|n攻速+20%|n闪避+3%|n每秒业力+3|n</v>
      </c>
      <c r="CV30" s="5" t="str">
        <f>"|Cffbbbbbb属性：|r"&amp;CU30&amp;VLOOKUP(A30,合成公式!A:P,16,FALSE)&amp;T30</f>
        <v>|Cffbbbbbb属性：|r|n攻击+600|n生命值+3000|n生命回复+60|n攻速+20%|n闪避+3%|n每秒业力+3|n|n攻击6%概率范围|cffff4646业力*15|r魔法伤害|n|n|Cff00ff7f击杀150只怪有50%概率升级|r</v>
      </c>
      <c r="DB30" s="43" t="str">
        <f t="shared" si="220"/>
        <v>|n攻击+600</v>
      </c>
      <c r="DC30" s="43" t="str">
        <f t="shared" si="221"/>
        <v/>
      </c>
      <c r="DD30" s="43" t="str">
        <f t="shared" si="222"/>
        <v/>
      </c>
      <c r="DE30" s="43" t="str">
        <f t="shared" si="223"/>
        <v/>
      </c>
      <c r="DF30" s="43" t="str">
        <f t="shared" si="224"/>
        <v>|n生命值+3000</v>
      </c>
      <c r="DG30" s="43" t="str">
        <f t="shared" si="225"/>
        <v/>
      </c>
      <c r="DH30" s="43" t="str">
        <f t="shared" si="226"/>
        <v>|n生命回复+60</v>
      </c>
      <c r="DI30" s="43" t="str">
        <f t="shared" si="227"/>
        <v/>
      </c>
      <c r="DJ30" s="43" t="str">
        <f t="shared" si="228"/>
        <v>|n攻速+20%</v>
      </c>
      <c r="DK30" s="43" t="str">
        <f t="shared" si="229"/>
        <v>|n闪避+3%</v>
      </c>
      <c r="DL30" s="43" t="str">
        <f t="shared" si="230"/>
        <v/>
      </c>
      <c r="DM30" s="43" t="str">
        <f t="shared" si="231"/>
        <v/>
      </c>
      <c r="DN30" s="43" t="str">
        <f t="shared" si="232"/>
        <v/>
      </c>
      <c r="DO30" s="43" t="str">
        <f t="shared" si="233"/>
        <v/>
      </c>
      <c r="DP30" s="43" t="str">
        <f t="shared" si="234"/>
        <v/>
      </c>
      <c r="DQ30" s="43" t="str">
        <f t="shared" si="235"/>
        <v/>
      </c>
      <c r="DR30" s="43" t="str">
        <f t="shared" si="236"/>
        <v/>
      </c>
      <c r="DS30" s="43" t="str">
        <f t="shared" si="237"/>
        <v/>
      </c>
      <c r="DT30" s="43" t="str">
        <f t="shared" si="238"/>
        <v/>
      </c>
      <c r="DU30" s="43" t="str">
        <f t="shared" si="239"/>
        <v/>
      </c>
      <c r="DV30" s="43" t="str">
        <f t="shared" si="240"/>
        <v/>
      </c>
      <c r="DW30" s="43" t="str">
        <f t="shared" si="241"/>
        <v/>
      </c>
      <c r="DX30" s="43" t="str">
        <f t="shared" si="242"/>
        <v/>
      </c>
      <c r="DY30" s="43" t="str">
        <f t="shared" si="243"/>
        <v/>
      </c>
      <c r="DZ30" s="43" t="str">
        <f t="shared" si="244"/>
        <v/>
      </c>
      <c r="EA30" s="43" t="str">
        <f t="shared" si="245"/>
        <v/>
      </c>
      <c r="EB30" s="43" t="str">
        <f t="shared" si="246"/>
        <v/>
      </c>
      <c r="EC30" s="43" t="str">
        <f t="shared" si="247"/>
        <v/>
      </c>
      <c r="ED30" s="43" t="str">
        <f t="shared" si="248"/>
        <v/>
      </c>
      <c r="EE30" s="43" t="str">
        <f t="shared" si="249"/>
        <v/>
      </c>
      <c r="EF30" s="43" t="str">
        <f t="shared" si="250"/>
        <v/>
      </c>
      <c r="EG30" s="43" t="str">
        <f t="shared" si="251"/>
        <v/>
      </c>
      <c r="EH30" s="43" t="str">
        <f t="shared" si="252"/>
        <v/>
      </c>
      <c r="EI30" s="43" t="str">
        <f t="shared" si="253"/>
        <v/>
      </c>
      <c r="EJ30" s="43" t="str">
        <f t="shared" si="254"/>
        <v/>
      </c>
      <c r="EK30" s="43" t="str">
        <f t="shared" si="255"/>
        <v/>
      </c>
      <c r="EL30" s="43" t="str">
        <f t="shared" si="256"/>
        <v/>
      </c>
      <c r="EM30" s="43" t="str">
        <f t="shared" si="257"/>
        <v/>
      </c>
      <c r="EN30" s="43" t="str">
        <f t="shared" si="258"/>
        <v/>
      </c>
      <c r="EO30" s="43" t="str">
        <f t="shared" si="259"/>
        <v/>
      </c>
      <c r="EP30" s="43" t="str">
        <f t="shared" si="260"/>
        <v/>
      </c>
      <c r="EQ30" s="43" t="str">
        <f t="shared" si="261"/>
        <v/>
      </c>
      <c r="ER30" s="43" t="str">
        <f t="shared" si="262"/>
        <v/>
      </c>
      <c r="ES30" s="43" t="str">
        <f t="shared" si="263"/>
        <v/>
      </c>
      <c r="ET30" s="43" t="str">
        <f t="shared" si="264"/>
        <v/>
      </c>
      <c r="EU30" s="43" t="str">
        <f t="shared" si="265"/>
        <v/>
      </c>
      <c r="EV30" s="43" t="str">
        <f t="shared" si="266"/>
        <v/>
      </c>
      <c r="EW30" s="43" t="str">
        <f t="shared" si="267"/>
        <v>|n每秒业力+3</v>
      </c>
      <c r="EX30" s="43" t="str">
        <f t="shared" si="268"/>
        <v/>
      </c>
      <c r="EY30" s="43" t="str">
        <f t="shared" si="269"/>
        <v/>
      </c>
      <c r="EZ30" s="43" t="str">
        <f t="shared" si="270"/>
        <v/>
      </c>
      <c r="FA30" s="43" t="str">
        <f t="shared" si="271"/>
        <v/>
      </c>
      <c r="FB30" s="43" t="str">
        <f t="shared" si="272"/>
        <v/>
      </c>
      <c r="FC30" s="43" t="str">
        <f t="shared" si="273"/>
        <v/>
      </c>
      <c r="FD30" s="43" t="str">
        <f t="shared" si="274"/>
        <v/>
      </c>
      <c r="FE30" s="43" t="str">
        <f t="shared" si="275"/>
        <v/>
      </c>
      <c r="FF30" s="43" t="str">
        <f t="shared" si="276"/>
        <v/>
      </c>
      <c r="FG30" s="43" t="str">
        <f t="shared" si="277"/>
        <v/>
      </c>
      <c r="FH30" s="43" t="str">
        <f t="shared" si="278"/>
        <v/>
      </c>
      <c r="FI30" s="43" t="str">
        <f t="shared" si="279"/>
        <v/>
      </c>
      <c r="FJ30" s="43" t="str">
        <f t="shared" si="280"/>
        <v/>
      </c>
      <c r="FK30" s="43" t="str">
        <f t="shared" si="281"/>
        <v/>
      </c>
      <c r="FL30" s="43" t="str">
        <f t="shared" si="282"/>
        <v/>
      </c>
      <c r="FM30" s="43" t="str">
        <f t="shared" si="283"/>
        <v/>
      </c>
      <c r="FN30" s="43" t="str">
        <f t="shared" si="284"/>
        <v/>
      </c>
      <c r="FO30" s="43" t="str">
        <f t="shared" si="285"/>
        <v/>
      </c>
      <c r="FP30" s="43" t="str">
        <f t="shared" si="286"/>
        <v/>
      </c>
      <c r="FQ30" s="43" t="str">
        <f t="shared" si="287"/>
        <v/>
      </c>
      <c r="FR30" s="43" t="str">
        <f t="shared" si="288"/>
        <v/>
      </c>
      <c r="FS30" s="43" t="str">
        <f t="shared" si="289"/>
        <v/>
      </c>
    </row>
    <row r="31" s="6" customFormat="1" ht="15" spans="1:175">
      <c r="A31" s="10"/>
      <c r="B31" s="45" t="s">
        <v>233</v>
      </c>
      <c r="C31" s="3" t="s">
        <v>234</v>
      </c>
      <c r="D31" s="7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3"/>
      <c r="Q31" s="53"/>
      <c r="R31" s="53"/>
      <c r="S31" s="53"/>
      <c r="T31" s="58" t="str">
        <f t="shared" si="292"/>
        <v>|n攻击6%概率范围|cffff4646业力*15|r魔法伤害|n|n|Cff00ff7f击杀150只怪有50%概率升级|r</v>
      </c>
      <c r="U31" s="59" t="s">
        <v>228</v>
      </c>
      <c r="V31" s="60">
        <f t="shared" si="293"/>
        <v>900</v>
      </c>
      <c r="W31" s="60"/>
      <c r="X31" s="60"/>
      <c r="Y31"/>
      <c r="Z31" s="60">
        <v>4500</v>
      </c>
      <c r="AA31" s="60"/>
      <c r="AB31" s="60">
        <f t="shared" si="290"/>
        <v>90</v>
      </c>
      <c r="AC31" s="60"/>
      <c r="AD31" s="60">
        <v>25</v>
      </c>
      <c r="AE31" s="60">
        <v>3</v>
      </c>
      <c r="AF31" s="60"/>
      <c r="AG31" s="64"/>
      <c r="AH31"/>
      <c r="AI31" s="60"/>
      <c r="AJ31" s="60"/>
      <c r="AK31" s="60"/>
      <c r="AL31" s="64"/>
      <c r="AM31" s="60"/>
      <c r="AN31" s="60"/>
      <c r="AO31" s="60"/>
      <c r="AP31" s="60"/>
      <c r="AQ31" s="60"/>
      <c r="AR31" s="66"/>
      <c r="AS31" s="66"/>
      <c r="AT31" s="60"/>
      <c r="AU31" s="60"/>
      <c r="AV31" s="60"/>
      <c r="AW31" s="60"/>
      <c r="AX31" s="60"/>
      <c r="AY31" s="60"/>
      <c r="AZ31" s="60"/>
      <c r="BA31" s="60"/>
      <c r="BB31" s="60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60"/>
      <c r="CF31" s="60"/>
      <c r="CG31" s="60"/>
      <c r="CH31" s="60"/>
      <c r="CI31" s="60"/>
      <c r="CJ31" s="60"/>
      <c r="CK31" s="60"/>
      <c r="CL31" s="60"/>
      <c r="CM31" s="60"/>
      <c r="CN31" s="69" t="str">
        <f t="shared" si="2"/>
        <v>InitUnitState('E104',900,,,,4500,,90,,25,3)</v>
      </c>
      <c r="CO31" s="69" t="str">
        <f t="shared" si="3"/>
        <v>InitUnitNormal('E104',,,,,,,,,,)</v>
      </c>
      <c r="CP31" s="69" t="str">
        <f t="shared" si="4"/>
        <v>InitUnitMagic('E104',,,,,,,,,,)</v>
      </c>
      <c r="CQ31" s="69" t="str">
        <f t="shared" si="5"/>
        <v>InitUnitAdd('E104',,,,,,,4,,,)</v>
      </c>
      <c r="CR31" s="69" t="str">
        <f t="shared" si="6"/>
        <v>InitEquipData('E104',150,"",,E105,,50,'','','','','','',"ReplaceableTextures\\CommandButtons\\BTNZ06.blp")</v>
      </c>
      <c r="CS31" s="69"/>
      <c r="CT31" s="69"/>
      <c r="CU31" s="71" t="str">
        <f t="shared" si="78"/>
        <v>|n攻击+900|n生命值+4500|n生命回复+90|n攻速+25%|n闪避+3%|n每秒业力+4|n</v>
      </c>
      <c r="CV31" s="5" t="str">
        <f>"|Cffbbbbbb属性：|r"&amp;CU31&amp;VLOOKUP(A31,合成公式!A:P,16,FALSE)&amp;T31</f>
        <v>|Cffbbbbbb属性：|r|n攻击+900|n生命值+4500|n生命回复+90|n攻速+25%|n闪避+3%|n每秒业力+4|n|n攻击6%概率范围|cffff4646业力*15|r魔法伤害|n|n|Cff00ff7f击杀150只怪有50%概率升级|r</v>
      </c>
      <c r="DB31" s="43" t="str">
        <f t="shared" si="220"/>
        <v>|n攻击+900</v>
      </c>
      <c r="DC31" s="43" t="str">
        <f t="shared" si="221"/>
        <v/>
      </c>
      <c r="DD31" s="43" t="str">
        <f t="shared" si="222"/>
        <v/>
      </c>
      <c r="DE31" s="43" t="str">
        <f t="shared" si="223"/>
        <v/>
      </c>
      <c r="DF31" s="43" t="str">
        <f t="shared" si="224"/>
        <v>|n生命值+4500</v>
      </c>
      <c r="DG31" s="43" t="str">
        <f t="shared" si="225"/>
        <v/>
      </c>
      <c r="DH31" s="43" t="str">
        <f t="shared" si="226"/>
        <v>|n生命回复+90</v>
      </c>
      <c r="DI31" s="43" t="str">
        <f t="shared" si="227"/>
        <v/>
      </c>
      <c r="DJ31" s="43" t="str">
        <f t="shared" si="228"/>
        <v>|n攻速+25%</v>
      </c>
      <c r="DK31" s="43" t="str">
        <f t="shared" si="229"/>
        <v>|n闪避+3%</v>
      </c>
      <c r="DL31" s="43" t="str">
        <f t="shared" si="230"/>
        <v/>
      </c>
      <c r="DM31" s="43" t="str">
        <f t="shared" si="231"/>
        <v/>
      </c>
      <c r="DN31" s="43" t="str">
        <f t="shared" si="232"/>
        <v/>
      </c>
      <c r="DO31" s="43" t="str">
        <f t="shared" si="233"/>
        <v/>
      </c>
      <c r="DP31" s="43" t="str">
        <f t="shared" si="234"/>
        <v/>
      </c>
      <c r="DQ31" s="43" t="str">
        <f t="shared" si="235"/>
        <v/>
      </c>
      <c r="DR31" s="43" t="str">
        <f t="shared" si="236"/>
        <v/>
      </c>
      <c r="DS31" s="43" t="str">
        <f t="shared" si="237"/>
        <v/>
      </c>
      <c r="DT31" s="43" t="str">
        <f t="shared" si="238"/>
        <v/>
      </c>
      <c r="DU31" s="43" t="str">
        <f t="shared" si="239"/>
        <v/>
      </c>
      <c r="DV31" s="43" t="str">
        <f t="shared" si="240"/>
        <v/>
      </c>
      <c r="DW31" s="43" t="str">
        <f t="shared" si="241"/>
        <v/>
      </c>
      <c r="DX31" s="43" t="str">
        <f t="shared" si="242"/>
        <v/>
      </c>
      <c r="DY31" s="43" t="str">
        <f t="shared" si="243"/>
        <v/>
      </c>
      <c r="DZ31" s="43" t="str">
        <f t="shared" si="244"/>
        <v/>
      </c>
      <c r="EA31" s="43" t="str">
        <f t="shared" si="245"/>
        <v/>
      </c>
      <c r="EB31" s="43" t="str">
        <f t="shared" si="246"/>
        <v/>
      </c>
      <c r="EC31" s="43" t="str">
        <f t="shared" si="247"/>
        <v/>
      </c>
      <c r="ED31" s="43" t="str">
        <f t="shared" si="248"/>
        <v/>
      </c>
      <c r="EE31" s="43" t="str">
        <f t="shared" si="249"/>
        <v/>
      </c>
      <c r="EF31" s="43" t="str">
        <f t="shared" si="250"/>
        <v/>
      </c>
      <c r="EG31" s="43" t="str">
        <f t="shared" si="251"/>
        <v/>
      </c>
      <c r="EH31" s="43" t="str">
        <f t="shared" si="252"/>
        <v/>
      </c>
      <c r="EI31" s="43" t="str">
        <f t="shared" si="253"/>
        <v/>
      </c>
      <c r="EJ31" s="43" t="str">
        <f t="shared" si="254"/>
        <v/>
      </c>
      <c r="EK31" s="43" t="str">
        <f t="shared" si="255"/>
        <v/>
      </c>
      <c r="EL31" s="43" t="str">
        <f t="shared" si="256"/>
        <v/>
      </c>
      <c r="EM31" s="43" t="str">
        <f t="shared" si="257"/>
        <v/>
      </c>
      <c r="EN31" s="43" t="str">
        <f t="shared" si="258"/>
        <v/>
      </c>
      <c r="EO31" s="43" t="str">
        <f t="shared" si="259"/>
        <v/>
      </c>
      <c r="EP31" s="43" t="str">
        <f t="shared" si="260"/>
        <v/>
      </c>
      <c r="EQ31" s="43" t="str">
        <f t="shared" si="261"/>
        <v/>
      </c>
      <c r="ER31" s="43" t="str">
        <f t="shared" si="262"/>
        <v/>
      </c>
      <c r="ES31" s="43" t="str">
        <f t="shared" si="263"/>
        <v/>
      </c>
      <c r="ET31" s="43" t="str">
        <f t="shared" si="264"/>
        <v/>
      </c>
      <c r="EU31" s="43" t="str">
        <f t="shared" si="265"/>
        <v/>
      </c>
      <c r="EV31" s="43" t="str">
        <f t="shared" si="266"/>
        <v/>
      </c>
      <c r="EW31" s="43" t="str">
        <f t="shared" si="267"/>
        <v>|n每秒业力+4</v>
      </c>
      <c r="EX31" s="43" t="str">
        <f t="shared" si="268"/>
        <v/>
      </c>
      <c r="EY31" s="43" t="str">
        <f t="shared" si="269"/>
        <v/>
      </c>
      <c r="EZ31" s="43" t="str">
        <f t="shared" si="270"/>
        <v/>
      </c>
      <c r="FA31" s="43" t="str">
        <f t="shared" si="271"/>
        <v/>
      </c>
      <c r="FB31" s="43" t="str">
        <f t="shared" si="272"/>
        <v/>
      </c>
      <c r="FC31" s="43" t="str">
        <f t="shared" si="273"/>
        <v/>
      </c>
      <c r="FD31" s="43" t="str">
        <f t="shared" si="274"/>
        <v/>
      </c>
      <c r="FE31" s="43" t="str">
        <f t="shared" si="275"/>
        <v/>
      </c>
      <c r="FF31" s="43" t="str">
        <f t="shared" si="276"/>
        <v/>
      </c>
      <c r="FG31" s="43" t="str">
        <f t="shared" si="277"/>
        <v/>
      </c>
      <c r="FH31" s="43" t="str">
        <f t="shared" si="278"/>
        <v/>
      </c>
      <c r="FI31" s="43" t="str">
        <f t="shared" si="279"/>
        <v/>
      </c>
      <c r="FJ31" s="43" t="str">
        <f t="shared" si="280"/>
        <v/>
      </c>
      <c r="FK31" s="43" t="str">
        <f t="shared" si="281"/>
        <v/>
      </c>
      <c r="FL31" s="43" t="str">
        <f t="shared" si="282"/>
        <v/>
      </c>
      <c r="FM31" s="43" t="str">
        <f t="shared" si="283"/>
        <v/>
      </c>
      <c r="FN31" s="43" t="str">
        <f t="shared" si="284"/>
        <v/>
      </c>
      <c r="FO31" s="43" t="str">
        <f t="shared" si="285"/>
        <v/>
      </c>
      <c r="FP31" s="43" t="str">
        <f t="shared" si="286"/>
        <v/>
      </c>
      <c r="FQ31" s="43" t="str">
        <f t="shared" si="287"/>
        <v/>
      </c>
      <c r="FR31" s="43" t="str">
        <f t="shared" si="288"/>
        <v/>
      </c>
      <c r="FS31" s="43" t="str">
        <f t="shared" si="289"/>
        <v/>
      </c>
    </row>
    <row r="32" s="6" customFormat="1" ht="15" spans="1:175">
      <c r="A32" s="10"/>
      <c r="B32" s="45" t="s">
        <v>235</v>
      </c>
      <c r="C32" s="3" t="s">
        <v>236</v>
      </c>
      <c r="D32" s="7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3"/>
      <c r="Q32" s="53"/>
      <c r="R32" s="53"/>
      <c r="S32" s="53"/>
      <c r="T32" s="58" t="str">
        <f t="shared" si="292"/>
        <v>|n攻击6%概率范围|cffff4646业力*15|r魔法伤害|n|n|Cff00ff7f击杀150只怪有50%概率升级|r</v>
      </c>
      <c r="U32" s="59" t="s">
        <v>228</v>
      </c>
      <c r="V32" s="60">
        <f t="shared" si="293"/>
        <v>1500</v>
      </c>
      <c r="W32" s="60"/>
      <c r="X32"/>
      <c r="Y32"/>
      <c r="Z32" s="60">
        <v>7500</v>
      </c>
      <c r="AA32" s="60"/>
      <c r="AB32" s="60">
        <f t="shared" si="290"/>
        <v>150</v>
      </c>
      <c r="AC32" s="60"/>
      <c r="AD32" s="60">
        <v>30</v>
      </c>
      <c r="AE32" s="60">
        <v>3</v>
      </c>
      <c r="AF32" s="60"/>
      <c r="AG32" s="64"/>
      <c r="AH32"/>
      <c r="AI32" s="60"/>
      <c r="AJ32" s="60"/>
      <c r="AK32" s="60"/>
      <c r="AL32" s="64"/>
      <c r="AM32" s="60"/>
      <c r="AN32" s="60"/>
      <c r="AO32" s="60"/>
      <c r="AP32" s="60"/>
      <c r="AQ32" s="60"/>
      <c r="AR32" s="66"/>
      <c r="AS32" s="66"/>
      <c r="AT32" s="60"/>
      <c r="AU32" s="60"/>
      <c r="AV32" s="60"/>
      <c r="AW32" s="60"/>
      <c r="AX32" s="60"/>
      <c r="AY32" s="60"/>
      <c r="AZ32" s="60"/>
      <c r="BA32" s="60"/>
      <c r="BB32" s="60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60"/>
      <c r="CF32" s="60"/>
      <c r="CG32" s="60"/>
      <c r="CH32" s="60"/>
      <c r="CI32" s="60"/>
      <c r="CJ32" s="60"/>
      <c r="CK32" s="60"/>
      <c r="CL32" s="60"/>
      <c r="CM32" s="60"/>
      <c r="CN32" s="69" t="str">
        <f t="shared" si="2"/>
        <v>InitUnitState('E105',1500,,,,7500,,150,,30,3)</v>
      </c>
      <c r="CO32" s="69" t="str">
        <f t="shared" si="3"/>
        <v>InitUnitNormal('E105',,,,,,,,,,)</v>
      </c>
      <c r="CP32" s="69" t="str">
        <f t="shared" si="4"/>
        <v>InitUnitMagic('E105',,,,,,,,,,)</v>
      </c>
      <c r="CQ32" s="69" t="str">
        <f t="shared" si="5"/>
        <v>InitUnitAdd('E105',,,,,,,5,,,)</v>
      </c>
      <c r="CR32" s="69" t="str">
        <f t="shared" si="6"/>
        <v>InitEquipData('E105',150,"",,E106,,50,'','','','','','',"ReplaceableTextures\\CommandButtons\\BTNZ07.blp")</v>
      </c>
      <c r="CS32" s="69"/>
      <c r="CT32" s="69"/>
      <c r="CU32" s="71" t="str">
        <f t="shared" si="78"/>
        <v>|n攻击+1500|n生命值+7500|n生命回复+150|n攻速+30%|n闪避+3%|n每秒业力+5|n</v>
      </c>
      <c r="CV32" s="5" t="str">
        <f>"|Cffbbbbbb属性：|r"&amp;CU32&amp;VLOOKUP(A32,合成公式!A:P,16,FALSE)&amp;T32</f>
        <v>|Cffbbbbbb属性：|r|n攻击+1500|n生命值+7500|n生命回复+150|n攻速+30%|n闪避+3%|n每秒业力+5|n|n攻击6%概率范围|cffff4646业力*15|r魔法伤害|n|n|Cff00ff7f击杀150只怪有50%概率升级|r</v>
      </c>
      <c r="DB32" s="43" t="str">
        <f t="shared" si="220"/>
        <v>|n攻击+1500</v>
      </c>
      <c r="DC32" s="43" t="str">
        <f t="shared" si="221"/>
        <v/>
      </c>
      <c r="DD32" s="43" t="str">
        <f t="shared" si="222"/>
        <v/>
      </c>
      <c r="DE32" s="43" t="str">
        <f t="shared" si="223"/>
        <v/>
      </c>
      <c r="DF32" s="43" t="str">
        <f t="shared" si="224"/>
        <v>|n生命值+7500</v>
      </c>
      <c r="DG32" s="43" t="str">
        <f t="shared" si="225"/>
        <v/>
      </c>
      <c r="DH32" s="43" t="str">
        <f t="shared" si="226"/>
        <v>|n生命回复+150</v>
      </c>
      <c r="DI32" s="43" t="str">
        <f t="shared" si="227"/>
        <v/>
      </c>
      <c r="DJ32" s="43" t="str">
        <f t="shared" si="228"/>
        <v>|n攻速+30%</v>
      </c>
      <c r="DK32" s="43" t="str">
        <f t="shared" si="229"/>
        <v>|n闪避+3%</v>
      </c>
      <c r="DL32" s="43" t="str">
        <f t="shared" si="230"/>
        <v/>
      </c>
      <c r="DM32" s="43" t="str">
        <f t="shared" si="231"/>
        <v/>
      </c>
      <c r="DN32" s="43" t="str">
        <f t="shared" si="232"/>
        <v/>
      </c>
      <c r="DO32" s="43" t="str">
        <f t="shared" si="233"/>
        <v/>
      </c>
      <c r="DP32" s="43" t="str">
        <f t="shared" si="234"/>
        <v/>
      </c>
      <c r="DQ32" s="43" t="str">
        <f t="shared" si="235"/>
        <v/>
      </c>
      <c r="DR32" s="43" t="str">
        <f t="shared" si="236"/>
        <v/>
      </c>
      <c r="DS32" s="43" t="str">
        <f t="shared" si="237"/>
        <v/>
      </c>
      <c r="DT32" s="43" t="str">
        <f t="shared" si="238"/>
        <v/>
      </c>
      <c r="DU32" s="43" t="str">
        <f t="shared" si="239"/>
        <v/>
      </c>
      <c r="DV32" s="43" t="str">
        <f t="shared" si="240"/>
        <v/>
      </c>
      <c r="DW32" s="43" t="str">
        <f t="shared" si="241"/>
        <v/>
      </c>
      <c r="DX32" s="43" t="str">
        <f t="shared" si="242"/>
        <v/>
      </c>
      <c r="DY32" s="43" t="str">
        <f t="shared" si="243"/>
        <v/>
      </c>
      <c r="DZ32" s="43" t="str">
        <f t="shared" si="244"/>
        <v/>
      </c>
      <c r="EA32" s="43" t="str">
        <f t="shared" si="245"/>
        <v/>
      </c>
      <c r="EB32" s="43" t="str">
        <f t="shared" si="246"/>
        <v/>
      </c>
      <c r="EC32" s="43" t="str">
        <f t="shared" si="247"/>
        <v/>
      </c>
      <c r="ED32" s="43" t="str">
        <f t="shared" si="248"/>
        <v/>
      </c>
      <c r="EE32" s="43" t="str">
        <f t="shared" si="249"/>
        <v/>
      </c>
      <c r="EF32" s="43" t="str">
        <f t="shared" si="250"/>
        <v/>
      </c>
      <c r="EG32" s="43" t="str">
        <f t="shared" si="251"/>
        <v/>
      </c>
      <c r="EH32" s="43" t="str">
        <f t="shared" si="252"/>
        <v/>
      </c>
      <c r="EI32" s="43" t="str">
        <f t="shared" si="253"/>
        <v/>
      </c>
      <c r="EJ32" s="43" t="str">
        <f t="shared" si="254"/>
        <v/>
      </c>
      <c r="EK32" s="43" t="str">
        <f t="shared" si="255"/>
        <v/>
      </c>
      <c r="EL32" s="43" t="str">
        <f t="shared" si="256"/>
        <v/>
      </c>
      <c r="EM32" s="43" t="str">
        <f t="shared" si="257"/>
        <v/>
      </c>
      <c r="EN32" s="43" t="str">
        <f t="shared" si="258"/>
        <v/>
      </c>
      <c r="EO32" s="43" t="str">
        <f t="shared" si="259"/>
        <v/>
      </c>
      <c r="EP32" s="43" t="str">
        <f t="shared" si="260"/>
        <v/>
      </c>
      <c r="EQ32" s="43" t="str">
        <f t="shared" si="261"/>
        <v/>
      </c>
      <c r="ER32" s="43" t="str">
        <f t="shared" si="262"/>
        <v/>
      </c>
      <c r="ES32" s="43" t="str">
        <f t="shared" si="263"/>
        <v/>
      </c>
      <c r="ET32" s="43" t="str">
        <f t="shared" si="264"/>
        <v/>
      </c>
      <c r="EU32" s="43" t="str">
        <f t="shared" si="265"/>
        <v/>
      </c>
      <c r="EV32" s="43" t="str">
        <f t="shared" si="266"/>
        <v/>
      </c>
      <c r="EW32" s="43" t="str">
        <f t="shared" si="267"/>
        <v>|n每秒业力+5</v>
      </c>
      <c r="EX32" s="43" t="str">
        <f t="shared" si="268"/>
        <v/>
      </c>
      <c r="EY32" s="43" t="str">
        <f t="shared" si="269"/>
        <v/>
      </c>
      <c r="EZ32" s="43" t="str">
        <f t="shared" si="270"/>
        <v/>
      </c>
      <c r="FA32" s="43" t="str">
        <f t="shared" si="271"/>
        <v/>
      </c>
      <c r="FB32" s="43" t="str">
        <f t="shared" si="272"/>
        <v/>
      </c>
      <c r="FC32" s="43" t="str">
        <f t="shared" si="273"/>
        <v/>
      </c>
      <c r="FD32" s="43" t="str">
        <f t="shared" si="274"/>
        <v/>
      </c>
      <c r="FE32" s="43" t="str">
        <f t="shared" si="275"/>
        <v/>
      </c>
      <c r="FF32" s="43" t="str">
        <f t="shared" si="276"/>
        <v/>
      </c>
      <c r="FG32" s="43" t="str">
        <f t="shared" si="277"/>
        <v/>
      </c>
      <c r="FH32" s="43" t="str">
        <f t="shared" si="278"/>
        <v/>
      </c>
      <c r="FI32" s="43" t="str">
        <f t="shared" si="279"/>
        <v/>
      </c>
      <c r="FJ32" s="43" t="str">
        <f t="shared" si="280"/>
        <v/>
      </c>
      <c r="FK32" s="43" t="str">
        <f t="shared" si="281"/>
        <v/>
      </c>
      <c r="FL32" s="43" t="str">
        <f t="shared" si="282"/>
        <v/>
      </c>
      <c r="FM32" s="43" t="str">
        <f t="shared" si="283"/>
        <v/>
      </c>
      <c r="FN32" s="43" t="str">
        <f t="shared" si="284"/>
        <v/>
      </c>
      <c r="FO32" s="43" t="str">
        <f t="shared" si="285"/>
        <v/>
      </c>
      <c r="FP32" s="43" t="str">
        <f t="shared" si="286"/>
        <v/>
      </c>
      <c r="FQ32" s="43" t="str">
        <f t="shared" si="287"/>
        <v/>
      </c>
      <c r="FR32" s="43" t="str">
        <f t="shared" si="288"/>
        <v/>
      </c>
      <c r="FS32" s="43" t="str">
        <f t="shared" si="289"/>
        <v/>
      </c>
    </row>
    <row r="33" s="6" customFormat="1" ht="15" spans="1:175">
      <c r="A33" s="10"/>
      <c r="B33" s="45" t="s">
        <v>237</v>
      </c>
      <c r="C33" s="3" t="s">
        <v>238</v>
      </c>
      <c r="D33" s="7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3"/>
      <c r="Q33" s="53"/>
      <c r="R33" s="53"/>
      <c r="S33" s="53"/>
      <c r="T33" s="58" t="str">
        <f t="shared" si="292"/>
        <v>|n攻击6%概率范围|cffff4646业力*15|r魔法伤害|n|n|Cff00ff7f击杀200只怪有50%概率升级|r</v>
      </c>
      <c r="U33" s="59" t="s">
        <v>239</v>
      </c>
      <c r="V33" s="60">
        <f t="shared" si="293"/>
        <v>2100</v>
      </c>
      <c r="W33" s="60"/>
      <c r="X33"/>
      <c r="Y33"/>
      <c r="Z33" s="60">
        <v>10500</v>
      </c>
      <c r="AA33" s="60"/>
      <c r="AB33" s="60">
        <f t="shared" ref="AB33:AB77" si="294">Z33/50</f>
        <v>210</v>
      </c>
      <c r="AC33" s="60"/>
      <c r="AD33" s="60">
        <v>35</v>
      </c>
      <c r="AE33" s="60">
        <v>6</v>
      </c>
      <c r="AF33" s="60"/>
      <c r="AG33" s="64"/>
      <c r="AH33"/>
      <c r="AI33" s="60"/>
      <c r="AJ33" s="60"/>
      <c r="AK33" s="60"/>
      <c r="AL33" s="64"/>
      <c r="AM33" s="60"/>
      <c r="AN33" s="60"/>
      <c r="AO33" s="60"/>
      <c r="AP33" s="60"/>
      <c r="AQ33" s="60"/>
      <c r="AR33" s="66"/>
      <c r="AS33" s="66"/>
      <c r="AT33" s="60"/>
      <c r="AU33" s="60"/>
      <c r="AV33" s="60"/>
      <c r="AW33" s="60"/>
      <c r="AX33" s="60"/>
      <c r="AY33" s="60"/>
      <c r="AZ33" s="60"/>
      <c r="BA33" s="60"/>
      <c r="BB33" s="60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60"/>
      <c r="CF33" s="60"/>
      <c r="CG33" s="60"/>
      <c r="CH33" s="60"/>
      <c r="CI33" s="60"/>
      <c r="CJ33" s="60"/>
      <c r="CK33" s="60"/>
      <c r="CL33" s="60"/>
      <c r="CM33" s="60"/>
      <c r="CN33" s="69" t="str">
        <f t="shared" si="2"/>
        <v>InitUnitState('E106',2100,,,,10500,,210,,35,6)</v>
      </c>
      <c r="CO33" s="69" t="str">
        <f t="shared" si="3"/>
        <v>InitUnitNormal('E106',,,,,,,,,,)</v>
      </c>
      <c r="CP33" s="69" t="str">
        <f t="shared" si="4"/>
        <v>InitUnitMagic('E106',,,,,,,,,,)</v>
      </c>
      <c r="CQ33" s="69" t="str">
        <f t="shared" si="5"/>
        <v>InitUnitAdd('E106',,,,,,,6,,,)</v>
      </c>
      <c r="CR33" s="69" t="str">
        <f t="shared" si="6"/>
        <v>InitEquipData('E106',200,"",,E107,,50,'','','','','','',"ReplaceableTextures\\CommandButtons\\BTNZ07.blp")</v>
      </c>
      <c r="CS33" s="69"/>
      <c r="CT33" s="69"/>
      <c r="CU33" s="71" t="str">
        <f t="shared" si="78"/>
        <v>|n攻击+2100|n生命值+10500|n生命回复+210|n攻速+35%|n闪避+6%|n每秒业力+6|n</v>
      </c>
      <c r="CV33" s="5" t="str">
        <f>"|Cffbbbbbb属性：|r"&amp;CU33&amp;VLOOKUP(A33,合成公式!A:P,16,FALSE)&amp;T33</f>
        <v>|Cffbbbbbb属性：|r|n攻击+2100|n生命值+10500|n生命回复+210|n攻速+35%|n闪避+6%|n每秒业力+6|n|n攻击6%概率范围|cffff4646业力*15|r魔法伤害|n|n|Cff00ff7f击杀200只怪有50%概率升级|r</v>
      </c>
      <c r="DB33" s="43" t="str">
        <f t="shared" si="220"/>
        <v>|n攻击+2100</v>
      </c>
      <c r="DC33" s="43" t="str">
        <f t="shared" si="221"/>
        <v/>
      </c>
      <c r="DD33" s="43" t="str">
        <f t="shared" si="222"/>
        <v/>
      </c>
      <c r="DE33" s="43" t="str">
        <f t="shared" si="223"/>
        <v/>
      </c>
      <c r="DF33" s="43" t="str">
        <f t="shared" si="224"/>
        <v>|n生命值+10500</v>
      </c>
      <c r="DG33" s="43" t="str">
        <f t="shared" si="225"/>
        <v/>
      </c>
      <c r="DH33" s="43" t="str">
        <f t="shared" si="226"/>
        <v>|n生命回复+210</v>
      </c>
      <c r="DI33" s="43" t="str">
        <f t="shared" si="227"/>
        <v/>
      </c>
      <c r="DJ33" s="43" t="str">
        <f t="shared" si="228"/>
        <v>|n攻速+35%</v>
      </c>
      <c r="DK33" s="43" t="str">
        <f t="shared" si="229"/>
        <v>|n闪避+6%</v>
      </c>
      <c r="DL33" s="43" t="str">
        <f t="shared" si="230"/>
        <v/>
      </c>
      <c r="DM33" s="43" t="str">
        <f t="shared" si="231"/>
        <v/>
      </c>
      <c r="DN33" s="43" t="str">
        <f t="shared" si="232"/>
        <v/>
      </c>
      <c r="DO33" s="43" t="str">
        <f t="shared" si="233"/>
        <v/>
      </c>
      <c r="DP33" s="43" t="str">
        <f t="shared" si="234"/>
        <v/>
      </c>
      <c r="DQ33" s="43" t="str">
        <f t="shared" si="235"/>
        <v/>
      </c>
      <c r="DR33" s="43" t="str">
        <f t="shared" si="236"/>
        <v/>
      </c>
      <c r="DS33" s="43" t="str">
        <f t="shared" si="237"/>
        <v/>
      </c>
      <c r="DT33" s="43" t="str">
        <f t="shared" si="238"/>
        <v/>
      </c>
      <c r="DU33" s="43" t="str">
        <f t="shared" si="239"/>
        <v/>
      </c>
      <c r="DV33" s="43" t="str">
        <f t="shared" si="240"/>
        <v/>
      </c>
      <c r="DW33" s="43" t="str">
        <f t="shared" si="241"/>
        <v/>
      </c>
      <c r="DX33" s="43" t="str">
        <f t="shared" si="242"/>
        <v/>
      </c>
      <c r="DY33" s="43" t="str">
        <f t="shared" si="243"/>
        <v/>
      </c>
      <c r="DZ33" s="43" t="str">
        <f t="shared" si="244"/>
        <v/>
      </c>
      <c r="EA33" s="43" t="str">
        <f t="shared" si="245"/>
        <v/>
      </c>
      <c r="EB33" s="43" t="str">
        <f t="shared" si="246"/>
        <v/>
      </c>
      <c r="EC33" s="43" t="str">
        <f t="shared" si="247"/>
        <v/>
      </c>
      <c r="ED33" s="43" t="str">
        <f t="shared" si="248"/>
        <v/>
      </c>
      <c r="EE33" s="43" t="str">
        <f t="shared" si="249"/>
        <v/>
      </c>
      <c r="EF33" s="43" t="str">
        <f t="shared" si="250"/>
        <v/>
      </c>
      <c r="EG33" s="43" t="str">
        <f t="shared" si="251"/>
        <v/>
      </c>
      <c r="EH33" s="43" t="str">
        <f t="shared" si="252"/>
        <v/>
      </c>
      <c r="EI33" s="43" t="str">
        <f t="shared" si="253"/>
        <v/>
      </c>
      <c r="EJ33" s="43" t="str">
        <f t="shared" si="254"/>
        <v/>
      </c>
      <c r="EK33" s="43" t="str">
        <f t="shared" si="255"/>
        <v/>
      </c>
      <c r="EL33" s="43" t="str">
        <f t="shared" si="256"/>
        <v/>
      </c>
      <c r="EM33" s="43" t="str">
        <f t="shared" si="257"/>
        <v/>
      </c>
      <c r="EN33" s="43" t="str">
        <f t="shared" si="258"/>
        <v/>
      </c>
      <c r="EO33" s="43" t="str">
        <f t="shared" si="259"/>
        <v/>
      </c>
      <c r="EP33" s="43" t="str">
        <f t="shared" si="260"/>
        <v/>
      </c>
      <c r="EQ33" s="43" t="str">
        <f t="shared" si="261"/>
        <v/>
      </c>
      <c r="ER33" s="43" t="str">
        <f t="shared" si="262"/>
        <v/>
      </c>
      <c r="ES33" s="43" t="str">
        <f t="shared" si="263"/>
        <v/>
      </c>
      <c r="ET33" s="43" t="str">
        <f t="shared" si="264"/>
        <v/>
      </c>
      <c r="EU33" s="43" t="str">
        <f t="shared" si="265"/>
        <v/>
      </c>
      <c r="EV33" s="43" t="str">
        <f t="shared" si="266"/>
        <v/>
      </c>
      <c r="EW33" s="43" t="str">
        <f t="shared" si="267"/>
        <v>|n每秒业力+6</v>
      </c>
      <c r="EX33" s="43" t="str">
        <f t="shared" si="268"/>
        <v/>
      </c>
      <c r="EY33" s="43" t="str">
        <f t="shared" si="269"/>
        <v/>
      </c>
      <c r="EZ33" s="43" t="str">
        <f t="shared" si="270"/>
        <v/>
      </c>
      <c r="FA33" s="43" t="str">
        <f t="shared" si="271"/>
        <v/>
      </c>
      <c r="FB33" s="43" t="str">
        <f t="shared" si="272"/>
        <v/>
      </c>
      <c r="FC33" s="43" t="str">
        <f t="shared" si="273"/>
        <v/>
      </c>
      <c r="FD33" s="43" t="str">
        <f t="shared" si="274"/>
        <v/>
      </c>
      <c r="FE33" s="43" t="str">
        <f t="shared" si="275"/>
        <v/>
      </c>
      <c r="FF33" s="43" t="str">
        <f t="shared" si="276"/>
        <v/>
      </c>
      <c r="FG33" s="43" t="str">
        <f t="shared" si="277"/>
        <v/>
      </c>
      <c r="FH33" s="43" t="str">
        <f t="shared" si="278"/>
        <v/>
      </c>
      <c r="FI33" s="43" t="str">
        <f t="shared" si="279"/>
        <v/>
      </c>
      <c r="FJ33" s="43" t="str">
        <f t="shared" si="280"/>
        <v/>
      </c>
      <c r="FK33" s="43" t="str">
        <f t="shared" si="281"/>
        <v/>
      </c>
      <c r="FL33" s="43" t="str">
        <f t="shared" si="282"/>
        <v/>
      </c>
      <c r="FM33" s="43" t="str">
        <f t="shared" si="283"/>
        <v/>
      </c>
      <c r="FN33" s="43" t="str">
        <f t="shared" si="284"/>
        <v/>
      </c>
      <c r="FO33" s="43" t="str">
        <f t="shared" si="285"/>
        <v/>
      </c>
      <c r="FP33" s="43" t="str">
        <f t="shared" si="286"/>
        <v/>
      </c>
      <c r="FQ33" s="43" t="str">
        <f t="shared" si="287"/>
        <v/>
      </c>
      <c r="FR33" s="43" t="str">
        <f t="shared" si="288"/>
        <v/>
      </c>
      <c r="FS33" s="43" t="str">
        <f t="shared" si="289"/>
        <v/>
      </c>
    </row>
    <row r="34" s="6" customFormat="1" ht="15" spans="1:175">
      <c r="A34" s="10"/>
      <c r="B34" s="45" t="s">
        <v>240</v>
      </c>
      <c r="C34" s="3" t="s">
        <v>241</v>
      </c>
      <c r="D34" s="7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3"/>
      <c r="Q34" s="53"/>
      <c r="R34" s="53"/>
      <c r="S34" s="53"/>
      <c r="T34" s="58" t="str">
        <f t="shared" si="292"/>
        <v>|n攻击6%概率范围|cffff4646业力*15|r魔法伤害|n|n|Cff00ff7f击杀200只怪有50%概率升级|r</v>
      </c>
      <c r="U34" s="59" t="s">
        <v>239</v>
      </c>
      <c r="V34" s="60">
        <f t="shared" si="293"/>
        <v>3000</v>
      </c>
      <c r="W34" s="60"/>
      <c r="X34" s="60"/>
      <c r="Y34" s="60"/>
      <c r="Z34" s="60">
        <v>15000</v>
      </c>
      <c r="AA34" s="60"/>
      <c r="AB34" s="60">
        <f t="shared" si="294"/>
        <v>300</v>
      </c>
      <c r="AC34" s="60"/>
      <c r="AD34" s="60">
        <v>40</v>
      </c>
      <c r="AE34" s="60">
        <v>6</v>
      </c>
      <c r="AF34" s="60"/>
      <c r="AG34" s="64"/>
      <c r="AH34"/>
      <c r="AI34" s="60"/>
      <c r="AJ34" s="60"/>
      <c r="AK34" s="60"/>
      <c r="AL34" s="64"/>
      <c r="AM34" s="60"/>
      <c r="AN34" s="60"/>
      <c r="AO34" s="60"/>
      <c r="AP34" s="60"/>
      <c r="AQ34" s="60"/>
      <c r="AR34" s="66"/>
      <c r="AS34" s="66"/>
      <c r="AT34" s="60"/>
      <c r="AU34" s="60"/>
      <c r="AV34" s="60"/>
      <c r="AW34" s="60"/>
      <c r="AX34" s="60"/>
      <c r="AY34" s="60"/>
      <c r="AZ34" s="60"/>
      <c r="BA34" s="60"/>
      <c r="BB34" s="60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60"/>
      <c r="CF34" s="60"/>
      <c r="CG34" s="60"/>
      <c r="CH34" s="60"/>
      <c r="CI34" s="60"/>
      <c r="CJ34" s="60"/>
      <c r="CK34" s="60"/>
      <c r="CL34" s="60"/>
      <c r="CM34" s="60"/>
      <c r="CN34" s="69" t="str">
        <f t="shared" si="2"/>
        <v>InitUnitState('E107',3000,,,,15000,,300,,40,6)</v>
      </c>
      <c r="CO34" s="69" t="str">
        <f t="shared" si="3"/>
        <v>InitUnitNormal('E107',,,,,,,,,,)</v>
      </c>
      <c r="CP34" s="69" t="str">
        <f t="shared" si="4"/>
        <v>InitUnitMagic('E107',,,,,,,,,,)</v>
      </c>
      <c r="CQ34" s="69" t="str">
        <f t="shared" si="5"/>
        <v>InitUnitAdd('E107',,,,,,,7,,,)</v>
      </c>
      <c r="CR34" s="69" t="str">
        <f t="shared" si="6"/>
        <v>InitEquipData('E107',200,"",,E108,,50,'','','','','','',"ReplaceableTextures\\CommandButtons\\BTNZ07.blp")</v>
      </c>
      <c r="CS34" s="69"/>
      <c r="CT34" s="69"/>
      <c r="CU34" s="71" t="str">
        <f t="shared" si="78"/>
        <v>|n攻击+3000|n生命值+15000|n生命回复+300|n攻速+40%|n闪避+6%|n每秒业力+7|n</v>
      </c>
      <c r="CV34" s="5" t="str">
        <f>"|Cffbbbbbb属性：|r"&amp;CU34&amp;VLOOKUP(A34,合成公式!A:P,16,FALSE)&amp;T34</f>
        <v>|Cffbbbbbb属性：|r|n攻击+3000|n生命值+15000|n生命回复+300|n攻速+40%|n闪避+6%|n每秒业力+7|n|n攻击6%概率范围|cffff4646业力*15|r魔法伤害|n|n|Cff00ff7f击杀200只怪有50%概率升级|r</v>
      </c>
      <c r="DB34" s="43" t="str">
        <f t="shared" si="220"/>
        <v>|n攻击+3000</v>
      </c>
      <c r="DC34" s="43" t="str">
        <f t="shared" si="221"/>
        <v/>
      </c>
      <c r="DD34" s="43" t="str">
        <f t="shared" si="222"/>
        <v/>
      </c>
      <c r="DE34" s="43" t="str">
        <f t="shared" si="223"/>
        <v/>
      </c>
      <c r="DF34" s="43" t="str">
        <f t="shared" si="224"/>
        <v>|n生命值+15000</v>
      </c>
      <c r="DG34" s="43" t="str">
        <f t="shared" si="225"/>
        <v/>
      </c>
      <c r="DH34" s="43" t="str">
        <f t="shared" si="226"/>
        <v>|n生命回复+300</v>
      </c>
      <c r="DI34" s="43" t="str">
        <f t="shared" si="227"/>
        <v/>
      </c>
      <c r="DJ34" s="43" t="str">
        <f t="shared" si="228"/>
        <v>|n攻速+40%</v>
      </c>
      <c r="DK34" s="43" t="str">
        <f t="shared" si="229"/>
        <v>|n闪避+6%</v>
      </c>
      <c r="DL34" s="43" t="str">
        <f t="shared" si="230"/>
        <v/>
      </c>
      <c r="DM34" s="43" t="str">
        <f t="shared" si="231"/>
        <v/>
      </c>
      <c r="DN34" s="43" t="str">
        <f t="shared" si="232"/>
        <v/>
      </c>
      <c r="DO34" s="43" t="str">
        <f t="shared" si="233"/>
        <v/>
      </c>
      <c r="DP34" s="43" t="str">
        <f t="shared" si="234"/>
        <v/>
      </c>
      <c r="DQ34" s="43" t="str">
        <f t="shared" si="235"/>
        <v/>
      </c>
      <c r="DR34" s="43" t="str">
        <f t="shared" si="236"/>
        <v/>
      </c>
      <c r="DS34" s="43" t="str">
        <f t="shared" si="237"/>
        <v/>
      </c>
      <c r="DT34" s="43" t="str">
        <f t="shared" si="238"/>
        <v/>
      </c>
      <c r="DU34" s="43" t="str">
        <f t="shared" si="239"/>
        <v/>
      </c>
      <c r="DV34" s="43" t="str">
        <f t="shared" si="240"/>
        <v/>
      </c>
      <c r="DW34" s="43" t="str">
        <f t="shared" si="241"/>
        <v/>
      </c>
      <c r="DX34" s="43" t="str">
        <f t="shared" si="242"/>
        <v/>
      </c>
      <c r="DY34" s="43" t="str">
        <f t="shared" si="243"/>
        <v/>
      </c>
      <c r="DZ34" s="43" t="str">
        <f t="shared" si="244"/>
        <v/>
      </c>
      <c r="EA34" s="43" t="str">
        <f t="shared" si="245"/>
        <v/>
      </c>
      <c r="EB34" s="43" t="str">
        <f t="shared" si="246"/>
        <v/>
      </c>
      <c r="EC34" s="43" t="str">
        <f t="shared" si="247"/>
        <v/>
      </c>
      <c r="ED34" s="43" t="str">
        <f t="shared" si="248"/>
        <v/>
      </c>
      <c r="EE34" s="43" t="str">
        <f t="shared" si="249"/>
        <v/>
      </c>
      <c r="EF34" s="43" t="str">
        <f t="shared" si="250"/>
        <v/>
      </c>
      <c r="EG34" s="43" t="str">
        <f t="shared" si="251"/>
        <v/>
      </c>
      <c r="EH34" s="43" t="str">
        <f t="shared" si="252"/>
        <v/>
      </c>
      <c r="EI34" s="43" t="str">
        <f t="shared" si="253"/>
        <v/>
      </c>
      <c r="EJ34" s="43" t="str">
        <f t="shared" si="254"/>
        <v/>
      </c>
      <c r="EK34" s="43" t="str">
        <f t="shared" si="255"/>
        <v/>
      </c>
      <c r="EL34" s="43" t="str">
        <f t="shared" si="256"/>
        <v/>
      </c>
      <c r="EM34" s="43" t="str">
        <f t="shared" si="257"/>
        <v/>
      </c>
      <c r="EN34" s="43" t="str">
        <f t="shared" si="258"/>
        <v/>
      </c>
      <c r="EO34" s="43" t="str">
        <f t="shared" si="259"/>
        <v/>
      </c>
      <c r="EP34" s="43" t="str">
        <f t="shared" si="260"/>
        <v/>
      </c>
      <c r="EQ34" s="43" t="str">
        <f t="shared" si="261"/>
        <v/>
      </c>
      <c r="ER34" s="43" t="str">
        <f t="shared" si="262"/>
        <v/>
      </c>
      <c r="ES34" s="43" t="str">
        <f t="shared" si="263"/>
        <v/>
      </c>
      <c r="ET34" s="43" t="str">
        <f t="shared" si="264"/>
        <v/>
      </c>
      <c r="EU34" s="43" t="str">
        <f t="shared" si="265"/>
        <v/>
      </c>
      <c r="EV34" s="43" t="str">
        <f t="shared" si="266"/>
        <v/>
      </c>
      <c r="EW34" s="43" t="str">
        <f t="shared" si="267"/>
        <v>|n每秒业力+7</v>
      </c>
      <c r="EX34" s="43" t="str">
        <f t="shared" si="268"/>
        <v/>
      </c>
      <c r="EY34" s="43" t="str">
        <f t="shared" si="269"/>
        <v/>
      </c>
      <c r="EZ34" s="43" t="str">
        <f t="shared" si="270"/>
        <v/>
      </c>
      <c r="FA34" s="43" t="str">
        <f t="shared" si="271"/>
        <v/>
      </c>
      <c r="FB34" s="43" t="str">
        <f t="shared" si="272"/>
        <v/>
      </c>
      <c r="FC34" s="43" t="str">
        <f t="shared" si="273"/>
        <v/>
      </c>
      <c r="FD34" s="43" t="str">
        <f t="shared" si="274"/>
        <v/>
      </c>
      <c r="FE34" s="43" t="str">
        <f t="shared" si="275"/>
        <v/>
      </c>
      <c r="FF34" s="43" t="str">
        <f t="shared" si="276"/>
        <v/>
      </c>
      <c r="FG34" s="43" t="str">
        <f t="shared" si="277"/>
        <v/>
      </c>
      <c r="FH34" s="43" t="str">
        <f t="shared" si="278"/>
        <v/>
      </c>
      <c r="FI34" s="43" t="str">
        <f t="shared" si="279"/>
        <v/>
      </c>
      <c r="FJ34" s="43" t="str">
        <f t="shared" si="280"/>
        <v/>
      </c>
      <c r="FK34" s="43" t="str">
        <f t="shared" si="281"/>
        <v/>
      </c>
      <c r="FL34" s="43" t="str">
        <f t="shared" si="282"/>
        <v/>
      </c>
      <c r="FM34" s="43" t="str">
        <f t="shared" si="283"/>
        <v/>
      </c>
      <c r="FN34" s="43" t="str">
        <f t="shared" si="284"/>
        <v/>
      </c>
      <c r="FO34" s="43" t="str">
        <f t="shared" si="285"/>
        <v/>
      </c>
      <c r="FP34" s="43" t="str">
        <f t="shared" si="286"/>
        <v/>
      </c>
      <c r="FQ34" s="43" t="str">
        <f t="shared" si="287"/>
        <v/>
      </c>
      <c r="FR34" s="43" t="str">
        <f t="shared" si="288"/>
        <v/>
      </c>
      <c r="FS34" s="43" t="str">
        <f t="shared" si="289"/>
        <v/>
      </c>
    </row>
    <row r="35" s="6" customFormat="1" ht="15" spans="1:175">
      <c r="A35" s="10"/>
      <c r="B35" s="45" t="s">
        <v>242</v>
      </c>
      <c r="C35" s="3" t="s">
        <v>243</v>
      </c>
      <c r="D35" s="7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3"/>
      <c r="Q35" s="53"/>
      <c r="R35" s="53"/>
      <c r="S35" s="53"/>
      <c r="T35" s="58" t="str">
        <f t="shared" si="292"/>
        <v>|n攻击6%概率范围|cffff4646业力*15|r魔法伤害|n|n|Cff00ff7f击杀200只怪有50%概率升级|r</v>
      </c>
      <c r="U35" s="59" t="s">
        <v>239</v>
      </c>
      <c r="V35" s="60">
        <f t="shared" si="293"/>
        <v>4500</v>
      </c>
      <c r="W35" s="60"/>
      <c r="X35" s="60"/>
      <c r="Y35" s="60"/>
      <c r="Z35" s="60">
        <v>22500</v>
      </c>
      <c r="AA35" s="60"/>
      <c r="AB35" s="60">
        <f t="shared" si="294"/>
        <v>450</v>
      </c>
      <c r="AC35" s="60"/>
      <c r="AD35" s="60">
        <v>45</v>
      </c>
      <c r="AE35" s="60">
        <v>6</v>
      </c>
      <c r="AF35" s="60"/>
      <c r="AG35" s="64"/>
      <c r="AH35"/>
      <c r="AI35" s="60"/>
      <c r="AJ35" s="60"/>
      <c r="AK35" s="60"/>
      <c r="AL35" s="64"/>
      <c r="AM35" s="60"/>
      <c r="AN35" s="60"/>
      <c r="AO35" s="60"/>
      <c r="AP35" s="60"/>
      <c r="AQ35" s="60"/>
      <c r="AR35" s="66"/>
      <c r="AS35" s="66"/>
      <c r="AT35" s="60"/>
      <c r="AU35" s="60"/>
      <c r="AV35" s="60"/>
      <c r="AW35" s="60"/>
      <c r="AX35" s="60"/>
      <c r="AY35" s="60"/>
      <c r="AZ35" s="60"/>
      <c r="BA35" s="60"/>
      <c r="BB35" s="60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60"/>
      <c r="CF35" s="60"/>
      <c r="CG35" s="60"/>
      <c r="CH35" s="60"/>
      <c r="CI35" s="60"/>
      <c r="CJ35" s="60"/>
      <c r="CK35" s="60"/>
      <c r="CL35" s="60"/>
      <c r="CM35" s="60"/>
      <c r="CN35" s="69" t="str">
        <f t="shared" ref="CN35:CN66" si="295">"InitUnitState('"&amp;B35&amp;"',"&amp;V35&amp;","&amp;W35&amp;","&amp;X35&amp;","&amp;Y35&amp;","&amp;Z35&amp;","&amp;AA35&amp;","&amp;AB35&amp;","&amp;AC35&amp;","&amp;AD35&amp;","&amp;AE35&amp;")"</f>
        <v>InitUnitState('E108',4500,,,,22500,,450,,45,6)</v>
      </c>
      <c r="CO35" s="69" t="str">
        <f t="shared" ref="CO35:CO66" si="296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9" t="str">
        <f t="shared" ref="CP35:CP66" si="297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9" t="str">
        <f t="shared" ref="CQ35:CQ66" si="298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9" t="str">
        <f t="shared" ref="CR35:CR52" si="299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9"/>
      <c r="CT35" s="69"/>
      <c r="CU35" s="71" t="str">
        <f t="shared" si="78"/>
        <v>|n攻击+4500|n生命值+22500|n生命回复+450|n攻速+45%|n闪避+6%|n每秒业力+8|n</v>
      </c>
      <c r="CV35" s="5" t="str">
        <f>"|Cffbbbbbb属性：|r"&amp;CU35&amp;VLOOKUP(A35,合成公式!A:P,16,FALSE)&amp;T35</f>
        <v>|Cffbbbbbb属性：|r|n攻击+4500|n生命值+22500|n生命回复+450|n攻速+45%|n闪避+6%|n每秒业力+8|n|n攻击6%概率范围|cffff4646业力*15|r魔法伤害|n|n|Cff00ff7f击杀200只怪有50%概率升级|r</v>
      </c>
      <c r="DB35" s="43" t="str">
        <f t="shared" si="220"/>
        <v>|n攻击+4500</v>
      </c>
      <c r="DC35" s="43" t="str">
        <f t="shared" si="221"/>
        <v/>
      </c>
      <c r="DD35" s="43" t="str">
        <f t="shared" si="222"/>
        <v/>
      </c>
      <c r="DE35" s="43" t="str">
        <f t="shared" si="223"/>
        <v/>
      </c>
      <c r="DF35" s="43" t="str">
        <f t="shared" si="224"/>
        <v>|n生命值+22500</v>
      </c>
      <c r="DG35" s="43" t="str">
        <f t="shared" si="225"/>
        <v/>
      </c>
      <c r="DH35" s="43" t="str">
        <f t="shared" si="226"/>
        <v>|n生命回复+450</v>
      </c>
      <c r="DI35" s="43" t="str">
        <f t="shared" si="227"/>
        <v/>
      </c>
      <c r="DJ35" s="43" t="str">
        <f t="shared" si="228"/>
        <v>|n攻速+45%</v>
      </c>
      <c r="DK35" s="43" t="str">
        <f t="shared" si="229"/>
        <v>|n闪避+6%</v>
      </c>
      <c r="DL35" s="43" t="str">
        <f t="shared" si="230"/>
        <v/>
      </c>
      <c r="DM35" s="43" t="str">
        <f t="shared" si="231"/>
        <v/>
      </c>
      <c r="DN35" s="43" t="str">
        <f t="shared" si="232"/>
        <v/>
      </c>
      <c r="DO35" s="43" t="str">
        <f t="shared" si="233"/>
        <v/>
      </c>
      <c r="DP35" s="43" t="str">
        <f t="shared" si="234"/>
        <v/>
      </c>
      <c r="DQ35" s="43" t="str">
        <f t="shared" si="235"/>
        <v/>
      </c>
      <c r="DR35" s="43" t="str">
        <f t="shared" si="236"/>
        <v/>
      </c>
      <c r="DS35" s="43" t="str">
        <f t="shared" si="237"/>
        <v/>
      </c>
      <c r="DT35" s="43" t="str">
        <f t="shared" si="238"/>
        <v/>
      </c>
      <c r="DU35" s="43" t="str">
        <f t="shared" si="239"/>
        <v/>
      </c>
      <c r="DV35" s="43" t="str">
        <f t="shared" si="240"/>
        <v/>
      </c>
      <c r="DW35" s="43" t="str">
        <f t="shared" si="241"/>
        <v/>
      </c>
      <c r="DX35" s="43" t="str">
        <f t="shared" si="242"/>
        <v/>
      </c>
      <c r="DY35" s="43" t="str">
        <f t="shared" si="243"/>
        <v/>
      </c>
      <c r="DZ35" s="43" t="str">
        <f t="shared" si="244"/>
        <v/>
      </c>
      <c r="EA35" s="43" t="str">
        <f t="shared" si="245"/>
        <v/>
      </c>
      <c r="EB35" s="43" t="str">
        <f t="shared" si="246"/>
        <v/>
      </c>
      <c r="EC35" s="43" t="str">
        <f t="shared" si="247"/>
        <v/>
      </c>
      <c r="ED35" s="43" t="str">
        <f t="shared" si="248"/>
        <v/>
      </c>
      <c r="EE35" s="43" t="str">
        <f t="shared" si="249"/>
        <v/>
      </c>
      <c r="EF35" s="43" t="str">
        <f t="shared" si="250"/>
        <v/>
      </c>
      <c r="EG35" s="43" t="str">
        <f t="shared" si="251"/>
        <v/>
      </c>
      <c r="EH35" s="43" t="str">
        <f t="shared" si="252"/>
        <v/>
      </c>
      <c r="EI35" s="43" t="str">
        <f t="shared" si="253"/>
        <v/>
      </c>
      <c r="EJ35" s="43" t="str">
        <f t="shared" si="254"/>
        <v/>
      </c>
      <c r="EK35" s="43" t="str">
        <f t="shared" si="255"/>
        <v/>
      </c>
      <c r="EL35" s="43" t="str">
        <f t="shared" si="256"/>
        <v/>
      </c>
      <c r="EM35" s="43" t="str">
        <f t="shared" si="257"/>
        <v/>
      </c>
      <c r="EN35" s="43" t="str">
        <f t="shared" si="258"/>
        <v/>
      </c>
      <c r="EO35" s="43" t="str">
        <f t="shared" si="259"/>
        <v/>
      </c>
      <c r="EP35" s="43" t="str">
        <f t="shared" si="260"/>
        <v/>
      </c>
      <c r="EQ35" s="43" t="str">
        <f t="shared" si="261"/>
        <v/>
      </c>
      <c r="ER35" s="43" t="str">
        <f t="shared" si="262"/>
        <v/>
      </c>
      <c r="ES35" s="43" t="str">
        <f t="shared" si="263"/>
        <v/>
      </c>
      <c r="ET35" s="43" t="str">
        <f t="shared" si="264"/>
        <v/>
      </c>
      <c r="EU35" s="43" t="str">
        <f t="shared" si="265"/>
        <v/>
      </c>
      <c r="EV35" s="43" t="str">
        <f t="shared" si="266"/>
        <v/>
      </c>
      <c r="EW35" s="43" t="str">
        <f t="shared" si="267"/>
        <v>|n每秒业力+8</v>
      </c>
      <c r="EX35" s="43" t="str">
        <f t="shared" si="268"/>
        <v/>
      </c>
      <c r="EY35" s="43" t="str">
        <f t="shared" si="269"/>
        <v/>
      </c>
      <c r="EZ35" s="43" t="str">
        <f t="shared" si="270"/>
        <v/>
      </c>
      <c r="FA35" s="43" t="str">
        <f t="shared" si="271"/>
        <v/>
      </c>
      <c r="FB35" s="43" t="str">
        <f t="shared" si="272"/>
        <v/>
      </c>
      <c r="FC35" s="43" t="str">
        <f t="shared" si="273"/>
        <v/>
      </c>
      <c r="FD35" s="43" t="str">
        <f t="shared" si="274"/>
        <v/>
      </c>
      <c r="FE35" s="43" t="str">
        <f t="shared" si="275"/>
        <v/>
      </c>
      <c r="FF35" s="43" t="str">
        <f t="shared" si="276"/>
        <v/>
      </c>
      <c r="FG35" s="43" t="str">
        <f t="shared" si="277"/>
        <v/>
      </c>
      <c r="FH35" s="43" t="str">
        <f t="shared" si="278"/>
        <v/>
      </c>
      <c r="FI35" s="43" t="str">
        <f t="shared" si="279"/>
        <v/>
      </c>
      <c r="FJ35" s="43" t="str">
        <f t="shared" si="280"/>
        <v/>
      </c>
      <c r="FK35" s="43" t="str">
        <f t="shared" si="281"/>
        <v/>
      </c>
      <c r="FL35" s="43" t="str">
        <f t="shared" si="282"/>
        <v/>
      </c>
      <c r="FM35" s="43" t="str">
        <f t="shared" si="283"/>
        <v/>
      </c>
      <c r="FN35" s="43" t="str">
        <f t="shared" si="284"/>
        <v/>
      </c>
      <c r="FO35" s="43" t="str">
        <f t="shared" si="285"/>
        <v/>
      </c>
      <c r="FP35" s="43" t="str">
        <f t="shared" si="286"/>
        <v/>
      </c>
      <c r="FQ35" s="43" t="str">
        <f t="shared" si="287"/>
        <v/>
      </c>
      <c r="FR35" s="43" t="str">
        <f t="shared" si="288"/>
        <v/>
      </c>
      <c r="FS35" s="43" t="str">
        <f t="shared" si="289"/>
        <v/>
      </c>
    </row>
    <row r="36" s="6" customFormat="1" ht="15" spans="1:175">
      <c r="A36" s="10"/>
      <c r="B36" s="45" t="s">
        <v>244</v>
      </c>
      <c r="C36" s="3" t="s">
        <v>245</v>
      </c>
      <c r="D36" s="7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3"/>
      <c r="Q36" s="53"/>
      <c r="R36" s="53"/>
      <c r="S36" s="53"/>
      <c r="T36" s="58" t="str">
        <f t="shared" si="292"/>
        <v>|n攻击6%概率范围|cffff4646业力*15|r魔法伤害|n|n|Cff00ff7f击杀200只怪有50%概率升级|r</v>
      </c>
      <c r="U36" s="59" t="s">
        <v>239</v>
      </c>
      <c r="V36" s="60">
        <f t="shared" si="293"/>
        <v>6000</v>
      </c>
      <c r="W36" s="60"/>
      <c r="X36" s="60"/>
      <c r="Y36" s="60"/>
      <c r="Z36" s="60">
        <v>30000</v>
      </c>
      <c r="AA36" s="60"/>
      <c r="AB36" s="60">
        <f t="shared" si="294"/>
        <v>600</v>
      </c>
      <c r="AC36" s="60"/>
      <c r="AD36" s="60">
        <v>50</v>
      </c>
      <c r="AE36" s="60">
        <v>6</v>
      </c>
      <c r="AF36" s="60"/>
      <c r="AG36" s="64"/>
      <c r="AH36" s="60"/>
      <c r="AI36" s="60"/>
      <c r="AJ36" s="60"/>
      <c r="AK36" s="60"/>
      <c r="AL36" s="64"/>
      <c r="AM36" s="60"/>
      <c r="AN36" s="60"/>
      <c r="AO36" s="60"/>
      <c r="AP36" s="60"/>
      <c r="AQ36" s="60"/>
      <c r="AR36" s="66"/>
      <c r="AS36" s="66"/>
      <c r="AT36" s="60"/>
      <c r="AU36" s="60"/>
      <c r="AV36" s="60"/>
      <c r="AW36" s="60"/>
      <c r="AX36" s="60"/>
      <c r="AY36" s="60"/>
      <c r="AZ36" s="60"/>
      <c r="BA36" s="60"/>
      <c r="BB36" s="60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60"/>
      <c r="CF36" s="60"/>
      <c r="CG36" s="60"/>
      <c r="CH36" s="60"/>
      <c r="CI36" s="60"/>
      <c r="CJ36" s="60"/>
      <c r="CK36" s="60"/>
      <c r="CL36" s="60"/>
      <c r="CM36" s="60"/>
      <c r="CN36" s="69" t="str">
        <f t="shared" si="295"/>
        <v>InitUnitState('E109',6000,,,,30000,,600,,50,6)</v>
      </c>
      <c r="CO36" s="69" t="str">
        <f t="shared" si="296"/>
        <v>InitUnitNormal('E109',,,,,,,,,,)</v>
      </c>
      <c r="CP36" s="69" t="str">
        <f t="shared" si="297"/>
        <v>InitUnitMagic('E109',,,,,,,,,,)</v>
      </c>
      <c r="CQ36" s="69" t="str">
        <f t="shared" si="298"/>
        <v>InitUnitAdd('E109',,,,,,,9,,,)</v>
      </c>
      <c r="CR36" s="69" t="str">
        <f t="shared" si="299"/>
        <v>InitEquipData('E109',200,"",,E110,,50,'','','','','','',"ReplaceableTextures\\CommandButtons\\BTNZ07.blp")</v>
      </c>
      <c r="CS36" s="69"/>
      <c r="CT36" s="69"/>
      <c r="CU36" s="71" t="str">
        <f t="shared" si="78"/>
        <v>|n攻击+6000|n生命值+30000|n生命回复+600|n攻速+50%|n闪避+6%|n每秒业力+9|n</v>
      </c>
      <c r="CV36" s="5" t="str">
        <f>"|Cffbbbbbb属性：|r"&amp;CU36&amp;VLOOKUP(A36,合成公式!A:P,16,FALSE)&amp;T36</f>
        <v>|Cffbbbbbb属性：|r|n攻击+6000|n生命值+30000|n生命回复+600|n攻速+50%|n闪避+6%|n每秒业力+9|n|n攻击6%概率范围|cffff4646业力*15|r魔法伤害|n|n|Cff00ff7f击杀200只怪有50%概率升级|r</v>
      </c>
      <c r="DB36" s="43" t="str">
        <f t="shared" ref="DB36:DB52" si="300">IF(V36="","","|n"&amp;DB$2&amp;"+"&amp;V36&amp;DB$1)</f>
        <v>|n攻击+6000</v>
      </c>
      <c r="DC36" s="43" t="str">
        <f t="shared" ref="DC36:DC52" si="301">IF(W36="","","|n"&amp;DC$2&amp;"+"&amp;W36&amp;DC$1)</f>
        <v/>
      </c>
      <c r="DD36" s="43" t="str">
        <f t="shared" ref="DD36:DD52" si="302">IF(X36="","","|n"&amp;DD$2&amp;"+"&amp;X36&amp;DD$1)</f>
        <v/>
      </c>
      <c r="DE36" s="43" t="str">
        <f t="shared" ref="DE36:DE52" si="303">IF(Y36="","","|n"&amp;DE$2&amp;"+"&amp;Y36&amp;DE$1)</f>
        <v/>
      </c>
      <c r="DF36" s="43" t="str">
        <f t="shared" ref="DF36:DF52" si="304">IF(Z36="","","|n"&amp;DF$2&amp;"+"&amp;Z36&amp;DF$1)</f>
        <v>|n生命值+30000</v>
      </c>
      <c r="DG36" s="43" t="str">
        <f t="shared" ref="DG36:DG52" si="305">IF(AA36="","","|n"&amp;DG$2&amp;"+"&amp;AA36&amp;DG$1)</f>
        <v/>
      </c>
      <c r="DH36" s="43" t="str">
        <f t="shared" ref="DH36:DH52" si="306">IF(AB36="","","|n"&amp;DH$2&amp;"+"&amp;AB36&amp;DH$1)</f>
        <v>|n生命回复+600</v>
      </c>
      <c r="DI36" s="43" t="str">
        <f t="shared" ref="DI36:DI52" si="307">IF(AC36="","","|n"&amp;DI$2&amp;"+"&amp;AC36&amp;DI$1)</f>
        <v/>
      </c>
      <c r="DJ36" s="43" t="str">
        <f t="shared" ref="DJ36:DJ52" si="308">IF(AD36="","","|n"&amp;DJ$2&amp;"+"&amp;AD36&amp;DJ$1)</f>
        <v>|n攻速+50%</v>
      </c>
      <c r="DK36" s="43" t="str">
        <f t="shared" ref="DK36:DK52" si="309">IF(AE36="","","|n"&amp;DK$2&amp;"+"&amp;AE36&amp;DK$1)</f>
        <v>|n闪避+6%</v>
      </c>
      <c r="DL36" s="43" t="str">
        <f t="shared" ref="DL36:DL52" si="310">IF(AF36="","","|n"&amp;DL$2&amp;"+"&amp;AF36&amp;DL$1)</f>
        <v/>
      </c>
      <c r="DM36" s="43" t="str">
        <f t="shared" ref="DM36:DM52" si="311">IF(AG36="","","|n"&amp;DM$2&amp;"+"&amp;AG36&amp;DM$1)</f>
        <v/>
      </c>
      <c r="DN36" s="43" t="str">
        <f t="shared" ref="DN36:DN52" si="312">IF(AH36="","","|n"&amp;DN$2&amp;"+"&amp;AH36&amp;DN$1)</f>
        <v/>
      </c>
      <c r="DO36" s="43" t="str">
        <f t="shared" ref="DO36:DO52" si="313">IF(AI36="","","|n"&amp;DO$2&amp;"+"&amp;AI36&amp;DO$1)</f>
        <v/>
      </c>
      <c r="DP36" s="43" t="str">
        <f t="shared" ref="DP36:DP52" si="314">IF(AJ36="","","|n"&amp;DP$2&amp;"+"&amp;AJ36&amp;DP$1)</f>
        <v/>
      </c>
      <c r="DQ36" s="43" t="str">
        <f t="shared" ref="DQ36:DQ52" si="315">IF(AK36="","","|n"&amp;DQ$2&amp;"+"&amp;AK36&amp;DQ$1)</f>
        <v/>
      </c>
      <c r="DR36" s="43" t="str">
        <f t="shared" ref="DR36:DR52" si="316">IF(AL36="","","|n"&amp;DR$2&amp;"+"&amp;AL36&amp;DR$1)</f>
        <v/>
      </c>
      <c r="DS36" s="43" t="str">
        <f t="shared" ref="DS36:DS52" si="317">IF(AM36="","","|n"&amp;DS$2&amp;"+"&amp;AM36&amp;DS$1)</f>
        <v/>
      </c>
      <c r="DT36" s="43" t="str">
        <f t="shared" ref="DT36:DT52" si="318">IF(AN36="","","|n"&amp;DT$2&amp;"+"&amp;AN36&amp;DT$1)</f>
        <v/>
      </c>
      <c r="DU36" s="43" t="str">
        <f t="shared" ref="DU36:DU52" si="319">IF(AO36="","","|n"&amp;DU$2&amp;"+"&amp;AO36&amp;DU$1)</f>
        <v/>
      </c>
      <c r="DV36" s="43" t="str">
        <f t="shared" ref="DV36:DV52" si="320">IF(AP36="","","|n"&amp;DV$2&amp;"+"&amp;AP36&amp;DV$1)</f>
        <v/>
      </c>
      <c r="DW36" s="43" t="str">
        <f t="shared" ref="DW36:DW52" si="321">IF(AQ36="","","|n"&amp;DW$2&amp;"+"&amp;AQ36&amp;DW$1)</f>
        <v/>
      </c>
      <c r="DX36" s="43" t="str">
        <f t="shared" ref="DX36:DX52" si="322">IF(AR36="","","|n"&amp;DX$2&amp;"+"&amp;AR36&amp;DX$1)</f>
        <v/>
      </c>
      <c r="DY36" s="43" t="str">
        <f t="shared" ref="DY36:DY52" si="323">IF(AS36="","","|n"&amp;DY$2&amp;"+"&amp;AS36&amp;DY$1)</f>
        <v/>
      </c>
      <c r="DZ36" s="43" t="str">
        <f t="shared" ref="DZ36:DZ52" si="324">IF(AT36="","","|n"&amp;DZ$2&amp;"+"&amp;AT36&amp;DZ$1)</f>
        <v/>
      </c>
      <c r="EA36" s="43" t="str">
        <f t="shared" ref="EA36:EA52" si="325">IF(AU36="","","|n"&amp;EA$2&amp;"+"&amp;AU36&amp;EA$1)</f>
        <v/>
      </c>
      <c r="EB36" s="43" t="str">
        <f t="shared" ref="EB36:EB52" si="326">IF(AV36="","","|n"&amp;EB$2&amp;"+"&amp;AV36&amp;EB$1)</f>
        <v/>
      </c>
      <c r="EC36" s="43" t="str">
        <f t="shared" ref="EC36:EC52" si="327">IF(AW36="","","|n"&amp;EC$2&amp;"+"&amp;AW36&amp;EC$1)</f>
        <v/>
      </c>
      <c r="ED36" s="43" t="str">
        <f t="shared" ref="ED36:ED52" si="328">IF(AX36="","","|n"&amp;ED$2&amp;"+"&amp;AX36&amp;ED$1)</f>
        <v/>
      </c>
      <c r="EE36" s="43" t="str">
        <f t="shared" ref="EE36:EE52" si="329">IF(AY36="","","|n"&amp;EE$2&amp;"+"&amp;AY36&amp;EE$1)</f>
        <v/>
      </c>
      <c r="EF36" s="43" t="str">
        <f t="shared" ref="EF36:EF52" si="330">IF(AZ36="","","|n"&amp;EF$2&amp;"+"&amp;AZ36&amp;EF$1)</f>
        <v/>
      </c>
      <c r="EG36" s="43" t="str">
        <f t="shared" ref="EG36:EG52" si="331">IF(BA36="","","|n"&amp;EG$2&amp;"+"&amp;BA36&amp;EG$1)</f>
        <v/>
      </c>
      <c r="EH36" s="43" t="str">
        <f t="shared" ref="EH36:EH52" si="332">IF(BB36="","","|n"&amp;EH$2&amp;"+"&amp;BB36&amp;EH$1)</f>
        <v/>
      </c>
      <c r="EI36" s="43" t="str">
        <f t="shared" ref="EI36:EI52" si="333">IF(BC36="","","|n"&amp;EI$2&amp;"+"&amp;BC36&amp;EI$1)</f>
        <v/>
      </c>
      <c r="EJ36" s="43" t="str">
        <f t="shared" ref="EJ36:EJ52" si="334">IF(BD36="","","|n"&amp;EJ$2&amp;"+"&amp;BD36&amp;EJ$1)</f>
        <v/>
      </c>
      <c r="EK36" s="43" t="str">
        <f t="shared" ref="EK36:EK52" si="335">IF(BE36="","","|n"&amp;EK$2&amp;"+"&amp;BE36&amp;EK$1)</f>
        <v/>
      </c>
      <c r="EL36" s="43" t="str">
        <f t="shared" ref="EL36:EL52" si="336">IF(BF36="","","|n"&amp;EL$2&amp;"+"&amp;BF36&amp;EL$1)</f>
        <v/>
      </c>
      <c r="EM36" s="43" t="str">
        <f t="shared" ref="EM36:EM52" si="337">IF(BG36="","","|n"&amp;EM$2&amp;"+"&amp;BG36&amp;EM$1)</f>
        <v/>
      </c>
      <c r="EN36" s="43" t="str">
        <f t="shared" ref="EN36:EN52" si="338">IF(BH36="","","|n"&amp;EN$2&amp;"+"&amp;BH36&amp;EN$1)</f>
        <v/>
      </c>
      <c r="EO36" s="43" t="str">
        <f t="shared" ref="EO36:EO52" si="339">IF(BI36="","","|n"&amp;EO$2&amp;"+"&amp;BI36&amp;EO$1)</f>
        <v/>
      </c>
      <c r="EP36" s="43" t="str">
        <f t="shared" ref="EP36:EP52" si="340">IF(BJ36="","","|n"&amp;EP$2&amp;"+"&amp;BJ36&amp;EP$1)</f>
        <v/>
      </c>
      <c r="EQ36" s="43" t="str">
        <f t="shared" ref="EQ36:EQ52" si="341">IF(BK36="","","|n"&amp;EQ$2&amp;"+"&amp;BK36&amp;EQ$1)</f>
        <v/>
      </c>
      <c r="ER36" s="43" t="str">
        <f t="shared" ref="ER36:ER52" si="342">IF(BL36="","","|n"&amp;ER$2&amp;"+"&amp;BL36&amp;ER$1)</f>
        <v/>
      </c>
      <c r="ES36" s="43" t="str">
        <f t="shared" ref="ES36:ES52" si="343">IF(BM36="","","|n"&amp;ES$2&amp;"+"&amp;BM36&amp;ES$1)</f>
        <v/>
      </c>
      <c r="ET36" s="43" t="str">
        <f t="shared" ref="ET36:ET52" si="344">IF(BN36="","","|n"&amp;ET$2&amp;"+"&amp;BN36&amp;ET$1)</f>
        <v/>
      </c>
      <c r="EU36" s="43" t="str">
        <f t="shared" ref="EU36:EU52" si="345">IF(BO36="","","|n"&amp;EU$2&amp;"+"&amp;BO36&amp;EU$1)</f>
        <v/>
      </c>
      <c r="EV36" s="43" t="str">
        <f t="shared" ref="EV36:EV52" si="346">IF(BP36="","","|n"&amp;EV$2&amp;"+"&amp;BP36&amp;EV$1)</f>
        <v/>
      </c>
      <c r="EW36" s="43" t="str">
        <f t="shared" ref="EW36:EW52" si="347">IF(BQ36="","","|n"&amp;EW$2&amp;"+"&amp;BQ36&amp;EW$1)</f>
        <v>|n每秒业力+9</v>
      </c>
      <c r="EX36" s="43" t="str">
        <f t="shared" ref="EX36:EX52" si="348">IF(BR36="","","|n"&amp;EX$2&amp;"+"&amp;BR36&amp;EX$1)</f>
        <v/>
      </c>
      <c r="EY36" s="43" t="str">
        <f t="shared" ref="EY36:EY52" si="349">IF(BS36="","","|n"&amp;EY$2&amp;"+"&amp;BS36&amp;EY$1)</f>
        <v/>
      </c>
      <c r="EZ36" s="43" t="str">
        <f t="shared" ref="EZ36:EZ52" si="350">IF(BT36="","","|n"&amp;EZ$2&amp;"+"&amp;BT36&amp;EZ$1)</f>
        <v/>
      </c>
      <c r="FA36" s="43" t="str">
        <f t="shared" ref="FA36:FA52" si="351">IF(BU36="","","|n"&amp;FA$2&amp;"+"&amp;BU36&amp;FA$1)</f>
        <v/>
      </c>
      <c r="FB36" s="43" t="str">
        <f t="shared" ref="FB36:FB52" si="352">IF(BV36="","","|n"&amp;FB$2&amp;"+"&amp;BV36&amp;FB$1)</f>
        <v/>
      </c>
      <c r="FC36" s="43" t="str">
        <f t="shared" ref="FC36:FC52" si="353">IF(BW36="","","|n"&amp;FC$2&amp;"+"&amp;BW36&amp;FC$1)</f>
        <v/>
      </c>
      <c r="FD36" s="43" t="str">
        <f t="shared" ref="FD36:FD52" si="354">IF(BX36="","","|n"&amp;FD$2&amp;"+"&amp;BX36&amp;FD$1)</f>
        <v/>
      </c>
      <c r="FE36" s="43" t="str">
        <f t="shared" ref="FE36:FE52" si="355">IF(BY36="","","|n"&amp;FE$2&amp;"+"&amp;BY36&amp;FE$1)</f>
        <v/>
      </c>
      <c r="FF36" s="43" t="str">
        <f t="shared" ref="FF36:FF52" si="356">IF(BZ36="","","|n"&amp;FF$2&amp;"+"&amp;BZ36&amp;FF$1)</f>
        <v/>
      </c>
      <c r="FG36" s="43" t="str">
        <f t="shared" ref="FG36:FG52" si="357">IF(CA36="","","|n"&amp;FG$2&amp;"+"&amp;CA36&amp;FG$1)</f>
        <v/>
      </c>
      <c r="FH36" s="43" t="str">
        <f t="shared" ref="FH36:FH52" si="358">IF(CB36="","","|n"&amp;FH$2&amp;"+"&amp;CB36&amp;FH$1)</f>
        <v/>
      </c>
      <c r="FI36" s="43" t="str">
        <f t="shared" ref="FI36:FI52" si="359">IF(CC36="","","|n"&amp;FI$2&amp;"+"&amp;CC36&amp;FI$1)</f>
        <v/>
      </c>
      <c r="FJ36" s="43" t="str">
        <f t="shared" ref="FJ36:FJ52" si="360">IF(CD36="","","|n"&amp;FJ$2&amp;"+"&amp;CD36&amp;FJ$1)</f>
        <v/>
      </c>
      <c r="FK36" s="43" t="str">
        <f t="shared" ref="FK36:FK52" si="361">IF(CE36="","","|n"&amp;FK$2&amp;"+"&amp;CE36&amp;FK$1)</f>
        <v/>
      </c>
      <c r="FL36" s="43" t="str">
        <f t="shared" ref="FL36:FL52" si="362">IF(CF36="","","|n"&amp;FL$2&amp;"+"&amp;CF36&amp;FL$1)</f>
        <v/>
      </c>
      <c r="FM36" s="43" t="str">
        <f t="shared" ref="FM36:FM52" si="363">IF(CG36="","","|n"&amp;FM$2&amp;"+"&amp;CG36&amp;FM$1)</f>
        <v/>
      </c>
      <c r="FN36" s="43" t="str">
        <f t="shared" ref="FN36:FN52" si="364">IF(CH36="","","|n"&amp;FN$2&amp;"+"&amp;CH36&amp;FN$1)</f>
        <v/>
      </c>
      <c r="FO36" s="43" t="str">
        <f t="shared" ref="FO36:FO52" si="365">IF(CI36="","","|n"&amp;FO$2&amp;"+"&amp;CI36&amp;FO$1)</f>
        <v/>
      </c>
      <c r="FP36" s="43" t="str">
        <f t="shared" ref="FP36:FP52" si="366">IF(CJ36="","","|n"&amp;FP$2&amp;"+"&amp;CJ36&amp;FP$1)</f>
        <v/>
      </c>
      <c r="FQ36" s="43" t="str">
        <f t="shared" ref="FQ36:FQ52" si="367">IF(CK36="","","|n"&amp;FQ$2&amp;"+"&amp;CK36&amp;FQ$1)</f>
        <v/>
      </c>
      <c r="FR36" s="43" t="str">
        <f t="shared" ref="FR36:FR52" si="368">IF(CL36="","","|n"&amp;FR$2&amp;"+"&amp;CL36&amp;FR$1)</f>
        <v/>
      </c>
      <c r="FS36" s="43" t="str">
        <f t="shared" ref="FS36:FS52" si="369">IF(CM36="","","|n"&amp;FS$2&amp;"+"&amp;CM36&amp;FS$1)</f>
        <v/>
      </c>
    </row>
    <row r="37" s="6" customFormat="1" ht="15" spans="1:175">
      <c r="A37" s="10"/>
      <c r="B37" s="45" t="s">
        <v>246</v>
      </c>
      <c r="C37" s="3" t="s">
        <v>247</v>
      </c>
      <c r="D37" s="7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3"/>
      <c r="Q37" s="53"/>
      <c r="R37" s="53"/>
      <c r="S37" s="53"/>
      <c r="T37" s="58" t="str">
        <f t="shared" si="292"/>
        <v>|n攻击6%概率范围|cffff4646业力*15|r魔法伤害|n|n|Cff00ff7f击杀200只怪有50%概率升级|r</v>
      </c>
      <c r="U37" s="59" t="s">
        <v>239</v>
      </c>
      <c r="V37" s="60">
        <f t="shared" si="293"/>
        <v>7500</v>
      </c>
      <c r="W37" s="60"/>
      <c r="X37"/>
      <c r="Y37" s="60"/>
      <c r="Z37" s="60">
        <v>37500</v>
      </c>
      <c r="AA37" s="60"/>
      <c r="AB37" s="60">
        <f t="shared" si="294"/>
        <v>750</v>
      </c>
      <c r="AC37" s="60"/>
      <c r="AD37" s="60">
        <v>55</v>
      </c>
      <c r="AE37" s="60">
        <v>6</v>
      </c>
      <c r="AF37" s="60"/>
      <c r="AG37" s="64"/>
      <c r="AH37" s="60"/>
      <c r="AI37" s="60"/>
      <c r="AJ37" s="60"/>
      <c r="AK37" s="60"/>
      <c r="AL37" s="64"/>
      <c r="AM37" s="60"/>
      <c r="AN37" s="60"/>
      <c r="AO37" s="60"/>
      <c r="AP37" s="60"/>
      <c r="AQ37" s="60"/>
      <c r="AR37" s="66"/>
      <c r="AS37" s="66"/>
      <c r="AT37" s="60"/>
      <c r="AU37" s="60"/>
      <c r="AV37" s="60"/>
      <c r="AW37" s="60"/>
      <c r="AX37" s="60"/>
      <c r="AY37" s="60"/>
      <c r="AZ37" s="60"/>
      <c r="BA37" s="60"/>
      <c r="BB37" s="60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60"/>
      <c r="CF37" s="60"/>
      <c r="CG37" s="60"/>
      <c r="CH37" s="60"/>
      <c r="CI37" s="60"/>
      <c r="CJ37" s="60"/>
      <c r="CK37" s="60"/>
      <c r="CL37" s="60"/>
      <c r="CM37" s="60"/>
      <c r="CN37" s="69" t="str">
        <f t="shared" si="295"/>
        <v>InitUnitState('E110',7500,,,,37500,,750,,55,6)</v>
      </c>
      <c r="CO37" s="69" t="str">
        <f t="shared" si="296"/>
        <v>InitUnitNormal('E110',,,,,,,,,,)</v>
      </c>
      <c r="CP37" s="69" t="str">
        <f t="shared" si="297"/>
        <v>InitUnitMagic('E110',,,,,,,,,,)</v>
      </c>
      <c r="CQ37" s="69" t="str">
        <f t="shared" si="298"/>
        <v>InitUnitAdd('E110',,,,,,,10,,,)</v>
      </c>
      <c r="CR37" s="69" t="str">
        <f t="shared" si="299"/>
        <v>InitEquipData('E110',200,"",,E111,,50,'','','','','','',"ReplaceableTextures\\CommandButtons\\BTNZ08.blp")</v>
      </c>
      <c r="CS37" s="69"/>
      <c r="CT37" s="69"/>
      <c r="CU37" s="71" t="str">
        <f t="shared" si="78"/>
        <v>|n攻击+7500|n生命值+37500|n生命回复+750|n攻速+55%|n闪避+6%|n每秒业力+10|n</v>
      </c>
      <c r="CV37" s="5" t="str">
        <f>"|Cffbbbbbb属性：|r"&amp;CU37&amp;VLOOKUP(A37,合成公式!A:P,16,FALSE)&amp;T37</f>
        <v>|Cffbbbbbb属性：|r|n攻击+7500|n生命值+37500|n生命回复+750|n攻速+55%|n闪避+6%|n每秒业力+10|n|n攻击6%概率范围|cffff4646业力*15|r魔法伤害|n|n|Cff00ff7f击杀200只怪有50%概率升级|r</v>
      </c>
      <c r="DB37" s="43" t="str">
        <f t="shared" si="300"/>
        <v>|n攻击+7500</v>
      </c>
      <c r="DC37" s="43" t="str">
        <f t="shared" si="301"/>
        <v/>
      </c>
      <c r="DD37" s="43" t="str">
        <f t="shared" si="302"/>
        <v/>
      </c>
      <c r="DE37" s="43" t="str">
        <f t="shared" si="303"/>
        <v/>
      </c>
      <c r="DF37" s="43" t="str">
        <f t="shared" si="304"/>
        <v>|n生命值+37500</v>
      </c>
      <c r="DG37" s="43" t="str">
        <f t="shared" si="305"/>
        <v/>
      </c>
      <c r="DH37" s="43" t="str">
        <f t="shared" si="306"/>
        <v>|n生命回复+750</v>
      </c>
      <c r="DI37" s="43" t="str">
        <f t="shared" si="307"/>
        <v/>
      </c>
      <c r="DJ37" s="43" t="str">
        <f t="shared" si="308"/>
        <v>|n攻速+55%</v>
      </c>
      <c r="DK37" s="43" t="str">
        <f t="shared" si="309"/>
        <v>|n闪避+6%</v>
      </c>
      <c r="DL37" s="43" t="str">
        <f t="shared" si="310"/>
        <v/>
      </c>
      <c r="DM37" s="43" t="str">
        <f t="shared" si="311"/>
        <v/>
      </c>
      <c r="DN37" s="43" t="str">
        <f t="shared" si="312"/>
        <v/>
      </c>
      <c r="DO37" s="43" t="str">
        <f t="shared" si="313"/>
        <v/>
      </c>
      <c r="DP37" s="43" t="str">
        <f t="shared" si="314"/>
        <v/>
      </c>
      <c r="DQ37" s="43" t="str">
        <f t="shared" si="315"/>
        <v/>
      </c>
      <c r="DR37" s="43" t="str">
        <f t="shared" si="316"/>
        <v/>
      </c>
      <c r="DS37" s="43" t="str">
        <f t="shared" si="317"/>
        <v/>
      </c>
      <c r="DT37" s="43" t="str">
        <f t="shared" si="318"/>
        <v/>
      </c>
      <c r="DU37" s="43" t="str">
        <f t="shared" si="319"/>
        <v/>
      </c>
      <c r="DV37" s="43" t="str">
        <f t="shared" si="320"/>
        <v/>
      </c>
      <c r="DW37" s="43" t="str">
        <f t="shared" si="321"/>
        <v/>
      </c>
      <c r="DX37" s="43" t="str">
        <f t="shared" si="322"/>
        <v/>
      </c>
      <c r="DY37" s="43" t="str">
        <f t="shared" si="323"/>
        <v/>
      </c>
      <c r="DZ37" s="43" t="str">
        <f t="shared" si="324"/>
        <v/>
      </c>
      <c r="EA37" s="43" t="str">
        <f t="shared" si="325"/>
        <v/>
      </c>
      <c r="EB37" s="43" t="str">
        <f t="shared" si="326"/>
        <v/>
      </c>
      <c r="EC37" s="43" t="str">
        <f t="shared" si="327"/>
        <v/>
      </c>
      <c r="ED37" s="43" t="str">
        <f t="shared" si="328"/>
        <v/>
      </c>
      <c r="EE37" s="43" t="str">
        <f t="shared" si="329"/>
        <v/>
      </c>
      <c r="EF37" s="43" t="str">
        <f t="shared" si="330"/>
        <v/>
      </c>
      <c r="EG37" s="43" t="str">
        <f t="shared" si="331"/>
        <v/>
      </c>
      <c r="EH37" s="43" t="str">
        <f t="shared" si="332"/>
        <v/>
      </c>
      <c r="EI37" s="43" t="str">
        <f t="shared" si="333"/>
        <v/>
      </c>
      <c r="EJ37" s="43" t="str">
        <f t="shared" si="334"/>
        <v/>
      </c>
      <c r="EK37" s="43" t="str">
        <f t="shared" si="335"/>
        <v/>
      </c>
      <c r="EL37" s="43" t="str">
        <f t="shared" si="336"/>
        <v/>
      </c>
      <c r="EM37" s="43" t="str">
        <f t="shared" si="337"/>
        <v/>
      </c>
      <c r="EN37" s="43" t="str">
        <f t="shared" si="338"/>
        <v/>
      </c>
      <c r="EO37" s="43" t="str">
        <f t="shared" si="339"/>
        <v/>
      </c>
      <c r="EP37" s="43" t="str">
        <f t="shared" si="340"/>
        <v/>
      </c>
      <c r="EQ37" s="43" t="str">
        <f t="shared" si="341"/>
        <v/>
      </c>
      <c r="ER37" s="43" t="str">
        <f t="shared" si="342"/>
        <v/>
      </c>
      <c r="ES37" s="43" t="str">
        <f t="shared" si="343"/>
        <v/>
      </c>
      <c r="ET37" s="43" t="str">
        <f t="shared" si="344"/>
        <v/>
      </c>
      <c r="EU37" s="43" t="str">
        <f t="shared" si="345"/>
        <v/>
      </c>
      <c r="EV37" s="43" t="str">
        <f t="shared" si="346"/>
        <v/>
      </c>
      <c r="EW37" s="43" t="str">
        <f t="shared" si="347"/>
        <v>|n每秒业力+10</v>
      </c>
      <c r="EX37" s="43" t="str">
        <f t="shared" si="348"/>
        <v/>
      </c>
      <c r="EY37" s="43" t="str">
        <f t="shared" si="349"/>
        <v/>
      </c>
      <c r="EZ37" s="43" t="str">
        <f t="shared" si="350"/>
        <v/>
      </c>
      <c r="FA37" s="43" t="str">
        <f t="shared" si="351"/>
        <v/>
      </c>
      <c r="FB37" s="43" t="str">
        <f t="shared" si="352"/>
        <v/>
      </c>
      <c r="FC37" s="43" t="str">
        <f t="shared" si="353"/>
        <v/>
      </c>
      <c r="FD37" s="43" t="str">
        <f t="shared" si="354"/>
        <v/>
      </c>
      <c r="FE37" s="43" t="str">
        <f t="shared" si="355"/>
        <v/>
      </c>
      <c r="FF37" s="43" t="str">
        <f t="shared" si="356"/>
        <v/>
      </c>
      <c r="FG37" s="43" t="str">
        <f t="shared" si="357"/>
        <v/>
      </c>
      <c r="FH37" s="43" t="str">
        <f t="shared" si="358"/>
        <v/>
      </c>
      <c r="FI37" s="43" t="str">
        <f t="shared" si="359"/>
        <v/>
      </c>
      <c r="FJ37" s="43" t="str">
        <f t="shared" si="360"/>
        <v/>
      </c>
      <c r="FK37" s="43" t="str">
        <f t="shared" si="361"/>
        <v/>
      </c>
      <c r="FL37" s="43" t="str">
        <f t="shared" si="362"/>
        <v/>
      </c>
      <c r="FM37" s="43" t="str">
        <f t="shared" si="363"/>
        <v/>
      </c>
      <c r="FN37" s="43" t="str">
        <f t="shared" si="364"/>
        <v/>
      </c>
      <c r="FO37" s="43" t="str">
        <f t="shared" si="365"/>
        <v/>
      </c>
      <c r="FP37" s="43" t="str">
        <f t="shared" si="366"/>
        <v/>
      </c>
      <c r="FQ37" s="43" t="str">
        <f t="shared" si="367"/>
        <v/>
      </c>
      <c r="FR37" s="43" t="str">
        <f t="shared" si="368"/>
        <v/>
      </c>
      <c r="FS37" s="43" t="str">
        <f t="shared" si="369"/>
        <v/>
      </c>
    </row>
    <row r="38" s="6" customFormat="1" ht="15" spans="1:175">
      <c r="A38" s="10"/>
      <c r="B38" s="45" t="s">
        <v>248</v>
      </c>
      <c r="C38" s="3" t="s">
        <v>249</v>
      </c>
      <c r="D38" s="7">
        <v>300</v>
      </c>
      <c r="E38" s="47"/>
      <c r="F38" s="48"/>
      <c r="G38" s="49">
        <v>50</v>
      </c>
      <c r="H38" s="49"/>
      <c r="I38" s="49" t="str">
        <f t="shared" ref="I38:I43" si="370">B39</f>
        <v>E112</v>
      </c>
      <c r="J38" s="49"/>
      <c r="K38" s="49"/>
      <c r="L38" s="49"/>
      <c r="M38" s="49"/>
      <c r="N38" s="49"/>
      <c r="O38" s="49"/>
      <c r="P38" s="53"/>
      <c r="Q38" s="53"/>
      <c r="R38" s="53"/>
      <c r="S38" s="53"/>
      <c r="T38" s="58" t="str">
        <f t="shared" si="292"/>
        <v>|n攻击6%概率范围|cffff4646业力*15|r魔法伤害|n|n|Cff00ff7f击杀300只怪有50%概率升级|r</v>
      </c>
      <c r="U38" s="59" t="s">
        <v>250</v>
      </c>
      <c r="V38" s="60">
        <f t="shared" si="293"/>
        <v>15000</v>
      </c>
      <c r="W38" s="60"/>
      <c r="X38"/>
      <c r="Y38" s="60"/>
      <c r="Z38" s="60">
        <v>75000</v>
      </c>
      <c r="AA38" s="60"/>
      <c r="AB38" s="60">
        <f t="shared" si="294"/>
        <v>1500</v>
      </c>
      <c r="AC38" s="60"/>
      <c r="AD38" s="60">
        <v>60</v>
      </c>
      <c r="AE38" s="60">
        <v>9</v>
      </c>
      <c r="AF38" s="60"/>
      <c r="AG38" s="64"/>
      <c r="AH38" s="60"/>
      <c r="AI38" s="60"/>
      <c r="AJ38" s="60"/>
      <c r="AK38" s="60"/>
      <c r="AL38" s="64"/>
      <c r="AM38" s="60"/>
      <c r="AN38" s="60"/>
      <c r="AO38" s="60"/>
      <c r="AP38" s="60"/>
      <c r="AQ38" s="60"/>
      <c r="AR38" s="66"/>
      <c r="AS38" s="66"/>
      <c r="AT38" s="60"/>
      <c r="AU38" s="60"/>
      <c r="AV38" s="60"/>
      <c r="AW38" s="60"/>
      <c r="AX38" s="60"/>
      <c r="AY38" s="60"/>
      <c r="AZ38" s="60"/>
      <c r="BA38" s="60"/>
      <c r="BB38" s="60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60"/>
      <c r="CF38" s="60"/>
      <c r="CG38" s="60"/>
      <c r="CH38" s="60"/>
      <c r="CI38" s="60"/>
      <c r="CJ38" s="60"/>
      <c r="CK38" s="60"/>
      <c r="CL38" s="60"/>
      <c r="CM38" s="60"/>
      <c r="CN38" s="69" t="str">
        <f t="shared" si="295"/>
        <v>InitUnitState('E111',15000,,,,75000,,1500,,60,9)</v>
      </c>
      <c r="CO38" s="69" t="str">
        <f t="shared" si="296"/>
        <v>InitUnitNormal('E111',,,,,,,,,,)</v>
      </c>
      <c r="CP38" s="69" t="str">
        <f t="shared" si="297"/>
        <v>InitUnitMagic('E111',,,,,,,,,,)</v>
      </c>
      <c r="CQ38" s="69" t="str">
        <f t="shared" si="298"/>
        <v>InitUnitAdd('E111',,,,,,,11,,,)</v>
      </c>
      <c r="CR38" s="69" t="str">
        <f t="shared" si="299"/>
        <v>InitEquipData('E111',300,"",,E112,,50,'','','','','','',"ReplaceableTextures\\CommandButtons\\BTNZ08.blp")</v>
      </c>
      <c r="CS38" s="69"/>
      <c r="CT38" s="69"/>
      <c r="CU38" s="71" t="str">
        <f t="shared" si="78"/>
        <v>|n攻击+15000|n生命值+75000|n生命回复+1500|n攻速+60%|n闪避+9%|n每秒业力+11|n</v>
      </c>
      <c r="CV38" s="5" t="str">
        <f>"|Cffbbbbbb属性：|r"&amp;CU38&amp;VLOOKUP(A38,合成公式!A:P,16,FALSE)&amp;T38</f>
        <v>|Cffbbbbbb属性：|r|n攻击+15000|n生命值+75000|n生命回复+1500|n攻速+60%|n闪避+9%|n每秒业力+11|n|n攻击6%概率范围|cffff4646业力*15|r魔法伤害|n|n|Cff00ff7f击杀300只怪有50%概率升级|r</v>
      </c>
      <c r="DB38" s="43" t="str">
        <f t="shared" si="300"/>
        <v>|n攻击+15000</v>
      </c>
      <c r="DC38" s="43" t="str">
        <f t="shared" si="301"/>
        <v/>
      </c>
      <c r="DD38" s="43" t="str">
        <f t="shared" si="302"/>
        <v/>
      </c>
      <c r="DE38" s="43" t="str">
        <f t="shared" si="303"/>
        <v/>
      </c>
      <c r="DF38" s="43" t="str">
        <f t="shared" si="304"/>
        <v>|n生命值+75000</v>
      </c>
      <c r="DG38" s="43" t="str">
        <f t="shared" si="305"/>
        <v/>
      </c>
      <c r="DH38" s="43" t="str">
        <f t="shared" si="306"/>
        <v>|n生命回复+1500</v>
      </c>
      <c r="DI38" s="43" t="str">
        <f t="shared" si="307"/>
        <v/>
      </c>
      <c r="DJ38" s="43" t="str">
        <f t="shared" si="308"/>
        <v>|n攻速+60%</v>
      </c>
      <c r="DK38" s="43" t="str">
        <f t="shared" si="309"/>
        <v>|n闪避+9%</v>
      </c>
      <c r="DL38" s="43" t="str">
        <f t="shared" si="310"/>
        <v/>
      </c>
      <c r="DM38" s="43" t="str">
        <f t="shared" si="311"/>
        <v/>
      </c>
      <c r="DN38" s="43" t="str">
        <f t="shared" si="312"/>
        <v/>
      </c>
      <c r="DO38" s="43" t="str">
        <f t="shared" si="313"/>
        <v/>
      </c>
      <c r="DP38" s="43" t="str">
        <f t="shared" si="314"/>
        <v/>
      </c>
      <c r="DQ38" s="43" t="str">
        <f t="shared" si="315"/>
        <v/>
      </c>
      <c r="DR38" s="43" t="str">
        <f t="shared" si="316"/>
        <v/>
      </c>
      <c r="DS38" s="43" t="str">
        <f t="shared" si="317"/>
        <v/>
      </c>
      <c r="DT38" s="43" t="str">
        <f t="shared" si="318"/>
        <v/>
      </c>
      <c r="DU38" s="43" t="str">
        <f t="shared" si="319"/>
        <v/>
      </c>
      <c r="DV38" s="43" t="str">
        <f t="shared" si="320"/>
        <v/>
      </c>
      <c r="DW38" s="43" t="str">
        <f t="shared" si="321"/>
        <v/>
      </c>
      <c r="DX38" s="43" t="str">
        <f t="shared" si="322"/>
        <v/>
      </c>
      <c r="DY38" s="43" t="str">
        <f t="shared" si="323"/>
        <v/>
      </c>
      <c r="DZ38" s="43" t="str">
        <f t="shared" si="324"/>
        <v/>
      </c>
      <c r="EA38" s="43" t="str">
        <f t="shared" si="325"/>
        <v/>
      </c>
      <c r="EB38" s="43" t="str">
        <f t="shared" si="326"/>
        <v/>
      </c>
      <c r="EC38" s="43" t="str">
        <f t="shared" si="327"/>
        <v/>
      </c>
      <c r="ED38" s="43" t="str">
        <f t="shared" si="328"/>
        <v/>
      </c>
      <c r="EE38" s="43" t="str">
        <f t="shared" si="329"/>
        <v/>
      </c>
      <c r="EF38" s="43" t="str">
        <f t="shared" si="330"/>
        <v/>
      </c>
      <c r="EG38" s="43" t="str">
        <f t="shared" si="331"/>
        <v/>
      </c>
      <c r="EH38" s="43" t="str">
        <f t="shared" si="332"/>
        <v/>
      </c>
      <c r="EI38" s="43" t="str">
        <f t="shared" si="333"/>
        <v/>
      </c>
      <c r="EJ38" s="43" t="str">
        <f t="shared" si="334"/>
        <v/>
      </c>
      <c r="EK38" s="43" t="str">
        <f t="shared" si="335"/>
        <v/>
      </c>
      <c r="EL38" s="43" t="str">
        <f t="shared" si="336"/>
        <v/>
      </c>
      <c r="EM38" s="43" t="str">
        <f t="shared" si="337"/>
        <v/>
      </c>
      <c r="EN38" s="43" t="str">
        <f t="shared" si="338"/>
        <v/>
      </c>
      <c r="EO38" s="43" t="str">
        <f t="shared" si="339"/>
        <v/>
      </c>
      <c r="EP38" s="43" t="str">
        <f t="shared" si="340"/>
        <v/>
      </c>
      <c r="EQ38" s="43" t="str">
        <f t="shared" si="341"/>
        <v/>
      </c>
      <c r="ER38" s="43" t="str">
        <f t="shared" si="342"/>
        <v/>
      </c>
      <c r="ES38" s="43" t="str">
        <f t="shared" si="343"/>
        <v/>
      </c>
      <c r="ET38" s="43" t="str">
        <f t="shared" si="344"/>
        <v/>
      </c>
      <c r="EU38" s="43" t="str">
        <f t="shared" si="345"/>
        <v/>
      </c>
      <c r="EV38" s="43" t="str">
        <f t="shared" si="346"/>
        <v/>
      </c>
      <c r="EW38" s="43" t="str">
        <f t="shared" si="347"/>
        <v>|n每秒业力+11</v>
      </c>
      <c r="EX38" s="43" t="str">
        <f t="shared" si="348"/>
        <v/>
      </c>
      <c r="EY38" s="43" t="str">
        <f t="shared" si="349"/>
        <v/>
      </c>
      <c r="EZ38" s="43" t="str">
        <f t="shared" si="350"/>
        <v/>
      </c>
      <c r="FA38" s="43" t="str">
        <f t="shared" si="351"/>
        <v/>
      </c>
      <c r="FB38" s="43" t="str">
        <f t="shared" si="352"/>
        <v/>
      </c>
      <c r="FC38" s="43" t="str">
        <f t="shared" si="353"/>
        <v/>
      </c>
      <c r="FD38" s="43" t="str">
        <f t="shared" si="354"/>
        <v/>
      </c>
      <c r="FE38" s="43" t="str">
        <f t="shared" si="355"/>
        <v/>
      </c>
      <c r="FF38" s="43" t="str">
        <f t="shared" si="356"/>
        <v/>
      </c>
      <c r="FG38" s="43" t="str">
        <f t="shared" si="357"/>
        <v/>
      </c>
      <c r="FH38" s="43" t="str">
        <f t="shared" si="358"/>
        <v/>
      </c>
      <c r="FI38" s="43" t="str">
        <f t="shared" si="359"/>
        <v/>
      </c>
      <c r="FJ38" s="43" t="str">
        <f t="shared" si="360"/>
        <v/>
      </c>
      <c r="FK38" s="43" t="str">
        <f t="shared" si="361"/>
        <v/>
      </c>
      <c r="FL38" s="43" t="str">
        <f t="shared" si="362"/>
        <v/>
      </c>
      <c r="FM38" s="43" t="str">
        <f t="shared" si="363"/>
        <v/>
      </c>
      <c r="FN38" s="43" t="str">
        <f t="shared" si="364"/>
        <v/>
      </c>
      <c r="FO38" s="43" t="str">
        <f t="shared" si="365"/>
        <v/>
      </c>
      <c r="FP38" s="43" t="str">
        <f t="shared" si="366"/>
        <v/>
      </c>
      <c r="FQ38" s="43" t="str">
        <f t="shared" si="367"/>
        <v/>
      </c>
      <c r="FR38" s="43" t="str">
        <f t="shared" si="368"/>
        <v/>
      </c>
      <c r="FS38" s="43" t="str">
        <f t="shared" si="369"/>
        <v/>
      </c>
    </row>
    <row r="39" s="6" customFormat="1" ht="15" spans="1:175">
      <c r="A39" s="10"/>
      <c r="B39" s="45" t="s">
        <v>251</v>
      </c>
      <c r="C39" s="3" t="s">
        <v>252</v>
      </c>
      <c r="D39" s="7">
        <v>300</v>
      </c>
      <c r="E39" s="47"/>
      <c r="F39" s="48"/>
      <c r="G39" s="49">
        <v>50</v>
      </c>
      <c r="H39" s="49"/>
      <c r="I39" s="49" t="str">
        <f t="shared" si="370"/>
        <v>E113</v>
      </c>
      <c r="J39" s="49"/>
      <c r="K39" s="49"/>
      <c r="L39" s="49"/>
      <c r="M39" s="49"/>
      <c r="N39" s="49"/>
      <c r="O39" s="49"/>
      <c r="P39" s="53"/>
      <c r="Q39" s="53"/>
      <c r="R39" s="53"/>
      <c r="S39" s="53"/>
      <c r="T39" s="58" t="str">
        <f t="shared" si="292"/>
        <v>|n攻击6%概率范围|cffff4646业力*15|r魔法伤害|n|n|Cff00ff7f击杀300只怪有50%概率升级|r</v>
      </c>
      <c r="U39" s="59" t="s">
        <v>250</v>
      </c>
      <c r="V39" s="60">
        <f t="shared" si="293"/>
        <v>19500</v>
      </c>
      <c r="W39" s="60"/>
      <c r="X39" s="60"/>
      <c r="Y39" s="60"/>
      <c r="Z39" s="60">
        <v>97500</v>
      </c>
      <c r="AA39" s="60"/>
      <c r="AB39" s="60">
        <f t="shared" si="294"/>
        <v>1950</v>
      </c>
      <c r="AC39" s="60"/>
      <c r="AD39" s="60">
        <v>65</v>
      </c>
      <c r="AE39" s="60">
        <v>9</v>
      </c>
      <c r="AF39" s="60"/>
      <c r="AG39" s="64"/>
      <c r="AH39" s="60"/>
      <c r="AI39" s="60"/>
      <c r="AJ39" s="60"/>
      <c r="AK39" s="60"/>
      <c r="AL39" s="64"/>
      <c r="AM39" s="60"/>
      <c r="AN39" s="60"/>
      <c r="AO39" s="60"/>
      <c r="AP39" s="60"/>
      <c r="AQ39" s="60"/>
      <c r="AR39" s="66"/>
      <c r="AS39" s="66"/>
      <c r="AT39" s="60"/>
      <c r="AU39" s="60"/>
      <c r="AV39" s="60"/>
      <c r="AW39" s="60"/>
      <c r="AX39" s="60"/>
      <c r="AY39" s="60"/>
      <c r="AZ39" s="60"/>
      <c r="BA39" s="60"/>
      <c r="BB39" s="60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60"/>
      <c r="CF39" s="60"/>
      <c r="CG39" s="60"/>
      <c r="CH39" s="60"/>
      <c r="CI39" s="60"/>
      <c r="CJ39" s="60"/>
      <c r="CK39" s="60"/>
      <c r="CL39" s="60"/>
      <c r="CM39" s="60"/>
      <c r="CN39" s="69" t="str">
        <f t="shared" si="295"/>
        <v>InitUnitState('E112',19500,,,,97500,,1950,,65,9)</v>
      </c>
      <c r="CO39" s="69" t="str">
        <f t="shared" si="296"/>
        <v>InitUnitNormal('E112',,,,,,,,,,)</v>
      </c>
      <c r="CP39" s="69" t="str">
        <f t="shared" si="297"/>
        <v>InitUnitMagic('E112',,,,,,,,,,)</v>
      </c>
      <c r="CQ39" s="69" t="str">
        <f t="shared" si="298"/>
        <v>InitUnitAdd('E112',,,,,,,12,,,)</v>
      </c>
      <c r="CR39" s="69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9"/>
      <c r="CT39" s="69"/>
      <c r="CU39" s="71" t="str">
        <f t="shared" si="78"/>
        <v>|n攻击+19500|n生命值+97500|n生命回复+1950|n攻速+65%|n闪避+9%|n每秒业力+12|n</v>
      </c>
      <c r="CV39" s="5" t="str">
        <f>"|Cffbbbbbb属性：|r"&amp;CU39&amp;VLOOKUP(A39,合成公式!A:P,16,FALSE)&amp;T39</f>
        <v>|Cffbbbbbb属性：|r|n攻击+19500|n生命值+97500|n生命回复+1950|n攻速+65%|n闪避+9%|n每秒业力+12|n|n攻击6%概率范围|cffff4646业力*15|r魔法伤害|n|n|Cff00ff7f击杀300只怪有50%概率升级|r</v>
      </c>
      <c r="DB39" s="43" t="str">
        <f t="shared" si="300"/>
        <v>|n攻击+19500</v>
      </c>
      <c r="DC39" s="43" t="str">
        <f t="shared" si="301"/>
        <v/>
      </c>
      <c r="DD39" s="43" t="str">
        <f t="shared" si="302"/>
        <v/>
      </c>
      <c r="DE39" s="43" t="str">
        <f t="shared" si="303"/>
        <v/>
      </c>
      <c r="DF39" s="43" t="str">
        <f t="shared" si="304"/>
        <v>|n生命值+97500</v>
      </c>
      <c r="DG39" s="43" t="str">
        <f t="shared" si="305"/>
        <v/>
      </c>
      <c r="DH39" s="43" t="str">
        <f t="shared" si="306"/>
        <v>|n生命回复+1950</v>
      </c>
      <c r="DI39" s="43" t="str">
        <f t="shared" si="307"/>
        <v/>
      </c>
      <c r="DJ39" s="43" t="str">
        <f t="shared" si="308"/>
        <v>|n攻速+65%</v>
      </c>
      <c r="DK39" s="43" t="str">
        <f t="shared" si="309"/>
        <v>|n闪避+9%</v>
      </c>
      <c r="DL39" s="43" t="str">
        <f t="shared" si="310"/>
        <v/>
      </c>
      <c r="DM39" s="43" t="str">
        <f t="shared" si="311"/>
        <v/>
      </c>
      <c r="DN39" s="43" t="str">
        <f t="shared" si="312"/>
        <v/>
      </c>
      <c r="DO39" s="43" t="str">
        <f t="shared" si="313"/>
        <v/>
      </c>
      <c r="DP39" s="43" t="str">
        <f t="shared" si="314"/>
        <v/>
      </c>
      <c r="DQ39" s="43" t="str">
        <f t="shared" si="315"/>
        <v/>
      </c>
      <c r="DR39" s="43" t="str">
        <f t="shared" si="316"/>
        <v/>
      </c>
      <c r="DS39" s="43" t="str">
        <f t="shared" si="317"/>
        <v/>
      </c>
      <c r="DT39" s="43" t="str">
        <f t="shared" si="318"/>
        <v/>
      </c>
      <c r="DU39" s="43" t="str">
        <f t="shared" si="319"/>
        <v/>
      </c>
      <c r="DV39" s="43" t="str">
        <f t="shared" si="320"/>
        <v/>
      </c>
      <c r="DW39" s="43" t="str">
        <f t="shared" si="321"/>
        <v/>
      </c>
      <c r="DX39" s="43" t="str">
        <f t="shared" si="322"/>
        <v/>
      </c>
      <c r="DY39" s="43" t="str">
        <f t="shared" si="323"/>
        <v/>
      </c>
      <c r="DZ39" s="43" t="str">
        <f t="shared" si="324"/>
        <v/>
      </c>
      <c r="EA39" s="43" t="str">
        <f t="shared" si="325"/>
        <v/>
      </c>
      <c r="EB39" s="43" t="str">
        <f t="shared" si="326"/>
        <v/>
      </c>
      <c r="EC39" s="43" t="str">
        <f t="shared" si="327"/>
        <v/>
      </c>
      <c r="ED39" s="43" t="str">
        <f t="shared" si="328"/>
        <v/>
      </c>
      <c r="EE39" s="43" t="str">
        <f t="shared" si="329"/>
        <v/>
      </c>
      <c r="EF39" s="43" t="str">
        <f t="shared" si="330"/>
        <v/>
      </c>
      <c r="EG39" s="43" t="str">
        <f t="shared" si="331"/>
        <v/>
      </c>
      <c r="EH39" s="43" t="str">
        <f t="shared" si="332"/>
        <v/>
      </c>
      <c r="EI39" s="43" t="str">
        <f t="shared" si="333"/>
        <v/>
      </c>
      <c r="EJ39" s="43" t="str">
        <f t="shared" si="334"/>
        <v/>
      </c>
      <c r="EK39" s="43" t="str">
        <f t="shared" si="335"/>
        <v/>
      </c>
      <c r="EL39" s="43" t="str">
        <f t="shared" si="336"/>
        <v/>
      </c>
      <c r="EM39" s="43" t="str">
        <f t="shared" si="337"/>
        <v/>
      </c>
      <c r="EN39" s="43" t="str">
        <f t="shared" si="338"/>
        <v/>
      </c>
      <c r="EO39" s="43" t="str">
        <f t="shared" si="339"/>
        <v/>
      </c>
      <c r="EP39" s="43" t="str">
        <f t="shared" si="340"/>
        <v/>
      </c>
      <c r="EQ39" s="43" t="str">
        <f t="shared" si="341"/>
        <v/>
      </c>
      <c r="ER39" s="43" t="str">
        <f t="shared" si="342"/>
        <v/>
      </c>
      <c r="ES39" s="43" t="str">
        <f t="shared" si="343"/>
        <v/>
      </c>
      <c r="ET39" s="43" t="str">
        <f t="shared" si="344"/>
        <v/>
      </c>
      <c r="EU39" s="43" t="str">
        <f t="shared" si="345"/>
        <v/>
      </c>
      <c r="EV39" s="43" t="str">
        <f t="shared" si="346"/>
        <v/>
      </c>
      <c r="EW39" s="43" t="str">
        <f t="shared" si="347"/>
        <v>|n每秒业力+12</v>
      </c>
      <c r="EX39" s="43" t="str">
        <f t="shared" si="348"/>
        <v/>
      </c>
      <c r="EY39" s="43" t="str">
        <f t="shared" si="349"/>
        <v/>
      </c>
      <c r="EZ39" s="43" t="str">
        <f t="shared" si="350"/>
        <v/>
      </c>
      <c r="FA39" s="43" t="str">
        <f t="shared" si="351"/>
        <v/>
      </c>
      <c r="FB39" s="43" t="str">
        <f t="shared" si="352"/>
        <v/>
      </c>
      <c r="FC39" s="43" t="str">
        <f t="shared" si="353"/>
        <v/>
      </c>
      <c r="FD39" s="43" t="str">
        <f t="shared" si="354"/>
        <v/>
      </c>
      <c r="FE39" s="43" t="str">
        <f t="shared" si="355"/>
        <v/>
      </c>
      <c r="FF39" s="43" t="str">
        <f t="shared" si="356"/>
        <v/>
      </c>
      <c r="FG39" s="43" t="str">
        <f t="shared" si="357"/>
        <v/>
      </c>
      <c r="FH39" s="43" t="str">
        <f t="shared" si="358"/>
        <v/>
      </c>
      <c r="FI39" s="43" t="str">
        <f t="shared" si="359"/>
        <v/>
      </c>
      <c r="FJ39" s="43" t="str">
        <f t="shared" si="360"/>
        <v/>
      </c>
      <c r="FK39" s="43" t="str">
        <f t="shared" si="361"/>
        <v/>
      </c>
      <c r="FL39" s="43" t="str">
        <f t="shared" si="362"/>
        <v/>
      </c>
      <c r="FM39" s="43" t="str">
        <f t="shared" si="363"/>
        <v/>
      </c>
      <c r="FN39" s="43" t="str">
        <f t="shared" si="364"/>
        <v/>
      </c>
      <c r="FO39" s="43" t="str">
        <f t="shared" si="365"/>
        <v/>
      </c>
      <c r="FP39" s="43" t="str">
        <f t="shared" si="366"/>
        <v/>
      </c>
      <c r="FQ39" s="43" t="str">
        <f t="shared" si="367"/>
        <v/>
      </c>
      <c r="FR39" s="43" t="str">
        <f t="shared" si="368"/>
        <v/>
      </c>
      <c r="FS39" s="43" t="str">
        <f t="shared" si="369"/>
        <v/>
      </c>
    </row>
    <row r="40" s="6" customFormat="1" ht="15" spans="1:175">
      <c r="A40" s="10"/>
      <c r="B40" s="45" t="s">
        <v>253</v>
      </c>
      <c r="C40" s="3" t="s">
        <v>254</v>
      </c>
      <c r="D40" s="7">
        <v>300</v>
      </c>
      <c r="E40" s="47"/>
      <c r="F40" s="48"/>
      <c r="G40" s="49">
        <v>50</v>
      </c>
      <c r="H40" s="49"/>
      <c r="I40" s="49" t="str">
        <f t="shared" si="370"/>
        <v>E114</v>
      </c>
      <c r="J40" s="49"/>
      <c r="K40" s="49"/>
      <c r="L40" s="49"/>
      <c r="M40" s="49"/>
      <c r="N40" s="49"/>
      <c r="O40" s="49"/>
      <c r="P40" s="53"/>
      <c r="Q40" s="53"/>
      <c r="R40" s="53"/>
      <c r="S40" s="53"/>
      <c r="T40" s="58" t="str">
        <f t="shared" si="292"/>
        <v>|n攻击6%概率范围|cffff4646业力*15|r魔法伤害|n|n|Cff00ff7f击杀300只怪有50%概率升级|r</v>
      </c>
      <c r="U40" s="59" t="s">
        <v>250</v>
      </c>
      <c r="V40" s="60">
        <f t="shared" si="293"/>
        <v>24000</v>
      </c>
      <c r="W40" s="60"/>
      <c r="X40" s="60"/>
      <c r="Y40" s="60"/>
      <c r="Z40" s="60">
        <v>120000</v>
      </c>
      <c r="AA40" s="60"/>
      <c r="AB40" s="60">
        <f t="shared" si="294"/>
        <v>2400</v>
      </c>
      <c r="AC40" s="60"/>
      <c r="AD40" s="60">
        <v>70</v>
      </c>
      <c r="AE40" s="60">
        <v>9</v>
      </c>
      <c r="AF40" s="60"/>
      <c r="AG40" s="64"/>
      <c r="AH40" s="60"/>
      <c r="AI40" s="60"/>
      <c r="AJ40" s="60"/>
      <c r="AK40" s="60"/>
      <c r="AL40" s="64"/>
      <c r="AM40" s="60"/>
      <c r="AN40" s="60"/>
      <c r="AO40" s="60"/>
      <c r="AP40" s="60"/>
      <c r="AQ40" s="60"/>
      <c r="AR40" s="66"/>
      <c r="AS40" s="66"/>
      <c r="AT40" s="60"/>
      <c r="AU40" s="60"/>
      <c r="AV40" s="60"/>
      <c r="AW40" s="60"/>
      <c r="AX40" s="60"/>
      <c r="AY40" s="60"/>
      <c r="AZ40" s="60"/>
      <c r="BA40" s="60"/>
      <c r="BB40" s="6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60"/>
      <c r="CF40" s="60"/>
      <c r="CG40" s="60"/>
      <c r="CH40" s="60"/>
      <c r="CI40" s="60"/>
      <c r="CJ40" s="60"/>
      <c r="CK40" s="60"/>
      <c r="CL40" s="60"/>
      <c r="CM40" s="60"/>
      <c r="CN40" s="69" t="str">
        <f t="shared" si="295"/>
        <v>InitUnitState('E113',24000,,,,120000,,2400,,70,9)</v>
      </c>
      <c r="CO40" s="69" t="str">
        <f t="shared" si="296"/>
        <v>InitUnitNormal('E113',,,,,,,,,,)</v>
      </c>
      <c r="CP40" s="69" t="str">
        <f t="shared" si="297"/>
        <v>InitUnitMagic('E113',,,,,,,,,,)</v>
      </c>
      <c r="CQ40" s="69" t="str">
        <f t="shared" si="298"/>
        <v>InitUnitAdd('E113',,,,,,,13,,,)</v>
      </c>
      <c r="CR40" s="69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9"/>
      <c r="CT40" s="69"/>
      <c r="CU40" s="71" t="str">
        <f t="shared" si="78"/>
        <v>|n攻击+24000|n生命值+120000|n生命回复+2400|n攻速+70%|n闪避+9%|n每秒业力+13|n</v>
      </c>
      <c r="CV40" s="5" t="str">
        <f>"|Cffbbbbbb属性：|r"&amp;CU40&amp;VLOOKUP(A40,合成公式!A:P,16,FALSE)&amp;T40</f>
        <v>|Cffbbbbbb属性：|r|n攻击+24000|n生命值+120000|n生命回复+2400|n攻速+70%|n闪避+9%|n每秒业力+13|n|n攻击6%概率范围|cffff4646业力*15|r魔法伤害|n|n|Cff00ff7f击杀300只怪有50%概率升级|r</v>
      </c>
      <c r="DB40" s="43" t="str">
        <f t="shared" si="300"/>
        <v>|n攻击+24000</v>
      </c>
      <c r="DC40" s="43" t="str">
        <f t="shared" si="301"/>
        <v/>
      </c>
      <c r="DD40" s="43" t="str">
        <f t="shared" si="302"/>
        <v/>
      </c>
      <c r="DE40" s="43" t="str">
        <f t="shared" si="303"/>
        <v/>
      </c>
      <c r="DF40" s="43" t="str">
        <f t="shared" si="304"/>
        <v>|n生命值+120000</v>
      </c>
      <c r="DG40" s="43" t="str">
        <f t="shared" si="305"/>
        <v/>
      </c>
      <c r="DH40" s="43" t="str">
        <f t="shared" si="306"/>
        <v>|n生命回复+2400</v>
      </c>
      <c r="DI40" s="43" t="str">
        <f t="shared" si="307"/>
        <v/>
      </c>
      <c r="DJ40" s="43" t="str">
        <f t="shared" si="308"/>
        <v>|n攻速+70%</v>
      </c>
      <c r="DK40" s="43" t="str">
        <f t="shared" si="309"/>
        <v>|n闪避+9%</v>
      </c>
      <c r="DL40" s="43" t="str">
        <f t="shared" si="310"/>
        <v/>
      </c>
      <c r="DM40" s="43" t="str">
        <f t="shared" si="311"/>
        <v/>
      </c>
      <c r="DN40" s="43" t="str">
        <f t="shared" si="312"/>
        <v/>
      </c>
      <c r="DO40" s="43" t="str">
        <f t="shared" si="313"/>
        <v/>
      </c>
      <c r="DP40" s="43" t="str">
        <f t="shared" si="314"/>
        <v/>
      </c>
      <c r="DQ40" s="43" t="str">
        <f t="shared" si="315"/>
        <v/>
      </c>
      <c r="DR40" s="43" t="str">
        <f t="shared" si="316"/>
        <v/>
      </c>
      <c r="DS40" s="43" t="str">
        <f t="shared" si="317"/>
        <v/>
      </c>
      <c r="DT40" s="43" t="str">
        <f t="shared" si="318"/>
        <v/>
      </c>
      <c r="DU40" s="43" t="str">
        <f t="shared" si="319"/>
        <v/>
      </c>
      <c r="DV40" s="43" t="str">
        <f t="shared" si="320"/>
        <v/>
      </c>
      <c r="DW40" s="43" t="str">
        <f t="shared" si="321"/>
        <v/>
      </c>
      <c r="DX40" s="43" t="str">
        <f t="shared" si="322"/>
        <v/>
      </c>
      <c r="DY40" s="43" t="str">
        <f t="shared" si="323"/>
        <v/>
      </c>
      <c r="DZ40" s="43" t="str">
        <f t="shared" si="324"/>
        <v/>
      </c>
      <c r="EA40" s="43" t="str">
        <f t="shared" si="325"/>
        <v/>
      </c>
      <c r="EB40" s="43" t="str">
        <f t="shared" si="326"/>
        <v/>
      </c>
      <c r="EC40" s="43" t="str">
        <f t="shared" si="327"/>
        <v/>
      </c>
      <c r="ED40" s="43" t="str">
        <f t="shared" si="328"/>
        <v/>
      </c>
      <c r="EE40" s="43" t="str">
        <f t="shared" si="329"/>
        <v/>
      </c>
      <c r="EF40" s="43" t="str">
        <f t="shared" si="330"/>
        <v/>
      </c>
      <c r="EG40" s="43" t="str">
        <f t="shared" si="331"/>
        <v/>
      </c>
      <c r="EH40" s="43" t="str">
        <f t="shared" si="332"/>
        <v/>
      </c>
      <c r="EI40" s="43" t="str">
        <f t="shared" si="333"/>
        <v/>
      </c>
      <c r="EJ40" s="43" t="str">
        <f t="shared" si="334"/>
        <v/>
      </c>
      <c r="EK40" s="43" t="str">
        <f t="shared" si="335"/>
        <v/>
      </c>
      <c r="EL40" s="43" t="str">
        <f t="shared" si="336"/>
        <v/>
      </c>
      <c r="EM40" s="43" t="str">
        <f t="shared" si="337"/>
        <v/>
      </c>
      <c r="EN40" s="43" t="str">
        <f t="shared" si="338"/>
        <v/>
      </c>
      <c r="EO40" s="43" t="str">
        <f t="shared" si="339"/>
        <v/>
      </c>
      <c r="EP40" s="43" t="str">
        <f t="shared" si="340"/>
        <v/>
      </c>
      <c r="EQ40" s="43" t="str">
        <f t="shared" si="341"/>
        <v/>
      </c>
      <c r="ER40" s="43" t="str">
        <f t="shared" si="342"/>
        <v/>
      </c>
      <c r="ES40" s="43" t="str">
        <f t="shared" si="343"/>
        <v/>
      </c>
      <c r="ET40" s="43" t="str">
        <f t="shared" si="344"/>
        <v/>
      </c>
      <c r="EU40" s="43" t="str">
        <f t="shared" si="345"/>
        <v/>
      </c>
      <c r="EV40" s="43" t="str">
        <f t="shared" si="346"/>
        <v/>
      </c>
      <c r="EW40" s="43" t="str">
        <f t="shared" si="347"/>
        <v>|n每秒业力+13</v>
      </c>
      <c r="EX40" s="43" t="str">
        <f t="shared" si="348"/>
        <v/>
      </c>
      <c r="EY40" s="43" t="str">
        <f t="shared" si="349"/>
        <v/>
      </c>
      <c r="EZ40" s="43" t="str">
        <f t="shared" si="350"/>
        <v/>
      </c>
      <c r="FA40" s="43" t="str">
        <f t="shared" si="351"/>
        <v/>
      </c>
      <c r="FB40" s="43" t="str">
        <f t="shared" si="352"/>
        <v/>
      </c>
      <c r="FC40" s="43" t="str">
        <f t="shared" si="353"/>
        <v/>
      </c>
      <c r="FD40" s="43" t="str">
        <f t="shared" si="354"/>
        <v/>
      </c>
      <c r="FE40" s="43" t="str">
        <f t="shared" si="355"/>
        <v/>
      </c>
      <c r="FF40" s="43" t="str">
        <f t="shared" si="356"/>
        <v/>
      </c>
      <c r="FG40" s="43" t="str">
        <f t="shared" si="357"/>
        <v/>
      </c>
      <c r="FH40" s="43" t="str">
        <f t="shared" si="358"/>
        <v/>
      </c>
      <c r="FI40" s="43" t="str">
        <f t="shared" si="359"/>
        <v/>
      </c>
      <c r="FJ40" s="43" t="str">
        <f t="shared" si="360"/>
        <v/>
      </c>
      <c r="FK40" s="43" t="str">
        <f t="shared" si="361"/>
        <v/>
      </c>
      <c r="FL40" s="43" t="str">
        <f t="shared" si="362"/>
        <v/>
      </c>
      <c r="FM40" s="43" t="str">
        <f t="shared" si="363"/>
        <v/>
      </c>
      <c r="FN40" s="43" t="str">
        <f t="shared" si="364"/>
        <v/>
      </c>
      <c r="FO40" s="43" t="str">
        <f t="shared" si="365"/>
        <v/>
      </c>
      <c r="FP40" s="43" t="str">
        <f t="shared" si="366"/>
        <v/>
      </c>
      <c r="FQ40" s="43" t="str">
        <f t="shared" si="367"/>
        <v/>
      </c>
      <c r="FR40" s="43" t="str">
        <f t="shared" si="368"/>
        <v/>
      </c>
      <c r="FS40" s="43" t="str">
        <f t="shared" si="369"/>
        <v/>
      </c>
    </row>
    <row r="41" s="6" customFormat="1" ht="15" spans="1:175">
      <c r="A41" s="10"/>
      <c r="B41" s="45" t="s">
        <v>255</v>
      </c>
      <c r="C41" s="3" t="s">
        <v>256</v>
      </c>
      <c r="D41" s="7">
        <v>300</v>
      </c>
      <c r="E41" s="47"/>
      <c r="F41" s="48"/>
      <c r="G41" s="49">
        <v>50</v>
      </c>
      <c r="H41" s="49"/>
      <c r="I41" s="49" t="str">
        <f t="shared" si="370"/>
        <v>E115</v>
      </c>
      <c r="J41" s="49"/>
      <c r="K41" s="49"/>
      <c r="L41" s="49"/>
      <c r="M41" s="49"/>
      <c r="N41" s="49"/>
      <c r="O41" s="49"/>
      <c r="P41" s="53"/>
      <c r="Q41" s="53"/>
      <c r="R41" s="53"/>
      <c r="S41" s="53"/>
      <c r="T41" s="58" t="str">
        <f t="shared" si="292"/>
        <v>|n攻击6%概率范围|cffff4646业力*15|r魔法伤害|n|n|Cff00ff7f击杀300只怪有50%概率升级|r</v>
      </c>
      <c r="U41" s="59" t="s">
        <v>250</v>
      </c>
      <c r="V41" s="60">
        <f t="shared" si="293"/>
        <v>28500</v>
      </c>
      <c r="W41" s="60"/>
      <c r="X41" s="60"/>
      <c r="Y41" s="60"/>
      <c r="Z41" s="60">
        <v>142500</v>
      </c>
      <c r="AA41" s="60"/>
      <c r="AB41" s="60">
        <f t="shared" si="294"/>
        <v>2850</v>
      </c>
      <c r="AC41" s="60"/>
      <c r="AD41" s="60">
        <v>75</v>
      </c>
      <c r="AE41" s="60">
        <v>9</v>
      </c>
      <c r="AF41" s="60"/>
      <c r="AG41" s="64"/>
      <c r="AH41" s="60"/>
      <c r="AI41" s="60"/>
      <c r="AJ41" s="60"/>
      <c r="AK41" s="60"/>
      <c r="AL41" s="64"/>
      <c r="AM41" s="60"/>
      <c r="AN41" s="60"/>
      <c r="AO41" s="60"/>
      <c r="AP41" s="60"/>
      <c r="AQ41" s="60"/>
      <c r="AR41" s="66"/>
      <c r="AS41" s="66"/>
      <c r="AT41" s="60"/>
      <c r="AU41" s="60"/>
      <c r="AV41" s="60"/>
      <c r="AW41" s="60"/>
      <c r="AX41" s="60"/>
      <c r="AY41" s="60"/>
      <c r="AZ41" s="60"/>
      <c r="BA41" s="60"/>
      <c r="BB41" s="60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60"/>
      <c r="CF41" s="60"/>
      <c r="CG41" s="60"/>
      <c r="CH41" s="60"/>
      <c r="CI41" s="60"/>
      <c r="CJ41" s="60"/>
      <c r="CK41" s="60"/>
      <c r="CL41" s="60"/>
      <c r="CM41" s="60"/>
      <c r="CN41" s="69" t="str">
        <f t="shared" si="295"/>
        <v>InitUnitState('E114',28500,,,,142500,,2850,,75,9)</v>
      </c>
      <c r="CO41" s="69" t="str">
        <f t="shared" si="296"/>
        <v>InitUnitNormal('E114',,,,,,,,,,)</v>
      </c>
      <c r="CP41" s="69" t="str">
        <f t="shared" si="297"/>
        <v>InitUnitMagic('E114',,,,,,,,,,)</v>
      </c>
      <c r="CQ41" s="69" t="str">
        <f t="shared" si="298"/>
        <v>InitUnitAdd('E114',,,,,,,14,,,)</v>
      </c>
      <c r="CR41" s="69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9"/>
      <c r="CT41" s="69"/>
      <c r="CU41" s="71" t="str">
        <f t="shared" si="78"/>
        <v>|n攻击+28500|n生命值+142500|n生命回复+2850|n攻速+75%|n闪避+9%|n每秒业力+14|n</v>
      </c>
      <c r="CV41" s="5" t="str">
        <f>"|Cffbbbbbb属性：|r"&amp;CU41&amp;VLOOKUP(A41,合成公式!A:P,16,FALSE)&amp;T41</f>
        <v>|Cffbbbbbb属性：|r|n攻击+28500|n生命值+142500|n生命回复+2850|n攻速+75%|n闪避+9%|n每秒业力+14|n|n攻击6%概率范围|cffff4646业力*15|r魔法伤害|n|n|Cff00ff7f击杀300只怪有50%概率升级|r</v>
      </c>
      <c r="DB41" s="43" t="str">
        <f t="shared" si="300"/>
        <v>|n攻击+28500</v>
      </c>
      <c r="DC41" s="43" t="str">
        <f t="shared" si="301"/>
        <v/>
      </c>
      <c r="DD41" s="43" t="str">
        <f t="shared" si="302"/>
        <v/>
      </c>
      <c r="DE41" s="43" t="str">
        <f t="shared" si="303"/>
        <v/>
      </c>
      <c r="DF41" s="43" t="str">
        <f t="shared" si="304"/>
        <v>|n生命值+142500</v>
      </c>
      <c r="DG41" s="43" t="str">
        <f t="shared" si="305"/>
        <v/>
      </c>
      <c r="DH41" s="43" t="str">
        <f t="shared" si="306"/>
        <v>|n生命回复+2850</v>
      </c>
      <c r="DI41" s="43" t="str">
        <f t="shared" si="307"/>
        <v/>
      </c>
      <c r="DJ41" s="43" t="str">
        <f t="shared" si="308"/>
        <v>|n攻速+75%</v>
      </c>
      <c r="DK41" s="43" t="str">
        <f t="shared" si="309"/>
        <v>|n闪避+9%</v>
      </c>
      <c r="DL41" s="43" t="str">
        <f t="shared" si="310"/>
        <v/>
      </c>
      <c r="DM41" s="43" t="str">
        <f t="shared" si="311"/>
        <v/>
      </c>
      <c r="DN41" s="43" t="str">
        <f t="shared" si="312"/>
        <v/>
      </c>
      <c r="DO41" s="43" t="str">
        <f t="shared" si="313"/>
        <v/>
      </c>
      <c r="DP41" s="43" t="str">
        <f t="shared" si="314"/>
        <v/>
      </c>
      <c r="DQ41" s="43" t="str">
        <f t="shared" si="315"/>
        <v/>
      </c>
      <c r="DR41" s="43" t="str">
        <f t="shared" si="316"/>
        <v/>
      </c>
      <c r="DS41" s="43" t="str">
        <f t="shared" si="317"/>
        <v/>
      </c>
      <c r="DT41" s="43" t="str">
        <f t="shared" si="318"/>
        <v/>
      </c>
      <c r="DU41" s="43" t="str">
        <f t="shared" si="319"/>
        <v/>
      </c>
      <c r="DV41" s="43" t="str">
        <f t="shared" si="320"/>
        <v/>
      </c>
      <c r="DW41" s="43" t="str">
        <f t="shared" si="321"/>
        <v/>
      </c>
      <c r="DX41" s="43" t="str">
        <f t="shared" si="322"/>
        <v/>
      </c>
      <c r="DY41" s="43" t="str">
        <f t="shared" si="323"/>
        <v/>
      </c>
      <c r="DZ41" s="43" t="str">
        <f t="shared" si="324"/>
        <v/>
      </c>
      <c r="EA41" s="43" t="str">
        <f t="shared" si="325"/>
        <v/>
      </c>
      <c r="EB41" s="43" t="str">
        <f t="shared" si="326"/>
        <v/>
      </c>
      <c r="EC41" s="43" t="str">
        <f t="shared" si="327"/>
        <v/>
      </c>
      <c r="ED41" s="43" t="str">
        <f t="shared" si="328"/>
        <v/>
      </c>
      <c r="EE41" s="43" t="str">
        <f t="shared" si="329"/>
        <v/>
      </c>
      <c r="EF41" s="43" t="str">
        <f t="shared" si="330"/>
        <v/>
      </c>
      <c r="EG41" s="43" t="str">
        <f t="shared" si="331"/>
        <v/>
      </c>
      <c r="EH41" s="43" t="str">
        <f t="shared" si="332"/>
        <v/>
      </c>
      <c r="EI41" s="43" t="str">
        <f t="shared" si="333"/>
        <v/>
      </c>
      <c r="EJ41" s="43" t="str">
        <f t="shared" si="334"/>
        <v/>
      </c>
      <c r="EK41" s="43" t="str">
        <f t="shared" si="335"/>
        <v/>
      </c>
      <c r="EL41" s="43" t="str">
        <f t="shared" si="336"/>
        <v/>
      </c>
      <c r="EM41" s="43" t="str">
        <f t="shared" si="337"/>
        <v/>
      </c>
      <c r="EN41" s="43" t="str">
        <f t="shared" si="338"/>
        <v/>
      </c>
      <c r="EO41" s="43" t="str">
        <f t="shared" si="339"/>
        <v/>
      </c>
      <c r="EP41" s="43" t="str">
        <f t="shared" si="340"/>
        <v/>
      </c>
      <c r="EQ41" s="43" t="str">
        <f t="shared" si="341"/>
        <v/>
      </c>
      <c r="ER41" s="43" t="str">
        <f t="shared" si="342"/>
        <v/>
      </c>
      <c r="ES41" s="43" t="str">
        <f t="shared" si="343"/>
        <v/>
      </c>
      <c r="ET41" s="43" t="str">
        <f t="shared" si="344"/>
        <v/>
      </c>
      <c r="EU41" s="43" t="str">
        <f t="shared" si="345"/>
        <v/>
      </c>
      <c r="EV41" s="43" t="str">
        <f t="shared" si="346"/>
        <v/>
      </c>
      <c r="EW41" s="43" t="str">
        <f t="shared" si="347"/>
        <v>|n每秒业力+14</v>
      </c>
      <c r="EX41" s="43" t="str">
        <f t="shared" si="348"/>
        <v/>
      </c>
      <c r="EY41" s="43" t="str">
        <f t="shared" si="349"/>
        <v/>
      </c>
      <c r="EZ41" s="43" t="str">
        <f t="shared" si="350"/>
        <v/>
      </c>
      <c r="FA41" s="43" t="str">
        <f t="shared" si="351"/>
        <v/>
      </c>
      <c r="FB41" s="43" t="str">
        <f t="shared" si="352"/>
        <v/>
      </c>
      <c r="FC41" s="43" t="str">
        <f t="shared" si="353"/>
        <v/>
      </c>
      <c r="FD41" s="43" t="str">
        <f t="shared" si="354"/>
        <v/>
      </c>
      <c r="FE41" s="43" t="str">
        <f t="shared" si="355"/>
        <v/>
      </c>
      <c r="FF41" s="43" t="str">
        <f t="shared" si="356"/>
        <v/>
      </c>
      <c r="FG41" s="43" t="str">
        <f t="shared" si="357"/>
        <v/>
      </c>
      <c r="FH41" s="43" t="str">
        <f t="shared" si="358"/>
        <v/>
      </c>
      <c r="FI41" s="43" t="str">
        <f t="shared" si="359"/>
        <v/>
      </c>
      <c r="FJ41" s="43" t="str">
        <f t="shared" si="360"/>
        <v/>
      </c>
      <c r="FK41" s="43" t="str">
        <f t="shared" si="361"/>
        <v/>
      </c>
      <c r="FL41" s="43" t="str">
        <f t="shared" si="362"/>
        <v/>
      </c>
      <c r="FM41" s="43" t="str">
        <f t="shared" si="363"/>
        <v/>
      </c>
      <c r="FN41" s="43" t="str">
        <f t="shared" si="364"/>
        <v/>
      </c>
      <c r="FO41" s="43" t="str">
        <f t="shared" si="365"/>
        <v/>
      </c>
      <c r="FP41" s="43" t="str">
        <f t="shared" si="366"/>
        <v/>
      </c>
      <c r="FQ41" s="43" t="str">
        <f t="shared" si="367"/>
        <v/>
      </c>
      <c r="FR41" s="43" t="str">
        <f t="shared" si="368"/>
        <v/>
      </c>
      <c r="FS41" s="43" t="str">
        <f t="shared" si="369"/>
        <v/>
      </c>
    </row>
    <row r="42" s="6" customFormat="1" ht="15" spans="1:175">
      <c r="A42" s="10"/>
      <c r="B42" s="45" t="s">
        <v>257</v>
      </c>
      <c r="C42" s="3" t="s">
        <v>258</v>
      </c>
      <c r="D42" s="7">
        <v>300</v>
      </c>
      <c r="E42" s="47"/>
      <c r="F42" s="48"/>
      <c r="G42" s="49">
        <v>50</v>
      </c>
      <c r="H42" s="49"/>
      <c r="I42" s="49" t="str">
        <f t="shared" si="370"/>
        <v>E116</v>
      </c>
      <c r="J42" s="49"/>
      <c r="K42" s="49"/>
      <c r="L42" s="49"/>
      <c r="M42" s="49"/>
      <c r="N42" s="49"/>
      <c r="O42" s="49"/>
      <c r="P42" s="53"/>
      <c r="Q42" s="53"/>
      <c r="R42" s="53"/>
      <c r="S42" s="53"/>
      <c r="T42" s="58" t="str">
        <f t="shared" si="292"/>
        <v>|n攻击6%概率范围|cffff4646业力*15|r魔法伤害|n|n|Cff00ff7f击杀300只怪有50%概率升级|r</v>
      </c>
      <c r="U42" s="59" t="s">
        <v>250</v>
      </c>
      <c r="V42" s="60">
        <f t="shared" si="293"/>
        <v>31500</v>
      </c>
      <c r="W42" s="60"/>
      <c r="X42"/>
      <c r="Y42" s="60"/>
      <c r="Z42" s="60">
        <v>157500</v>
      </c>
      <c r="AA42" s="60"/>
      <c r="AB42" s="60">
        <f t="shared" si="294"/>
        <v>3150</v>
      </c>
      <c r="AC42" s="60"/>
      <c r="AD42" s="60">
        <v>80</v>
      </c>
      <c r="AE42" s="60">
        <v>9</v>
      </c>
      <c r="AF42" s="60"/>
      <c r="AG42" s="64"/>
      <c r="AH42" s="60"/>
      <c r="AI42" s="60"/>
      <c r="AJ42" s="60"/>
      <c r="AK42" s="60"/>
      <c r="AL42" s="64"/>
      <c r="AM42" s="60"/>
      <c r="AN42" s="60"/>
      <c r="AO42" s="60"/>
      <c r="AP42" s="60"/>
      <c r="AQ42" s="60"/>
      <c r="AR42" s="66"/>
      <c r="AS42" s="66"/>
      <c r="AT42" s="60"/>
      <c r="AU42" s="60"/>
      <c r="AV42" s="60"/>
      <c r="AW42" s="60"/>
      <c r="AX42" s="60"/>
      <c r="AY42" s="60"/>
      <c r="AZ42" s="60"/>
      <c r="BA42" s="60"/>
      <c r="BB42" s="60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60"/>
      <c r="CF42" s="60"/>
      <c r="CG42" s="60"/>
      <c r="CH42" s="60"/>
      <c r="CI42" s="60"/>
      <c r="CJ42" s="60"/>
      <c r="CK42" s="60"/>
      <c r="CL42" s="60"/>
      <c r="CM42" s="60"/>
      <c r="CN42" s="69" t="str">
        <f t="shared" si="295"/>
        <v>InitUnitState('E115',31500,,,,157500,,3150,,80,9)</v>
      </c>
      <c r="CO42" s="69" t="str">
        <f t="shared" si="296"/>
        <v>InitUnitNormal('E115',,,,,,,,,,)</v>
      </c>
      <c r="CP42" s="69" t="str">
        <f t="shared" si="297"/>
        <v>InitUnitMagic('E115',,,,,,,,,,)</v>
      </c>
      <c r="CQ42" s="69" t="str">
        <f t="shared" si="298"/>
        <v>InitUnitAdd('E115',,,,,,,15,,,)</v>
      </c>
      <c r="CR42" s="69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9"/>
      <c r="CT42" s="69"/>
      <c r="CU42" s="71" t="str">
        <f t="shared" si="78"/>
        <v>|n攻击+31500|n生命值+157500|n生命回复+3150|n攻速+80%|n闪避+9%|n每秒业力+15|n</v>
      </c>
      <c r="CV42" s="5" t="str">
        <f>"|Cffbbbbbb属性：|r"&amp;CU42&amp;VLOOKUP(A42,合成公式!A:P,16,FALSE)&amp;T42</f>
        <v>|Cffbbbbbb属性：|r|n攻击+31500|n生命值+157500|n生命回复+3150|n攻速+80%|n闪避+9%|n每秒业力+15|n|n攻击6%概率范围|cffff4646业力*15|r魔法伤害|n|n|Cff00ff7f击杀300只怪有50%概率升级|r</v>
      </c>
      <c r="DB42" s="43" t="str">
        <f t="shared" si="300"/>
        <v>|n攻击+31500</v>
      </c>
      <c r="DC42" s="43" t="str">
        <f t="shared" si="301"/>
        <v/>
      </c>
      <c r="DD42" s="43" t="str">
        <f t="shared" si="302"/>
        <v/>
      </c>
      <c r="DE42" s="43" t="str">
        <f t="shared" si="303"/>
        <v/>
      </c>
      <c r="DF42" s="43" t="str">
        <f t="shared" si="304"/>
        <v>|n生命值+157500</v>
      </c>
      <c r="DG42" s="43" t="str">
        <f t="shared" si="305"/>
        <v/>
      </c>
      <c r="DH42" s="43" t="str">
        <f t="shared" si="306"/>
        <v>|n生命回复+3150</v>
      </c>
      <c r="DI42" s="43" t="str">
        <f t="shared" si="307"/>
        <v/>
      </c>
      <c r="DJ42" s="43" t="str">
        <f t="shared" si="308"/>
        <v>|n攻速+80%</v>
      </c>
      <c r="DK42" s="43" t="str">
        <f t="shared" si="309"/>
        <v>|n闪避+9%</v>
      </c>
      <c r="DL42" s="43" t="str">
        <f t="shared" si="310"/>
        <v/>
      </c>
      <c r="DM42" s="43" t="str">
        <f t="shared" si="311"/>
        <v/>
      </c>
      <c r="DN42" s="43" t="str">
        <f t="shared" si="312"/>
        <v/>
      </c>
      <c r="DO42" s="43" t="str">
        <f t="shared" si="313"/>
        <v/>
      </c>
      <c r="DP42" s="43" t="str">
        <f t="shared" si="314"/>
        <v/>
      </c>
      <c r="DQ42" s="43" t="str">
        <f t="shared" si="315"/>
        <v/>
      </c>
      <c r="DR42" s="43" t="str">
        <f t="shared" si="316"/>
        <v/>
      </c>
      <c r="DS42" s="43" t="str">
        <f t="shared" si="317"/>
        <v/>
      </c>
      <c r="DT42" s="43" t="str">
        <f t="shared" si="318"/>
        <v/>
      </c>
      <c r="DU42" s="43" t="str">
        <f t="shared" si="319"/>
        <v/>
      </c>
      <c r="DV42" s="43" t="str">
        <f t="shared" si="320"/>
        <v/>
      </c>
      <c r="DW42" s="43" t="str">
        <f t="shared" si="321"/>
        <v/>
      </c>
      <c r="DX42" s="43" t="str">
        <f t="shared" si="322"/>
        <v/>
      </c>
      <c r="DY42" s="43" t="str">
        <f t="shared" si="323"/>
        <v/>
      </c>
      <c r="DZ42" s="43" t="str">
        <f t="shared" si="324"/>
        <v/>
      </c>
      <c r="EA42" s="43" t="str">
        <f t="shared" si="325"/>
        <v/>
      </c>
      <c r="EB42" s="43" t="str">
        <f t="shared" si="326"/>
        <v/>
      </c>
      <c r="EC42" s="43" t="str">
        <f t="shared" si="327"/>
        <v/>
      </c>
      <c r="ED42" s="43" t="str">
        <f t="shared" si="328"/>
        <v/>
      </c>
      <c r="EE42" s="43" t="str">
        <f t="shared" si="329"/>
        <v/>
      </c>
      <c r="EF42" s="43" t="str">
        <f t="shared" si="330"/>
        <v/>
      </c>
      <c r="EG42" s="43" t="str">
        <f t="shared" si="331"/>
        <v/>
      </c>
      <c r="EH42" s="43" t="str">
        <f t="shared" si="332"/>
        <v/>
      </c>
      <c r="EI42" s="43" t="str">
        <f t="shared" si="333"/>
        <v/>
      </c>
      <c r="EJ42" s="43" t="str">
        <f t="shared" si="334"/>
        <v/>
      </c>
      <c r="EK42" s="43" t="str">
        <f t="shared" si="335"/>
        <v/>
      </c>
      <c r="EL42" s="43" t="str">
        <f t="shared" si="336"/>
        <v/>
      </c>
      <c r="EM42" s="43" t="str">
        <f t="shared" si="337"/>
        <v/>
      </c>
      <c r="EN42" s="43" t="str">
        <f t="shared" si="338"/>
        <v/>
      </c>
      <c r="EO42" s="43" t="str">
        <f t="shared" si="339"/>
        <v/>
      </c>
      <c r="EP42" s="43" t="str">
        <f t="shared" si="340"/>
        <v/>
      </c>
      <c r="EQ42" s="43" t="str">
        <f t="shared" si="341"/>
        <v/>
      </c>
      <c r="ER42" s="43" t="str">
        <f t="shared" si="342"/>
        <v/>
      </c>
      <c r="ES42" s="43" t="str">
        <f t="shared" si="343"/>
        <v/>
      </c>
      <c r="ET42" s="43" t="str">
        <f t="shared" si="344"/>
        <v/>
      </c>
      <c r="EU42" s="43" t="str">
        <f t="shared" si="345"/>
        <v/>
      </c>
      <c r="EV42" s="43" t="str">
        <f t="shared" si="346"/>
        <v/>
      </c>
      <c r="EW42" s="43" t="str">
        <f t="shared" si="347"/>
        <v>|n每秒业力+15</v>
      </c>
      <c r="EX42" s="43" t="str">
        <f t="shared" si="348"/>
        <v/>
      </c>
      <c r="EY42" s="43" t="str">
        <f t="shared" si="349"/>
        <v/>
      </c>
      <c r="EZ42" s="43" t="str">
        <f t="shared" si="350"/>
        <v/>
      </c>
      <c r="FA42" s="43" t="str">
        <f t="shared" si="351"/>
        <v/>
      </c>
      <c r="FB42" s="43" t="str">
        <f t="shared" si="352"/>
        <v/>
      </c>
      <c r="FC42" s="43" t="str">
        <f t="shared" si="353"/>
        <v/>
      </c>
      <c r="FD42" s="43" t="str">
        <f t="shared" si="354"/>
        <v/>
      </c>
      <c r="FE42" s="43" t="str">
        <f t="shared" si="355"/>
        <v/>
      </c>
      <c r="FF42" s="43" t="str">
        <f t="shared" si="356"/>
        <v/>
      </c>
      <c r="FG42" s="43" t="str">
        <f t="shared" si="357"/>
        <v/>
      </c>
      <c r="FH42" s="43" t="str">
        <f t="shared" si="358"/>
        <v/>
      </c>
      <c r="FI42" s="43" t="str">
        <f t="shared" si="359"/>
        <v/>
      </c>
      <c r="FJ42" s="43" t="str">
        <f t="shared" si="360"/>
        <v/>
      </c>
      <c r="FK42" s="43" t="str">
        <f t="shared" si="361"/>
        <v/>
      </c>
      <c r="FL42" s="43" t="str">
        <f t="shared" si="362"/>
        <v/>
      </c>
      <c r="FM42" s="43" t="str">
        <f t="shared" si="363"/>
        <v/>
      </c>
      <c r="FN42" s="43" t="str">
        <f t="shared" si="364"/>
        <v/>
      </c>
      <c r="FO42" s="43" t="str">
        <f t="shared" si="365"/>
        <v/>
      </c>
      <c r="FP42" s="43" t="str">
        <f t="shared" si="366"/>
        <v/>
      </c>
      <c r="FQ42" s="43" t="str">
        <f t="shared" si="367"/>
        <v/>
      </c>
      <c r="FR42" s="43" t="str">
        <f t="shared" si="368"/>
        <v/>
      </c>
      <c r="FS42" s="43" t="str">
        <f t="shared" si="369"/>
        <v/>
      </c>
    </row>
    <row r="43" s="6" customFormat="1" ht="15" spans="1:175">
      <c r="A43" s="10"/>
      <c r="B43" s="45" t="s">
        <v>259</v>
      </c>
      <c r="C43" s="3" t="s">
        <v>260</v>
      </c>
      <c r="D43" s="7">
        <v>400</v>
      </c>
      <c r="E43" s="47"/>
      <c r="F43" s="48"/>
      <c r="G43" s="49">
        <v>50</v>
      </c>
      <c r="H43" s="49"/>
      <c r="I43" s="49" t="str">
        <f t="shared" si="370"/>
        <v>E117</v>
      </c>
      <c r="J43" s="49"/>
      <c r="K43" s="49"/>
      <c r="L43" s="49"/>
      <c r="M43" s="49"/>
      <c r="N43" s="49"/>
      <c r="O43" s="49"/>
      <c r="P43" s="53"/>
      <c r="Q43" s="53"/>
      <c r="R43" s="53"/>
      <c r="S43" s="53"/>
      <c r="T43" s="58" t="str">
        <f t="shared" si="292"/>
        <v>|n攻击6%概率范围|cffff4646业力*15|r魔法伤害|n|n|Cff00ff7f击杀400只怪有50%概率升级|r</v>
      </c>
      <c r="U43" s="59" t="s">
        <v>261</v>
      </c>
      <c r="V43" s="60">
        <f t="shared" si="293"/>
        <v>45000</v>
      </c>
      <c r="W43" s="60"/>
      <c r="X43"/>
      <c r="Y43" s="60"/>
      <c r="Z43" s="60">
        <v>225000</v>
      </c>
      <c r="AA43" s="60"/>
      <c r="AB43" s="60">
        <f t="shared" si="294"/>
        <v>4500</v>
      </c>
      <c r="AC43" s="60"/>
      <c r="AD43" s="60">
        <v>85</v>
      </c>
      <c r="AE43" s="60">
        <v>12</v>
      </c>
      <c r="AF43" s="60"/>
      <c r="AG43" s="64"/>
      <c r="AH43" s="60"/>
      <c r="AI43" s="60"/>
      <c r="AJ43" s="60"/>
      <c r="AK43" s="60"/>
      <c r="AL43" s="64"/>
      <c r="AM43" s="60"/>
      <c r="AN43" s="60"/>
      <c r="AO43" s="60"/>
      <c r="AP43" s="60"/>
      <c r="AQ43" s="60"/>
      <c r="AR43" s="66"/>
      <c r="AS43" s="66"/>
      <c r="AT43" s="60"/>
      <c r="AU43" s="60"/>
      <c r="AV43" s="60"/>
      <c r="AW43" s="60"/>
      <c r="AX43" s="60"/>
      <c r="AY43" s="60"/>
      <c r="AZ43" s="60"/>
      <c r="BA43" s="60"/>
      <c r="BB43" s="60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60"/>
      <c r="CF43" s="60"/>
      <c r="CG43" s="60"/>
      <c r="CH43" s="60"/>
      <c r="CI43" s="60"/>
      <c r="CJ43" s="60"/>
      <c r="CK43" s="60"/>
      <c r="CL43" s="60"/>
      <c r="CM43" s="60"/>
      <c r="CN43" s="69" t="str">
        <f t="shared" si="295"/>
        <v>InitUnitState('E116',45000,,,,225000,,4500,,85,12)</v>
      </c>
      <c r="CO43" s="69" t="str">
        <f t="shared" si="296"/>
        <v>InitUnitNormal('E116',,,,,,,,,,)</v>
      </c>
      <c r="CP43" s="69" t="str">
        <f t="shared" si="297"/>
        <v>InitUnitMagic('E116',,,,,,,,,,)</v>
      </c>
      <c r="CQ43" s="69" t="str">
        <f t="shared" si="298"/>
        <v>InitUnitAdd('E116',,,,,,,16,,,)</v>
      </c>
      <c r="CR43" s="69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9"/>
      <c r="CT43" s="69"/>
      <c r="CU43" s="71" t="str">
        <f t="shared" si="78"/>
        <v>|n攻击+45000|n生命值+225000|n生命回复+4500|n攻速+85%|n闪避+12%|n每秒业力+16|n</v>
      </c>
      <c r="CV43" s="5" t="str">
        <f>"|Cffbbbbbb属性：|r"&amp;CU43&amp;VLOOKUP(A43,合成公式!A:P,16,FALSE)&amp;T43</f>
        <v>|Cffbbbbbb属性：|r|n攻击+45000|n生命值+225000|n生命回复+4500|n攻速+85%|n闪避+12%|n每秒业力+16|n|n攻击6%概率范围|cffff4646业力*15|r魔法伤害|n|n|Cff00ff7f击杀400只怪有50%概率升级|r</v>
      </c>
      <c r="DB43" s="43" t="str">
        <f t="shared" si="300"/>
        <v>|n攻击+45000</v>
      </c>
      <c r="DC43" s="43" t="str">
        <f t="shared" si="301"/>
        <v/>
      </c>
      <c r="DD43" s="43" t="str">
        <f t="shared" si="302"/>
        <v/>
      </c>
      <c r="DE43" s="43" t="str">
        <f t="shared" si="303"/>
        <v/>
      </c>
      <c r="DF43" s="43" t="str">
        <f t="shared" si="304"/>
        <v>|n生命值+225000</v>
      </c>
      <c r="DG43" s="43" t="str">
        <f t="shared" si="305"/>
        <v/>
      </c>
      <c r="DH43" s="43" t="str">
        <f t="shared" si="306"/>
        <v>|n生命回复+4500</v>
      </c>
      <c r="DI43" s="43" t="str">
        <f t="shared" si="307"/>
        <v/>
      </c>
      <c r="DJ43" s="43" t="str">
        <f t="shared" si="308"/>
        <v>|n攻速+85%</v>
      </c>
      <c r="DK43" s="43" t="str">
        <f t="shared" si="309"/>
        <v>|n闪避+12%</v>
      </c>
      <c r="DL43" s="43" t="str">
        <f t="shared" si="310"/>
        <v/>
      </c>
      <c r="DM43" s="43" t="str">
        <f t="shared" si="311"/>
        <v/>
      </c>
      <c r="DN43" s="43" t="str">
        <f t="shared" si="312"/>
        <v/>
      </c>
      <c r="DO43" s="43" t="str">
        <f t="shared" si="313"/>
        <v/>
      </c>
      <c r="DP43" s="43" t="str">
        <f t="shared" si="314"/>
        <v/>
      </c>
      <c r="DQ43" s="43" t="str">
        <f t="shared" si="315"/>
        <v/>
      </c>
      <c r="DR43" s="43" t="str">
        <f t="shared" si="316"/>
        <v/>
      </c>
      <c r="DS43" s="43" t="str">
        <f t="shared" si="317"/>
        <v/>
      </c>
      <c r="DT43" s="43" t="str">
        <f t="shared" si="318"/>
        <v/>
      </c>
      <c r="DU43" s="43" t="str">
        <f t="shared" si="319"/>
        <v/>
      </c>
      <c r="DV43" s="43" t="str">
        <f t="shared" si="320"/>
        <v/>
      </c>
      <c r="DW43" s="43" t="str">
        <f t="shared" si="321"/>
        <v/>
      </c>
      <c r="DX43" s="43" t="str">
        <f t="shared" si="322"/>
        <v/>
      </c>
      <c r="DY43" s="43" t="str">
        <f t="shared" si="323"/>
        <v/>
      </c>
      <c r="DZ43" s="43" t="str">
        <f t="shared" si="324"/>
        <v/>
      </c>
      <c r="EA43" s="43" t="str">
        <f t="shared" si="325"/>
        <v/>
      </c>
      <c r="EB43" s="43" t="str">
        <f t="shared" si="326"/>
        <v/>
      </c>
      <c r="EC43" s="43" t="str">
        <f t="shared" si="327"/>
        <v/>
      </c>
      <c r="ED43" s="43" t="str">
        <f t="shared" si="328"/>
        <v/>
      </c>
      <c r="EE43" s="43" t="str">
        <f t="shared" si="329"/>
        <v/>
      </c>
      <c r="EF43" s="43" t="str">
        <f t="shared" si="330"/>
        <v/>
      </c>
      <c r="EG43" s="43" t="str">
        <f t="shared" si="331"/>
        <v/>
      </c>
      <c r="EH43" s="43" t="str">
        <f t="shared" si="332"/>
        <v/>
      </c>
      <c r="EI43" s="43" t="str">
        <f t="shared" si="333"/>
        <v/>
      </c>
      <c r="EJ43" s="43" t="str">
        <f t="shared" si="334"/>
        <v/>
      </c>
      <c r="EK43" s="43" t="str">
        <f t="shared" si="335"/>
        <v/>
      </c>
      <c r="EL43" s="43" t="str">
        <f t="shared" si="336"/>
        <v/>
      </c>
      <c r="EM43" s="43" t="str">
        <f t="shared" si="337"/>
        <v/>
      </c>
      <c r="EN43" s="43" t="str">
        <f t="shared" si="338"/>
        <v/>
      </c>
      <c r="EO43" s="43" t="str">
        <f t="shared" si="339"/>
        <v/>
      </c>
      <c r="EP43" s="43" t="str">
        <f t="shared" si="340"/>
        <v/>
      </c>
      <c r="EQ43" s="43" t="str">
        <f t="shared" si="341"/>
        <v/>
      </c>
      <c r="ER43" s="43" t="str">
        <f t="shared" si="342"/>
        <v/>
      </c>
      <c r="ES43" s="43" t="str">
        <f t="shared" si="343"/>
        <v/>
      </c>
      <c r="ET43" s="43" t="str">
        <f t="shared" si="344"/>
        <v/>
      </c>
      <c r="EU43" s="43" t="str">
        <f t="shared" si="345"/>
        <v/>
      </c>
      <c r="EV43" s="43" t="str">
        <f t="shared" si="346"/>
        <v/>
      </c>
      <c r="EW43" s="43" t="str">
        <f t="shared" si="347"/>
        <v>|n每秒业力+16</v>
      </c>
      <c r="EX43" s="43" t="str">
        <f t="shared" si="348"/>
        <v/>
      </c>
      <c r="EY43" s="43" t="str">
        <f t="shared" si="349"/>
        <v/>
      </c>
      <c r="EZ43" s="43" t="str">
        <f t="shared" si="350"/>
        <v/>
      </c>
      <c r="FA43" s="43" t="str">
        <f t="shared" si="351"/>
        <v/>
      </c>
      <c r="FB43" s="43" t="str">
        <f t="shared" si="352"/>
        <v/>
      </c>
      <c r="FC43" s="43" t="str">
        <f t="shared" si="353"/>
        <v/>
      </c>
      <c r="FD43" s="43" t="str">
        <f t="shared" si="354"/>
        <v/>
      </c>
      <c r="FE43" s="43" t="str">
        <f t="shared" si="355"/>
        <v/>
      </c>
      <c r="FF43" s="43" t="str">
        <f t="shared" si="356"/>
        <v/>
      </c>
      <c r="FG43" s="43" t="str">
        <f t="shared" si="357"/>
        <v/>
      </c>
      <c r="FH43" s="43" t="str">
        <f t="shared" si="358"/>
        <v/>
      </c>
      <c r="FI43" s="43" t="str">
        <f t="shared" si="359"/>
        <v/>
      </c>
      <c r="FJ43" s="43" t="str">
        <f t="shared" si="360"/>
        <v/>
      </c>
      <c r="FK43" s="43" t="str">
        <f t="shared" si="361"/>
        <v/>
      </c>
      <c r="FL43" s="43" t="str">
        <f t="shared" si="362"/>
        <v/>
      </c>
      <c r="FM43" s="43" t="str">
        <f t="shared" si="363"/>
        <v/>
      </c>
      <c r="FN43" s="43" t="str">
        <f t="shared" si="364"/>
        <v/>
      </c>
      <c r="FO43" s="43" t="str">
        <f t="shared" si="365"/>
        <v/>
      </c>
      <c r="FP43" s="43" t="str">
        <f t="shared" si="366"/>
        <v/>
      </c>
      <c r="FQ43" s="43" t="str">
        <f t="shared" si="367"/>
        <v/>
      </c>
      <c r="FR43" s="43" t="str">
        <f t="shared" si="368"/>
        <v/>
      </c>
      <c r="FS43" s="43" t="str">
        <f t="shared" si="369"/>
        <v/>
      </c>
    </row>
    <row r="44" s="6" customFormat="1" ht="15" spans="1:175">
      <c r="A44" s="10"/>
      <c r="B44" s="45" t="s">
        <v>262</v>
      </c>
      <c r="C44" s="3" t="s">
        <v>263</v>
      </c>
      <c r="D44" s="7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3"/>
      <c r="Q44" s="53"/>
      <c r="R44" s="53"/>
      <c r="S44" s="53"/>
      <c r="T44" s="58" t="str">
        <f t="shared" si="292"/>
        <v>|n攻击6%概率范围|cffff4646业力*15|r魔法伤害|n|n|Cff00ff7f击杀400只怪有50%概率升级|r</v>
      </c>
      <c r="U44" s="59" t="s">
        <v>261</v>
      </c>
      <c r="V44" s="60">
        <f t="shared" si="293"/>
        <v>52500</v>
      </c>
      <c r="W44" s="60"/>
      <c r="X44" s="60"/>
      <c r="Y44" s="60"/>
      <c r="Z44" s="60">
        <v>262500</v>
      </c>
      <c r="AA44" s="60"/>
      <c r="AB44" s="60">
        <f t="shared" si="294"/>
        <v>5250</v>
      </c>
      <c r="AC44" s="60"/>
      <c r="AD44" s="60">
        <v>90</v>
      </c>
      <c r="AE44" s="60">
        <v>12</v>
      </c>
      <c r="AF44" s="60"/>
      <c r="AG44" s="64"/>
      <c r="AH44" s="60"/>
      <c r="AI44" s="60"/>
      <c r="AJ44" s="60"/>
      <c r="AK44" s="60"/>
      <c r="AL44" s="64"/>
      <c r="AM44" s="60"/>
      <c r="AN44" s="60"/>
      <c r="AO44" s="60"/>
      <c r="AP44" s="60"/>
      <c r="AQ44" s="60"/>
      <c r="AR44" s="66"/>
      <c r="AS44" s="66"/>
      <c r="AT44" s="60"/>
      <c r="AU44" s="60"/>
      <c r="AV44" s="60"/>
      <c r="AW44" s="60"/>
      <c r="AX44" s="60"/>
      <c r="AY44" s="60"/>
      <c r="AZ44" s="60"/>
      <c r="BA44" s="60"/>
      <c r="BB44" s="60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60"/>
      <c r="CF44" s="60"/>
      <c r="CG44" s="60"/>
      <c r="CH44" s="60"/>
      <c r="CI44" s="60"/>
      <c r="CJ44" s="60"/>
      <c r="CK44" s="60"/>
      <c r="CL44" s="60"/>
      <c r="CM44" s="60"/>
      <c r="CN44" s="69" t="str">
        <f t="shared" si="295"/>
        <v>InitUnitState('E117',52500,,,,262500,,5250,,90,12)</v>
      </c>
      <c r="CO44" s="69" t="str">
        <f t="shared" si="296"/>
        <v>InitUnitNormal('E117',,,,,,,,,,)</v>
      </c>
      <c r="CP44" s="69" t="str">
        <f t="shared" si="297"/>
        <v>InitUnitMagic('E117',,,,,,,,,,)</v>
      </c>
      <c r="CQ44" s="69" t="str">
        <f t="shared" si="298"/>
        <v>InitUnitAdd('E117',,,,,,,17,,,)</v>
      </c>
      <c r="CR44" s="69" t="str">
        <f t="shared" si="299"/>
        <v>InitEquipData('E117',400,"",,E118,,50,'','','','','','',"ReplaceableTextures\\CommandButtons\\BTNZ09.blp")</v>
      </c>
      <c r="CS44" s="69"/>
      <c r="CT44" s="69"/>
      <c r="CU44" s="71" t="str">
        <f t="shared" si="78"/>
        <v>|n攻击+52500|n生命值+262500|n生命回复+5250|n攻速+90%|n闪避+12%|n每秒业力+17|n</v>
      </c>
      <c r="CV44" s="5" t="str">
        <f>"|Cffbbbbbb属性：|r"&amp;CU44&amp;VLOOKUP(A44,合成公式!A:P,16,FALSE)&amp;T44</f>
        <v>|Cffbbbbbb属性：|r|n攻击+52500|n生命值+262500|n生命回复+5250|n攻速+90%|n闪避+12%|n每秒业力+17|n|n攻击6%概率范围|cffff4646业力*15|r魔法伤害|n|n|Cff00ff7f击杀400只怪有50%概率升级|r</v>
      </c>
      <c r="DB44" s="43" t="str">
        <f t="shared" si="300"/>
        <v>|n攻击+52500</v>
      </c>
      <c r="DC44" s="43" t="str">
        <f t="shared" si="301"/>
        <v/>
      </c>
      <c r="DD44" s="43" t="str">
        <f t="shared" si="302"/>
        <v/>
      </c>
      <c r="DE44" s="43" t="str">
        <f t="shared" si="303"/>
        <v/>
      </c>
      <c r="DF44" s="43" t="str">
        <f t="shared" si="304"/>
        <v>|n生命值+262500</v>
      </c>
      <c r="DG44" s="43" t="str">
        <f t="shared" si="305"/>
        <v/>
      </c>
      <c r="DH44" s="43" t="str">
        <f t="shared" si="306"/>
        <v>|n生命回复+5250</v>
      </c>
      <c r="DI44" s="43" t="str">
        <f t="shared" si="307"/>
        <v/>
      </c>
      <c r="DJ44" s="43" t="str">
        <f t="shared" si="308"/>
        <v>|n攻速+90%</v>
      </c>
      <c r="DK44" s="43" t="str">
        <f t="shared" si="309"/>
        <v>|n闪避+12%</v>
      </c>
      <c r="DL44" s="43" t="str">
        <f t="shared" si="310"/>
        <v/>
      </c>
      <c r="DM44" s="43" t="str">
        <f t="shared" si="311"/>
        <v/>
      </c>
      <c r="DN44" s="43" t="str">
        <f t="shared" si="312"/>
        <v/>
      </c>
      <c r="DO44" s="43" t="str">
        <f t="shared" si="313"/>
        <v/>
      </c>
      <c r="DP44" s="43" t="str">
        <f t="shared" si="314"/>
        <v/>
      </c>
      <c r="DQ44" s="43" t="str">
        <f t="shared" si="315"/>
        <v/>
      </c>
      <c r="DR44" s="43" t="str">
        <f t="shared" si="316"/>
        <v/>
      </c>
      <c r="DS44" s="43" t="str">
        <f t="shared" si="317"/>
        <v/>
      </c>
      <c r="DT44" s="43" t="str">
        <f t="shared" si="318"/>
        <v/>
      </c>
      <c r="DU44" s="43" t="str">
        <f t="shared" si="319"/>
        <v/>
      </c>
      <c r="DV44" s="43" t="str">
        <f t="shared" si="320"/>
        <v/>
      </c>
      <c r="DW44" s="43" t="str">
        <f t="shared" si="321"/>
        <v/>
      </c>
      <c r="DX44" s="43" t="str">
        <f t="shared" si="322"/>
        <v/>
      </c>
      <c r="DY44" s="43" t="str">
        <f t="shared" si="323"/>
        <v/>
      </c>
      <c r="DZ44" s="43" t="str">
        <f t="shared" si="324"/>
        <v/>
      </c>
      <c r="EA44" s="43" t="str">
        <f t="shared" si="325"/>
        <v/>
      </c>
      <c r="EB44" s="43" t="str">
        <f t="shared" si="326"/>
        <v/>
      </c>
      <c r="EC44" s="43" t="str">
        <f t="shared" si="327"/>
        <v/>
      </c>
      <c r="ED44" s="43" t="str">
        <f t="shared" si="328"/>
        <v/>
      </c>
      <c r="EE44" s="43" t="str">
        <f t="shared" si="329"/>
        <v/>
      </c>
      <c r="EF44" s="43" t="str">
        <f t="shared" si="330"/>
        <v/>
      </c>
      <c r="EG44" s="43" t="str">
        <f t="shared" si="331"/>
        <v/>
      </c>
      <c r="EH44" s="43" t="str">
        <f t="shared" si="332"/>
        <v/>
      </c>
      <c r="EI44" s="43" t="str">
        <f t="shared" si="333"/>
        <v/>
      </c>
      <c r="EJ44" s="43" t="str">
        <f t="shared" si="334"/>
        <v/>
      </c>
      <c r="EK44" s="43" t="str">
        <f t="shared" si="335"/>
        <v/>
      </c>
      <c r="EL44" s="43" t="str">
        <f t="shared" si="336"/>
        <v/>
      </c>
      <c r="EM44" s="43" t="str">
        <f t="shared" si="337"/>
        <v/>
      </c>
      <c r="EN44" s="43" t="str">
        <f t="shared" si="338"/>
        <v/>
      </c>
      <c r="EO44" s="43" t="str">
        <f t="shared" si="339"/>
        <v/>
      </c>
      <c r="EP44" s="43" t="str">
        <f t="shared" si="340"/>
        <v/>
      </c>
      <c r="EQ44" s="43" t="str">
        <f t="shared" si="341"/>
        <v/>
      </c>
      <c r="ER44" s="43" t="str">
        <f t="shared" si="342"/>
        <v/>
      </c>
      <c r="ES44" s="43" t="str">
        <f t="shared" si="343"/>
        <v/>
      </c>
      <c r="ET44" s="43" t="str">
        <f t="shared" si="344"/>
        <v/>
      </c>
      <c r="EU44" s="43" t="str">
        <f t="shared" si="345"/>
        <v/>
      </c>
      <c r="EV44" s="43" t="str">
        <f t="shared" si="346"/>
        <v/>
      </c>
      <c r="EW44" s="43" t="str">
        <f t="shared" si="347"/>
        <v>|n每秒业力+17</v>
      </c>
      <c r="EX44" s="43" t="str">
        <f t="shared" si="348"/>
        <v/>
      </c>
      <c r="EY44" s="43" t="str">
        <f t="shared" si="349"/>
        <v/>
      </c>
      <c r="EZ44" s="43" t="str">
        <f t="shared" si="350"/>
        <v/>
      </c>
      <c r="FA44" s="43" t="str">
        <f t="shared" si="351"/>
        <v/>
      </c>
      <c r="FB44" s="43" t="str">
        <f t="shared" si="352"/>
        <v/>
      </c>
      <c r="FC44" s="43" t="str">
        <f t="shared" si="353"/>
        <v/>
      </c>
      <c r="FD44" s="43" t="str">
        <f t="shared" si="354"/>
        <v/>
      </c>
      <c r="FE44" s="43" t="str">
        <f t="shared" si="355"/>
        <v/>
      </c>
      <c r="FF44" s="43" t="str">
        <f t="shared" si="356"/>
        <v/>
      </c>
      <c r="FG44" s="43" t="str">
        <f t="shared" si="357"/>
        <v/>
      </c>
      <c r="FH44" s="43" t="str">
        <f t="shared" si="358"/>
        <v/>
      </c>
      <c r="FI44" s="43" t="str">
        <f t="shared" si="359"/>
        <v/>
      </c>
      <c r="FJ44" s="43" t="str">
        <f t="shared" si="360"/>
        <v/>
      </c>
      <c r="FK44" s="43" t="str">
        <f t="shared" si="361"/>
        <v/>
      </c>
      <c r="FL44" s="43" t="str">
        <f t="shared" si="362"/>
        <v/>
      </c>
      <c r="FM44" s="43" t="str">
        <f t="shared" si="363"/>
        <v/>
      </c>
      <c r="FN44" s="43" t="str">
        <f t="shared" si="364"/>
        <v/>
      </c>
      <c r="FO44" s="43" t="str">
        <f t="shared" si="365"/>
        <v/>
      </c>
      <c r="FP44" s="43" t="str">
        <f t="shared" si="366"/>
        <v/>
      </c>
      <c r="FQ44" s="43" t="str">
        <f t="shared" si="367"/>
        <v/>
      </c>
      <c r="FR44" s="43" t="str">
        <f t="shared" si="368"/>
        <v/>
      </c>
      <c r="FS44" s="43" t="str">
        <f t="shared" si="369"/>
        <v/>
      </c>
    </row>
    <row r="45" s="6" customFormat="1" ht="15" spans="1:175">
      <c r="A45" s="10"/>
      <c r="B45" s="45" t="s">
        <v>264</v>
      </c>
      <c r="C45" s="3" t="s">
        <v>265</v>
      </c>
      <c r="D45" s="7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3"/>
      <c r="Q45" s="53"/>
      <c r="R45" s="53"/>
      <c r="S45" s="53"/>
      <c r="T45" s="58" t="str">
        <f t="shared" si="292"/>
        <v>|n攻击6%概率范围|cffff4646业力*15|r魔法伤害|n|n|Cff00ff7f击杀400只怪有50%概率升级|r</v>
      </c>
      <c r="U45" s="59" t="s">
        <v>261</v>
      </c>
      <c r="V45" s="60">
        <f t="shared" si="293"/>
        <v>60000</v>
      </c>
      <c r="W45" s="60"/>
      <c r="X45" s="60"/>
      <c r="Y45" s="60"/>
      <c r="Z45" s="60">
        <v>300000</v>
      </c>
      <c r="AA45" s="60"/>
      <c r="AB45" s="60">
        <f t="shared" si="294"/>
        <v>6000</v>
      </c>
      <c r="AC45" s="60"/>
      <c r="AD45" s="60">
        <v>95</v>
      </c>
      <c r="AE45" s="60">
        <v>12</v>
      </c>
      <c r="AF45" s="60"/>
      <c r="AG45" s="64"/>
      <c r="AH45" s="60"/>
      <c r="AI45" s="60"/>
      <c r="AJ45" s="60"/>
      <c r="AK45" s="60"/>
      <c r="AL45" s="64"/>
      <c r="AM45" s="60"/>
      <c r="AN45" s="60"/>
      <c r="AO45" s="60"/>
      <c r="AP45" s="60"/>
      <c r="AQ45" s="60"/>
      <c r="AR45" s="66"/>
      <c r="AS45" s="66"/>
      <c r="AT45" s="60"/>
      <c r="AU45" s="60"/>
      <c r="AV45" s="60"/>
      <c r="AW45" s="60"/>
      <c r="AX45" s="60"/>
      <c r="AY45" s="60"/>
      <c r="AZ45" s="60"/>
      <c r="BA45" s="60"/>
      <c r="BB45" s="60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60"/>
      <c r="CF45" s="60"/>
      <c r="CG45" s="60"/>
      <c r="CH45" s="60"/>
      <c r="CI45" s="60"/>
      <c r="CJ45" s="60"/>
      <c r="CK45" s="60"/>
      <c r="CL45" s="60"/>
      <c r="CM45" s="60"/>
      <c r="CN45" s="69" t="str">
        <f t="shared" si="295"/>
        <v>InitUnitState('E118',60000,,,,300000,,6000,,95,12)</v>
      </c>
      <c r="CO45" s="69" t="str">
        <f t="shared" si="296"/>
        <v>InitUnitNormal('E118',,,,,,,,,,)</v>
      </c>
      <c r="CP45" s="69" t="str">
        <f t="shared" si="297"/>
        <v>InitUnitMagic('E118',,,,,,,,,,)</v>
      </c>
      <c r="CQ45" s="69" t="str">
        <f t="shared" si="298"/>
        <v>InitUnitAdd('E118',,,,,,,18,,,)</v>
      </c>
      <c r="CR45" s="69" t="str">
        <f t="shared" si="299"/>
        <v>InitEquipData('E118',400,"",,E119,,50,'','','','','','',"ReplaceableTextures\\CommandButtons\\BTNZ09.blp")</v>
      </c>
      <c r="CS45" s="69"/>
      <c r="CT45" s="69"/>
      <c r="CU45" s="71" t="str">
        <f t="shared" si="78"/>
        <v>|n攻击+60000|n生命值+300000|n生命回复+6000|n攻速+95%|n闪避+12%|n每秒业力+18|n</v>
      </c>
      <c r="CV45" s="5" t="str">
        <f>"|Cffbbbbbb属性：|r"&amp;CU45&amp;VLOOKUP(A45,合成公式!A:P,16,FALSE)&amp;T45</f>
        <v>|Cffbbbbbb属性：|r|n攻击+60000|n生命值+300000|n生命回复+6000|n攻速+95%|n闪避+12%|n每秒业力+18|n|n攻击6%概率范围|cffff4646业力*15|r魔法伤害|n|n|Cff00ff7f击杀400只怪有50%概率升级|r</v>
      </c>
      <c r="DB45" s="43" t="str">
        <f t="shared" si="300"/>
        <v>|n攻击+60000</v>
      </c>
      <c r="DC45" s="43" t="str">
        <f t="shared" si="301"/>
        <v/>
      </c>
      <c r="DD45" s="43" t="str">
        <f t="shared" si="302"/>
        <v/>
      </c>
      <c r="DE45" s="43" t="str">
        <f t="shared" si="303"/>
        <v/>
      </c>
      <c r="DF45" s="43" t="str">
        <f t="shared" si="304"/>
        <v>|n生命值+300000</v>
      </c>
      <c r="DG45" s="43" t="str">
        <f t="shared" si="305"/>
        <v/>
      </c>
      <c r="DH45" s="43" t="str">
        <f t="shared" si="306"/>
        <v>|n生命回复+6000</v>
      </c>
      <c r="DI45" s="43" t="str">
        <f t="shared" si="307"/>
        <v/>
      </c>
      <c r="DJ45" s="43" t="str">
        <f t="shared" si="308"/>
        <v>|n攻速+95%</v>
      </c>
      <c r="DK45" s="43" t="str">
        <f t="shared" si="309"/>
        <v>|n闪避+12%</v>
      </c>
      <c r="DL45" s="43" t="str">
        <f t="shared" si="310"/>
        <v/>
      </c>
      <c r="DM45" s="43" t="str">
        <f t="shared" si="311"/>
        <v/>
      </c>
      <c r="DN45" s="43" t="str">
        <f t="shared" si="312"/>
        <v/>
      </c>
      <c r="DO45" s="43" t="str">
        <f t="shared" si="313"/>
        <v/>
      </c>
      <c r="DP45" s="43" t="str">
        <f t="shared" si="314"/>
        <v/>
      </c>
      <c r="DQ45" s="43" t="str">
        <f t="shared" si="315"/>
        <v/>
      </c>
      <c r="DR45" s="43" t="str">
        <f t="shared" si="316"/>
        <v/>
      </c>
      <c r="DS45" s="43" t="str">
        <f t="shared" si="317"/>
        <v/>
      </c>
      <c r="DT45" s="43" t="str">
        <f t="shared" si="318"/>
        <v/>
      </c>
      <c r="DU45" s="43" t="str">
        <f t="shared" si="319"/>
        <v/>
      </c>
      <c r="DV45" s="43" t="str">
        <f t="shared" si="320"/>
        <v/>
      </c>
      <c r="DW45" s="43" t="str">
        <f t="shared" si="321"/>
        <v/>
      </c>
      <c r="DX45" s="43" t="str">
        <f t="shared" si="322"/>
        <v/>
      </c>
      <c r="DY45" s="43" t="str">
        <f t="shared" si="323"/>
        <v/>
      </c>
      <c r="DZ45" s="43" t="str">
        <f t="shared" si="324"/>
        <v/>
      </c>
      <c r="EA45" s="43" t="str">
        <f t="shared" si="325"/>
        <v/>
      </c>
      <c r="EB45" s="43" t="str">
        <f t="shared" si="326"/>
        <v/>
      </c>
      <c r="EC45" s="43" t="str">
        <f t="shared" si="327"/>
        <v/>
      </c>
      <c r="ED45" s="43" t="str">
        <f t="shared" si="328"/>
        <v/>
      </c>
      <c r="EE45" s="43" t="str">
        <f t="shared" si="329"/>
        <v/>
      </c>
      <c r="EF45" s="43" t="str">
        <f t="shared" si="330"/>
        <v/>
      </c>
      <c r="EG45" s="43" t="str">
        <f t="shared" si="331"/>
        <v/>
      </c>
      <c r="EH45" s="43" t="str">
        <f t="shared" si="332"/>
        <v/>
      </c>
      <c r="EI45" s="43" t="str">
        <f t="shared" si="333"/>
        <v/>
      </c>
      <c r="EJ45" s="43" t="str">
        <f t="shared" si="334"/>
        <v/>
      </c>
      <c r="EK45" s="43" t="str">
        <f t="shared" si="335"/>
        <v/>
      </c>
      <c r="EL45" s="43" t="str">
        <f t="shared" si="336"/>
        <v/>
      </c>
      <c r="EM45" s="43" t="str">
        <f t="shared" si="337"/>
        <v/>
      </c>
      <c r="EN45" s="43" t="str">
        <f t="shared" si="338"/>
        <v/>
      </c>
      <c r="EO45" s="43" t="str">
        <f t="shared" si="339"/>
        <v/>
      </c>
      <c r="EP45" s="43" t="str">
        <f t="shared" si="340"/>
        <v/>
      </c>
      <c r="EQ45" s="43" t="str">
        <f t="shared" si="341"/>
        <v/>
      </c>
      <c r="ER45" s="43" t="str">
        <f t="shared" si="342"/>
        <v/>
      </c>
      <c r="ES45" s="43" t="str">
        <f t="shared" si="343"/>
        <v/>
      </c>
      <c r="ET45" s="43" t="str">
        <f t="shared" si="344"/>
        <v/>
      </c>
      <c r="EU45" s="43" t="str">
        <f t="shared" si="345"/>
        <v/>
      </c>
      <c r="EV45" s="43" t="str">
        <f t="shared" si="346"/>
        <v/>
      </c>
      <c r="EW45" s="43" t="str">
        <f t="shared" si="347"/>
        <v>|n每秒业力+18</v>
      </c>
      <c r="EX45" s="43" t="str">
        <f t="shared" si="348"/>
        <v/>
      </c>
      <c r="EY45" s="43" t="str">
        <f t="shared" si="349"/>
        <v/>
      </c>
      <c r="EZ45" s="43" t="str">
        <f t="shared" si="350"/>
        <v/>
      </c>
      <c r="FA45" s="43" t="str">
        <f t="shared" si="351"/>
        <v/>
      </c>
      <c r="FB45" s="43" t="str">
        <f t="shared" si="352"/>
        <v/>
      </c>
      <c r="FC45" s="43" t="str">
        <f t="shared" si="353"/>
        <v/>
      </c>
      <c r="FD45" s="43" t="str">
        <f t="shared" si="354"/>
        <v/>
      </c>
      <c r="FE45" s="43" t="str">
        <f t="shared" si="355"/>
        <v/>
      </c>
      <c r="FF45" s="43" t="str">
        <f t="shared" si="356"/>
        <v/>
      </c>
      <c r="FG45" s="43" t="str">
        <f t="shared" si="357"/>
        <v/>
      </c>
      <c r="FH45" s="43" t="str">
        <f t="shared" si="358"/>
        <v/>
      </c>
      <c r="FI45" s="43" t="str">
        <f t="shared" si="359"/>
        <v/>
      </c>
      <c r="FJ45" s="43" t="str">
        <f t="shared" si="360"/>
        <v/>
      </c>
      <c r="FK45" s="43" t="str">
        <f t="shared" si="361"/>
        <v/>
      </c>
      <c r="FL45" s="43" t="str">
        <f t="shared" si="362"/>
        <v/>
      </c>
      <c r="FM45" s="43" t="str">
        <f t="shared" si="363"/>
        <v/>
      </c>
      <c r="FN45" s="43" t="str">
        <f t="shared" si="364"/>
        <v/>
      </c>
      <c r="FO45" s="43" t="str">
        <f t="shared" si="365"/>
        <v/>
      </c>
      <c r="FP45" s="43" t="str">
        <f t="shared" si="366"/>
        <v/>
      </c>
      <c r="FQ45" s="43" t="str">
        <f t="shared" si="367"/>
        <v/>
      </c>
      <c r="FR45" s="43" t="str">
        <f t="shared" si="368"/>
        <v/>
      </c>
      <c r="FS45" s="43" t="str">
        <f t="shared" si="369"/>
        <v/>
      </c>
    </row>
    <row r="46" s="6" customFormat="1" ht="15" spans="1:175">
      <c r="A46" s="10"/>
      <c r="B46" s="45" t="s">
        <v>266</v>
      </c>
      <c r="C46" s="3" t="s">
        <v>267</v>
      </c>
      <c r="D46" s="7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3"/>
      <c r="Q46" s="53"/>
      <c r="R46" s="53"/>
      <c r="S46" s="53"/>
      <c r="T46" s="58" t="str">
        <f t="shared" si="292"/>
        <v>|n攻击6%概率范围|cffff4646业力*15|r魔法伤害|n|n|Cff00ff7f击杀400只怪有50%概率升级|r</v>
      </c>
      <c r="U46" s="59" t="s">
        <v>261</v>
      </c>
      <c r="V46" s="60">
        <f t="shared" si="293"/>
        <v>67500</v>
      </c>
      <c r="W46" s="60"/>
      <c r="X46" s="60"/>
      <c r="Y46" s="60"/>
      <c r="Z46" s="60">
        <v>337500</v>
      </c>
      <c r="AA46" s="60"/>
      <c r="AB46" s="60">
        <f t="shared" si="294"/>
        <v>6750</v>
      </c>
      <c r="AC46" s="60"/>
      <c r="AD46" s="60">
        <v>100</v>
      </c>
      <c r="AE46" s="60">
        <v>12</v>
      </c>
      <c r="AF46" s="60"/>
      <c r="AG46" s="64"/>
      <c r="AH46" s="60"/>
      <c r="AI46" s="60"/>
      <c r="AJ46" s="60"/>
      <c r="AK46" s="60"/>
      <c r="AL46" s="64"/>
      <c r="AM46" s="60"/>
      <c r="AN46" s="60"/>
      <c r="AO46" s="60"/>
      <c r="AP46" s="60"/>
      <c r="AQ46" s="60"/>
      <c r="AR46" s="66"/>
      <c r="AS46" s="66"/>
      <c r="AT46" s="60"/>
      <c r="AU46" s="60"/>
      <c r="AV46" s="60"/>
      <c r="AW46" s="60"/>
      <c r="AX46" s="60"/>
      <c r="AY46" s="60"/>
      <c r="AZ46" s="60"/>
      <c r="BA46" s="60"/>
      <c r="BB46" s="60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60"/>
      <c r="CF46" s="60"/>
      <c r="CG46" s="60"/>
      <c r="CH46" s="60"/>
      <c r="CI46" s="60"/>
      <c r="CJ46" s="60"/>
      <c r="CK46" s="60"/>
      <c r="CL46" s="60"/>
      <c r="CM46" s="60"/>
      <c r="CN46" s="69" t="str">
        <f t="shared" si="295"/>
        <v>InitUnitState('E119',67500,,,,337500,,6750,,100,12)</v>
      </c>
      <c r="CO46" s="69" t="str">
        <f t="shared" si="296"/>
        <v>InitUnitNormal('E119',,,,,,,,,,)</v>
      </c>
      <c r="CP46" s="69" t="str">
        <f t="shared" si="297"/>
        <v>InitUnitMagic('E119',,,,,,,,,,)</v>
      </c>
      <c r="CQ46" s="69" t="str">
        <f t="shared" si="298"/>
        <v>InitUnitAdd('E119',,,,,,,19,,,)</v>
      </c>
      <c r="CR46" s="69" t="str">
        <f t="shared" si="299"/>
        <v>InitEquipData('E119',400,"",,E120,,50,'','','','','','',"ReplaceableTextures\\CommandButtons\\BTNZ09.blp")</v>
      </c>
      <c r="CS46" s="69"/>
      <c r="CT46" s="69"/>
      <c r="CU46" s="71" t="str">
        <f t="shared" si="78"/>
        <v>|n攻击+67500|n生命值+337500|n生命回复+6750|n攻速+100%|n闪避+12%|n每秒业力+19|n</v>
      </c>
      <c r="CV46" s="5" t="str">
        <f>"|Cffbbbbbb属性：|r"&amp;CU46&amp;VLOOKUP(A46,合成公式!A:P,16,FALSE)&amp;T46</f>
        <v>|Cffbbbbbb属性：|r|n攻击+67500|n生命值+337500|n生命回复+6750|n攻速+100%|n闪避+12%|n每秒业力+19|n|n攻击6%概率范围|cffff4646业力*15|r魔法伤害|n|n|Cff00ff7f击杀400只怪有50%概率升级|r</v>
      </c>
      <c r="DB46" s="43" t="str">
        <f t="shared" si="300"/>
        <v>|n攻击+67500</v>
      </c>
      <c r="DC46" s="43" t="str">
        <f t="shared" si="301"/>
        <v/>
      </c>
      <c r="DD46" s="43" t="str">
        <f t="shared" si="302"/>
        <v/>
      </c>
      <c r="DE46" s="43" t="str">
        <f t="shared" si="303"/>
        <v/>
      </c>
      <c r="DF46" s="43" t="str">
        <f t="shared" si="304"/>
        <v>|n生命值+337500</v>
      </c>
      <c r="DG46" s="43" t="str">
        <f t="shared" si="305"/>
        <v/>
      </c>
      <c r="DH46" s="43" t="str">
        <f t="shared" si="306"/>
        <v>|n生命回复+6750</v>
      </c>
      <c r="DI46" s="43" t="str">
        <f t="shared" si="307"/>
        <v/>
      </c>
      <c r="DJ46" s="43" t="str">
        <f t="shared" si="308"/>
        <v>|n攻速+100%</v>
      </c>
      <c r="DK46" s="43" t="str">
        <f t="shared" si="309"/>
        <v>|n闪避+12%</v>
      </c>
      <c r="DL46" s="43" t="str">
        <f t="shared" si="310"/>
        <v/>
      </c>
      <c r="DM46" s="43" t="str">
        <f t="shared" si="311"/>
        <v/>
      </c>
      <c r="DN46" s="43" t="str">
        <f t="shared" si="312"/>
        <v/>
      </c>
      <c r="DO46" s="43" t="str">
        <f t="shared" si="313"/>
        <v/>
      </c>
      <c r="DP46" s="43" t="str">
        <f t="shared" si="314"/>
        <v/>
      </c>
      <c r="DQ46" s="43" t="str">
        <f t="shared" si="315"/>
        <v/>
      </c>
      <c r="DR46" s="43" t="str">
        <f t="shared" si="316"/>
        <v/>
      </c>
      <c r="DS46" s="43" t="str">
        <f t="shared" si="317"/>
        <v/>
      </c>
      <c r="DT46" s="43" t="str">
        <f t="shared" si="318"/>
        <v/>
      </c>
      <c r="DU46" s="43" t="str">
        <f t="shared" si="319"/>
        <v/>
      </c>
      <c r="DV46" s="43" t="str">
        <f t="shared" si="320"/>
        <v/>
      </c>
      <c r="DW46" s="43" t="str">
        <f t="shared" si="321"/>
        <v/>
      </c>
      <c r="DX46" s="43" t="str">
        <f t="shared" si="322"/>
        <v/>
      </c>
      <c r="DY46" s="43" t="str">
        <f t="shared" si="323"/>
        <v/>
      </c>
      <c r="DZ46" s="43" t="str">
        <f t="shared" si="324"/>
        <v/>
      </c>
      <c r="EA46" s="43" t="str">
        <f t="shared" si="325"/>
        <v/>
      </c>
      <c r="EB46" s="43" t="str">
        <f t="shared" si="326"/>
        <v/>
      </c>
      <c r="EC46" s="43" t="str">
        <f t="shared" si="327"/>
        <v/>
      </c>
      <c r="ED46" s="43" t="str">
        <f t="shared" si="328"/>
        <v/>
      </c>
      <c r="EE46" s="43" t="str">
        <f t="shared" si="329"/>
        <v/>
      </c>
      <c r="EF46" s="43" t="str">
        <f t="shared" si="330"/>
        <v/>
      </c>
      <c r="EG46" s="43" t="str">
        <f t="shared" si="331"/>
        <v/>
      </c>
      <c r="EH46" s="43" t="str">
        <f t="shared" si="332"/>
        <v/>
      </c>
      <c r="EI46" s="43" t="str">
        <f t="shared" si="333"/>
        <v/>
      </c>
      <c r="EJ46" s="43" t="str">
        <f t="shared" si="334"/>
        <v/>
      </c>
      <c r="EK46" s="43" t="str">
        <f t="shared" si="335"/>
        <v/>
      </c>
      <c r="EL46" s="43" t="str">
        <f t="shared" si="336"/>
        <v/>
      </c>
      <c r="EM46" s="43" t="str">
        <f t="shared" si="337"/>
        <v/>
      </c>
      <c r="EN46" s="43" t="str">
        <f t="shared" si="338"/>
        <v/>
      </c>
      <c r="EO46" s="43" t="str">
        <f t="shared" si="339"/>
        <v/>
      </c>
      <c r="EP46" s="43" t="str">
        <f t="shared" si="340"/>
        <v/>
      </c>
      <c r="EQ46" s="43" t="str">
        <f t="shared" si="341"/>
        <v/>
      </c>
      <c r="ER46" s="43" t="str">
        <f t="shared" si="342"/>
        <v/>
      </c>
      <c r="ES46" s="43" t="str">
        <f t="shared" si="343"/>
        <v/>
      </c>
      <c r="ET46" s="43" t="str">
        <f t="shared" si="344"/>
        <v/>
      </c>
      <c r="EU46" s="43" t="str">
        <f t="shared" si="345"/>
        <v/>
      </c>
      <c r="EV46" s="43" t="str">
        <f t="shared" si="346"/>
        <v/>
      </c>
      <c r="EW46" s="43" t="str">
        <f t="shared" si="347"/>
        <v>|n每秒业力+19</v>
      </c>
      <c r="EX46" s="43" t="str">
        <f t="shared" si="348"/>
        <v/>
      </c>
      <c r="EY46" s="43" t="str">
        <f t="shared" si="349"/>
        <v/>
      </c>
      <c r="EZ46" s="43" t="str">
        <f t="shared" si="350"/>
        <v/>
      </c>
      <c r="FA46" s="43" t="str">
        <f t="shared" si="351"/>
        <v/>
      </c>
      <c r="FB46" s="43" t="str">
        <f t="shared" si="352"/>
        <v/>
      </c>
      <c r="FC46" s="43" t="str">
        <f t="shared" si="353"/>
        <v/>
      </c>
      <c r="FD46" s="43" t="str">
        <f t="shared" si="354"/>
        <v/>
      </c>
      <c r="FE46" s="43" t="str">
        <f t="shared" si="355"/>
        <v/>
      </c>
      <c r="FF46" s="43" t="str">
        <f t="shared" si="356"/>
        <v/>
      </c>
      <c r="FG46" s="43" t="str">
        <f t="shared" si="357"/>
        <v/>
      </c>
      <c r="FH46" s="43" t="str">
        <f t="shared" si="358"/>
        <v/>
      </c>
      <c r="FI46" s="43" t="str">
        <f t="shared" si="359"/>
        <v/>
      </c>
      <c r="FJ46" s="43" t="str">
        <f t="shared" si="360"/>
        <v/>
      </c>
      <c r="FK46" s="43" t="str">
        <f t="shared" si="361"/>
        <v/>
      </c>
      <c r="FL46" s="43" t="str">
        <f t="shared" si="362"/>
        <v/>
      </c>
      <c r="FM46" s="43" t="str">
        <f t="shared" si="363"/>
        <v/>
      </c>
      <c r="FN46" s="43" t="str">
        <f t="shared" si="364"/>
        <v/>
      </c>
      <c r="FO46" s="43" t="str">
        <f t="shared" si="365"/>
        <v/>
      </c>
      <c r="FP46" s="43" t="str">
        <f t="shared" si="366"/>
        <v/>
      </c>
      <c r="FQ46" s="43" t="str">
        <f t="shared" si="367"/>
        <v/>
      </c>
      <c r="FR46" s="43" t="str">
        <f t="shared" si="368"/>
        <v/>
      </c>
      <c r="FS46" s="43" t="str">
        <f t="shared" si="369"/>
        <v/>
      </c>
    </row>
    <row r="47" s="6" customFormat="1" ht="15" spans="1:175">
      <c r="A47" s="10"/>
      <c r="B47" s="45" t="s">
        <v>268</v>
      </c>
      <c r="C47" s="3" t="s">
        <v>269</v>
      </c>
      <c r="D47" s="7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3"/>
      <c r="Q47" s="53"/>
      <c r="R47" s="53"/>
      <c r="S47" s="53"/>
      <c r="T47" s="58" t="str">
        <f t="shared" si="292"/>
        <v>|n攻击6%概率范围|cffff4646业力*15|r魔法伤害|n|n|Cff00ff7f击杀400只怪有50%概率升级|r</v>
      </c>
      <c r="U47" s="59" t="s">
        <v>261</v>
      </c>
      <c r="V47" s="60">
        <f t="shared" si="293"/>
        <v>75000</v>
      </c>
      <c r="W47" s="60"/>
      <c r="X47"/>
      <c r="Y47" s="60"/>
      <c r="Z47" s="60">
        <v>375000</v>
      </c>
      <c r="AA47" s="60"/>
      <c r="AB47" s="60">
        <f t="shared" si="294"/>
        <v>7500</v>
      </c>
      <c r="AC47" s="60"/>
      <c r="AD47" s="60">
        <v>105</v>
      </c>
      <c r="AE47" s="60">
        <v>12</v>
      </c>
      <c r="AF47" s="60"/>
      <c r="AG47" s="64"/>
      <c r="AH47" s="60"/>
      <c r="AI47" s="60"/>
      <c r="AJ47" s="60"/>
      <c r="AK47" s="60"/>
      <c r="AL47" s="64"/>
      <c r="AM47" s="60"/>
      <c r="AN47" s="60"/>
      <c r="AO47" s="60"/>
      <c r="AP47" s="60"/>
      <c r="AQ47" s="60"/>
      <c r="AR47" s="66"/>
      <c r="AS47" s="66"/>
      <c r="AT47" s="60"/>
      <c r="AU47" s="60"/>
      <c r="AV47" s="60"/>
      <c r="AW47" s="60"/>
      <c r="AX47" s="60"/>
      <c r="AY47" s="60"/>
      <c r="AZ47" s="60"/>
      <c r="BA47" s="60"/>
      <c r="BB47" s="60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60"/>
      <c r="CF47" s="60"/>
      <c r="CG47" s="60"/>
      <c r="CH47" s="60"/>
      <c r="CI47" s="60"/>
      <c r="CJ47" s="60"/>
      <c r="CK47" s="60"/>
      <c r="CL47" s="60"/>
      <c r="CM47" s="60"/>
      <c r="CN47" s="69" t="str">
        <f t="shared" si="295"/>
        <v>InitUnitState('E120',75000,,,,375000,,7500,,105,12)</v>
      </c>
      <c r="CO47" s="69" t="str">
        <f t="shared" si="296"/>
        <v>InitUnitNormal('E120',,,,,,,,,,)</v>
      </c>
      <c r="CP47" s="69" t="str">
        <f t="shared" si="297"/>
        <v>InitUnitMagic('E120',,,,,,,,,,)</v>
      </c>
      <c r="CQ47" s="69" t="str">
        <f t="shared" si="298"/>
        <v>InitUnitAdd('E120',,,,,,,20,,,)</v>
      </c>
      <c r="CR47" s="69" t="str">
        <f t="shared" si="299"/>
        <v>InitEquipData('E120',400,"",,E121,,50,'','','','','','',"ReplaceableTextures\\CommandButtons\\BTNZ10.blp")</v>
      </c>
      <c r="CS47" s="69"/>
      <c r="CT47" s="69"/>
      <c r="CU47" s="71" t="str">
        <f t="shared" si="78"/>
        <v>|n攻击+75000|n生命值+375000|n生命回复+7500|n攻速+105%|n闪避+12%|n每秒业力+20|n</v>
      </c>
      <c r="CV47" s="5" t="str">
        <f>"|Cffbbbbbb属性：|r"&amp;CU47&amp;VLOOKUP(A47,合成公式!A:P,16,FALSE)&amp;T47</f>
        <v>|Cffbbbbbb属性：|r|n攻击+75000|n生命值+375000|n生命回复+7500|n攻速+105%|n闪避+12%|n每秒业力+20|n|n攻击6%概率范围|cffff4646业力*15|r魔法伤害|n|n|Cff00ff7f击杀400只怪有50%概率升级|r</v>
      </c>
      <c r="DB47" s="43" t="str">
        <f t="shared" si="300"/>
        <v>|n攻击+75000</v>
      </c>
      <c r="DC47" s="43" t="str">
        <f t="shared" si="301"/>
        <v/>
      </c>
      <c r="DD47" s="43" t="str">
        <f t="shared" si="302"/>
        <v/>
      </c>
      <c r="DE47" s="43" t="str">
        <f t="shared" si="303"/>
        <v/>
      </c>
      <c r="DF47" s="43" t="str">
        <f t="shared" si="304"/>
        <v>|n生命值+375000</v>
      </c>
      <c r="DG47" s="43" t="str">
        <f t="shared" si="305"/>
        <v/>
      </c>
      <c r="DH47" s="43" t="str">
        <f t="shared" si="306"/>
        <v>|n生命回复+7500</v>
      </c>
      <c r="DI47" s="43" t="str">
        <f t="shared" si="307"/>
        <v/>
      </c>
      <c r="DJ47" s="43" t="str">
        <f t="shared" si="308"/>
        <v>|n攻速+105%</v>
      </c>
      <c r="DK47" s="43" t="str">
        <f t="shared" si="309"/>
        <v>|n闪避+12%</v>
      </c>
      <c r="DL47" s="43" t="str">
        <f t="shared" si="310"/>
        <v/>
      </c>
      <c r="DM47" s="43" t="str">
        <f t="shared" si="311"/>
        <v/>
      </c>
      <c r="DN47" s="43" t="str">
        <f t="shared" si="312"/>
        <v/>
      </c>
      <c r="DO47" s="43" t="str">
        <f t="shared" si="313"/>
        <v/>
      </c>
      <c r="DP47" s="43" t="str">
        <f t="shared" si="314"/>
        <v/>
      </c>
      <c r="DQ47" s="43" t="str">
        <f t="shared" si="315"/>
        <v/>
      </c>
      <c r="DR47" s="43" t="str">
        <f t="shared" si="316"/>
        <v/>
      </c>
      <c r="DS47" s="43" t="str">
        <f t="shared" si="317"/>
        <v/>
      </c>
      <c r="DT47" s="43" t="str">
        <f t="shared" si="318"/>
        <v/>
      </c>
      <c r="DU47" s="43" t="str">
        <f t="shared" si="319"/>
        <v/>
      </c>
      <c r="DV47" s="43" t="str">
        <f t="shared" si="320"/>
        <v/>
      </c>
      <c r="DW47" s="43" t="str">
        <f t="shared" si="321"/>
        <v/>
      </c>
      <c r="DX47" s="43" t="str">
        <f t="shared" si="322"/>
        <v/>
      </c>
      <c r="DY47" s="43" t="str">
        <f t="shared" si="323"/>
        <v/>
      </c>
      <c r="DZ47" s="43" t="str">
        <f t="shared" si="324"/>
        <v/>
      </c>
      <c r="EA47" s="43" t="str">
        <f t="shared" si="325"/>
        <v/>
      </c>
      <c r="EB47" s="43" t="str">
        <f t="shared" si="326"/>
        <v/>
      </c>
      <c r="EC47" s="43" t="str">
        <f t="shared" si="327"/>
        <v/>
      </c>
      <c r="ED47" s="43" t="str">
        <f t="shared" si="328"/>
        <v/>
      </c>
      <c r="EE47" s="43" t="str">
        <f t="shared" si="329"/>
        <v/>
      </c>
      <c r="EF47" s="43" t="str">
        <f t="shared" si="330"/>
        <v/>
      </c>
      <c r="EG47" s="43" t="str">
        <f t="shared" si="331"/>
        <v/>
      </c>
      <c r="EH47" s="43" t="str">
        <f t="shared" si="332"/>
        <v/>
      </c>
      <c r="EI47" s="43" t="str">
        <f t="shared" si="333"/>
        <v/>
      </c>
      <c r="EJ47" s="43" t="str">
        <f t="shared" si="334"/>
        <v/>
      </c>
      <c r="EK47" s="43" t="str">
        <f t="shared" si="335"/>
        <v/>
      </c>
      <c r="EL47" s="43" t="str">
        <f t="shared" si="336"/>
        <v/>
      </c>
      <c r="EM47" s="43" t="str">
        <f t="shared" si="337"/>
        <v/>
      </c>
      <c r="EN47" s="43" t="str">
        <f t="shared" si="338"/>
        <v/>
      </c>
      <c r="EO47" s="43" t="str">
        <f t="shared" si="339"/>
        <v/>
      </c>
      <c r="EP47" s="43" t="str">
        <f t="shared" si="340"/>
        <v/>
      </c>
      <c r="EQ47" s="43" t="str">
        <f t="shared" si="341"/>
        <v/>
      </c>
      <c r="ER47" s="43" t="str">
        <f t="shared" si="342"/>
        <v/>
      </c>
      <c r="ES47" s="43" t="str">
        <f t="shared" si="343"/>
        <v/>
      </c>
      <c r="ET47" s="43" t="str">
        <f t="shared" si="344"/>
        <v/>
      </c>
      <c r="EU47" s="43" t="str">
        <f t="shared" si="345"/>
        <v/>
      </c>
      <c r="EV47" s="43" t="str">
        <f t="shared" si="346"/>
        <v/>
      </c>
      <c r="EW47" s="43" t="str">
        <f t="shared" si="347"/>
        <v>|n每秒业力+20</v>
      </c>
      <c r="EX47" s="43" t="str">
        <f t="shared" si="348"/>
        <v/>
      </c>
      <c r="EY47" s="43" t="str">
        <f t="shared" si="349"/>
        <v/>
      </c>
      <c r="EZ47" s="43" t="str">
        <f t="shared" si="350"/>
        <v/>
      </c>
      <c r="FA47" s="43" t="str">
        <f t="shared" si="351"/>
        <v/>
      </c>
      <c r="FB47" s="43" t="str">
        <f t="shared" si="352"/>
        <v/>
      </c>
      <c r="FC47" s="43" t="str">
        <f t="shared" si="353"/>
        <v/>
      </c>
      <c r="FD47" s="43" t="str">
        <f t="shared" si="354"/>
        <v/>
      </c>
      <c r="FE47" s="43" t="str">
        <f t="shared" si="355"/>
        <v/>
      </c>
      <c r="FF47" s="43" t="str">
        <f t="shared" si="356"/>
        <v/>
      </c>
      <c r="FG47" s="43" t="str">
        <f t="shared" si="357"/>
        <v/>
      </c>
      <c r="FH47" s="43" t="str">
        <f t="shared" si="358"/>
        <v/>
      </c>
      <c r="FI47" s="43" t="str">
        <f t="shared" si="359"/>
        <v/>
      </c>
      <c r="FJ47" s="43" t="str">
        <f t="shared" si="360"/>
        <v/>
      </c>
      <c r="FK47" s="43" t="str">
        <f t="shared" si="361"/>
        <v/>
      </c>
      <c r="FL47" s="43" t="str">
        <f t="shared" si="362"/>
        <v/>
      </c>
      <c r="FM47" s="43" t="str">
        <f t="shared" si="363"/>
        <v/>
      </c>
      <c r="FN47" s="43" t="str">
        <f t="shared" si="364"/>
        <v/>
      </c>
      <c r="FO47" s="43" t="str">
        <f t="shared" si="365"/>
        <v/>
      </c>
      <c r="FP47" s="43" t="str">
        <f t="shared" si="366"/>
        <v/>
      </c>
      <c r="FQ47" s="43" t="str">
        <f t="shared" si="367"/>
        <v/>
      </c>
      <c r="FR47" s="43" t="str">
        <f t="shared" si="368"/>
        <v/>
      </c>
      <c r="FS47" s="43" t="str">
        <f t="shared" si="369"/>
        <v/>
      </c>
    </row>
    <row r="48" s="6" customFormat="1" ht="15" spans="1:175">
      <c r="A48" s="10"/>
      <c r="B48" s="45" t="s">
        <v>270</v>
      </c>
      <c r="C48" s="3" t="s">
        <v>271</v>
      </c>
      <c r="D48" s="7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3"/>
      <c r="Q48" s="53"/>
      <c r="R48" s="53"/>
      <c r="S48" s="53"/>
      <c r="T48" s="58" t="str">
        <f t="shared" si="292"/>
        <v>|n攻击6%概率范围|cffff4646业力*15|r魔法伤害|n|n|Cff00ff7f击杀500只怪有50%概率升级|r</v>
      </c>
      <c r="U48" s="59" t="s">
        <v>272</v>
      </c>
      <c r="V48" s="60">
        <f t="shared" si="293"/>
        <v>112500</v>
      </c>
      <c r="W48" s="60"/>
      <c r="X48"/>
      <c r="Y48" s="60"/>
      <c r="Z48" s="60">
        <v>562500</v>
      </c>
      <c r="AA48" s="60"/>
      <c r="AB48" s="60">
        <f t="shared" si="294"/>
        <v>11250</v>
      </c>
      <c r="AC48" s="60"/>
      <c r="AD48" s="60">
        <v>110</v>
      </c>
      <c r="AE48" s="60">
        <v>15</v>
      </c>
      <c r="AF48" s="60"/>
      <c r="AG48" s="64"/>
      <c r="AH48" s="60"/>
      <c r="AI48" s="60"/>
      <c r="AJ48" s="60"/>
      <c r="AK48" s="60"/>
      <c r="AL48" s="64"/>
      <c r="AM48" s="60"/>
      <c r="AN48" s="60"/>
      <c r="AO48" s="60"/>
      <c r="AP48" s="60"/>
      <c r="AQ48" s="60"/>
      <c r="AR48" s="66"/>
      <c r="AS48" s="66"/>
      <c r="AT48" s="60"/>
      <c r="AU48" s="60"/>
      <c r="AV48" s="60"/>
      <c r="AW48" s="60"/>
      <c r="AX48" s="60"/>
      <c r="AY48" s="60"/>
      <c r="AZ48" s="60"/>
      <c r="BA48" s="60"/>
      <c r="BB48" s="60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60"/>
      <c r="CF48" s="60"/>
      <c r="CG48" s="60"/>
      <c r="CH48" s="60"/>
      <c r="CI48" s="60"/>
      <c r="CJ48" s="60"/>
      <c r="CK48" s="60"/>
      <c r="CL48" s="60"/>
      <c r="CM48" s="60"/>
      <c r="CN48" s="69" t="str">
        <f t="shared" si="295"/>
        <v>InitUnitState('E121',112500,,,,562500,,11250,,110,15)</v>
      </c>
      <c r="CO48" s="69" t="str">
        <f t="shared" si="296"/>
        <v>InitUnitNormal('E121',,,,,,,,,,)</v>
      </c>
      <c r="CP48" s="69" t="str">
        <f t="shared" si="297"/>
        <v>InitUnitMagic('E121',,,,,,,,,,)</v>
      </c>
      <c r="CQ48" s="69" t="str">
        <f t="shared" si="298"/>
        <v>InitUnitAdd('E121',,,,,,,21,,,)</v>
      </c>
      <c r="CR48" s="69" t="str">
        <f t="shared" si="299"/>
        <v>InitEquipData('E121',500,"",,E122,,50,'','','','','','',"ReplaceableTextures\\CommandButtons\\BTNZ10.blp")</v>
      </c>
      <c r="CS48" s="69"/>
      <c r="CT48" s="69"/>
      <c r="CU48" s="71" t="str">
        <f t="shared" si="78"/>
        <v>|n攻击+112500|n生命值+562500|n生命回复+11250|n攻速+110%|n闪避+15%|n每秒业力+21|n</v>
      </c>
      <c r="CV48" s="5" t="str">
        <f>"|Cffbbbbbb属性：|r"&amp;CU48&amp;VLOOKUP(A48,合成公式!A:P,16,FALSE)&amp;T48</f>
        <v>|Cffbbbbbb属性：|r|n攻击+112500|n生命值+562500|n生命回复+11250|n攻速+110%|n闪避+15%|n每秒业力+21|n|n攻击6%概率范围|cffff4646业力*15|r魔法伤害|n|n|Cff00ff7f击杀500只怪有50%概率升级|r</v>
      </c>
      <c r="DB48" s="43" t="str">
        <f t="shared" si="300"/>
        <v>|n攻击+112500</v>
      </c>
      <c r="DC48" s="43" t="str">
        <f t="shared" si="301"/>
        <v/>
      </c>
      <c r="DD48" s="43" t="str">
        <f t="shared" si="302"/>
        <v/>
      </c>
      <c r="DE48" s="43" t="str">
        <f t="shared" si="303"/>
        <v/>
      </c>
      <c r="DF48" s="43" t="str">
        <f t="shared" si="304"/>
        <v>|n生命值+562500</v>
      </c>
      <c r="DG48" s="43" t="str">
        <f t="shared" si="305"/>
        <v/>
      </c>
      <c r="DH48" s="43" t="str">
        <f t="shared" si="306"/>
        <v>|n生命回复+11250</v>
      </c>
      <c r="DI48" s="43" t="str">
        <f t="shared" si="307"/>
        <v/>
      </c>
      <c r="DJ48" s="43" t="str">
        <f t="shared" si="308"/>
        <v>|n攻速+110%</v>
      </c>
      <c r="DK48" s="43" t="str">
        <f t="shared" si="309"/>
        <v>|n闪避+15%</v>
      </c>
      <c r="DL48" s="43" t="str">
        <f t="shared" si="310"/>
        <v/>
      </c>
      <c r="DM48" s="43" t="str">
        <f t="shared" si="311"/>
        <v/>
      </c>
      <c r="DN48" s="43" t="str">
        <f t="shared" si="312"/>
        <v/>
      </c>
      <c r="DO48" s="43" t="str">
        <f t="shared" si="313"/>
        <v/>
      </c>
      <c r="DP48" s="43" t="str">
        <f t="shared" si="314"/>
        <v/>
      </c>
      <c r="DQ48" s="43" t="str">
        <f t="shared" si="315"/>
        <v/>
      </c>
      <c r="DR48" s="43" t="str">
        <f t="shared" si="316"/>
        <v/>
      </c>
      <c r="DS48" s="43" t="str">
        <f t="shared" si="317"/>
        <v/>
      </c>
      <c r="DT48" s="43" t="str">
        <f t="shared" si="318"/>
        <v/>
      </c>
      <c r="DU48" s="43" t="str">
        <f t="shared" si="319"/>
        <v/>
      </c>
      <c r="DV48" s="43" t="str">
        <f t="shared" si="320"/>
        <v/>
      </c>
      <c r="DW48" s="43" t="str">
        <f t="shared" si="321"/>
        <v/>
      </c>
      <c r="DX48" s="43" t="str">
        <f t="shared" si="322"/>
        <v/>
      </c>
      <c r="DY48" s="43" t="str">
        <f t="shared" si="323"/>
        <v/>
      </c>
      <c r="DZ48" s="43" t="str">
        <f t="shared" si="324"/>
        <v/>
      </c>
      <c r="EA48" s="43" t="str">
        <f t="shared" si="325"/>
        <v/>
      </c>
      <c r="EB48" s="43" t="str">
        <f t="shared" si="326"/>
        <v/>
      </c>
      <c r="EC48" s="43" t="str">
        <f t="shared" si="327"/>
        <v/>
      </c>
      <c r="ED48" s="43" t="str">
        <f t="shared" si="328"/>
        <v/>
      </c>
      <c r="EE48" s="43" t="str">
        <f t="shared" si="329"/>
        <v/>
      </c>
      <c r="EF48" s="43" t="str">
        <f t="shared" si="330"/>
        <v/>
      </c>
      <c r="EG48" s="43" t="str">
        <f t="shared" si="331"/>
        <v/>
      </c>
      <c r="EH48" s="43" t="str">
        <f t="shared" si="332"/>
        <v/>
      </c>
      <c r="EI48" s="43" t="str">
        <f t="shared" si="333"/>
        <v/>
      </c>
      <c r="EJ48" s="43" t="str">
        <f t="shared" si="334"/>
        <v/>
      </c>
      <c r="EK48" s="43" t="str">
        <f t="shared" si="335"/>
        <v/>
      </c>
      <c r="EL48" s="43" t="str">
        <f t="shared" si="336"/>
        <v/>
      </c>
      <c r="EM48" s="43" t="str">
        <f t="shared" si="337"/>
        <v/>
      </c>
      <c r="EN48" s="43" t="str">
        <f t="shared" si="338"/>
        <v/>
      </c>
      <c r="EO48" s="43" t="str">
        <f t="shared" si="339"/>
        <v/>
      </c>
      <c r="EP48" s="43" t="str">
        <f t="shared" si="340"/>
        <v/>
      </c>
      <c r="EQ48" s="43" t="str">
        <f t="shared" si="341"/>
        <v/>
      </c>
      <c r="ER48" s="43" t="str">
        <f t="shared" si="342"/>
        <v/>
      </c>
      <c r="ES48" s="43" t="str">
        <f t="shared" si="343"/>
        <v/>
      </c>
      <c r="ET48" s="43" t="str">
        <f t="shared" si="344"/>
        <v/>
      </c>
      <c r="EU48" s="43" t="str">
        <f t="shared" si="345"/>
        <v/>
      </c>
      <c r="EV48" s="43" t="str">
        <f t="shared" si="346"/>
        <v/>
      </c>
      <c r="EW48" s="43" t="str">
        <f t="shared" si="347"/>
        <v>|n每秒业力+21</v>
      </c>
      <c r="EX48" s="43" t="str">
        <f t="shared" si="348"/>
        <v/>
      </c>
      <c r="EY48" s="43" t="str">
        <f t="shared" si="349"/>
        <v/>
      </c>
      <c r="EZ48" s="43" t="str">
        <f t="shared" si="350"/>
        <v/>
      </c>
      <c r="FA48" s="43" t="str">
        <f t="shared" si="351"/>
        <v/>
      </c>
      <c r="FB48" s="43" t="str">
        <f t="shared" si="352"/>
        <v/>
      </c>
      <c r="FC48" s="43" t="str">
        <f t="shared" si="353"/>
        <v/>
      </c>
      <c r="FD48" s="43" t="str">
        <f t="shared" si="354"/>
        <v/>
      </c>
      <c r="FE48" s="43" t="str">
        <f t="shared" si="355"/>
        <v/>
      </c>
      <c r="FF48" s="43" t="str">
        <f t="shared" si="356"/>
        <v/>
      </c>
      <c r="FG48" s="43" t="str">
        <f t="shared" si="357"/>
        <v/>
      </c>
      <c r="FH48" s="43" t="str">
        <f t="shared" si="358"/>
        <v/>
      </c>
      <c r="FI48" s="43" t="str">
        <f t="shared" si="359"/>
        <v/>
      </c>
      <c r="FJ48" s="43" t="str">
        <f t="shared" si="360"/>
        <v/>
      </c>
      <c r="FK48" s="43" t="str">
        <f t="shared" si="361"/>
        <v/>
      </c>
      <c r="FL48" s="43" t="str">
        <f t="shared" si="362"/>
        <v/>
      </c>
      <c r="FM48" s="43" t="str">
        <f t="shared" si="363"/>
        <v/>
      </c>
      <c r="FN48" s="43" t="str">
        <f t="shared" si="364"/>
        <v/>
      </c>
      <c r="FO48" s="43" t="str">
        <f t="shared" si="365"/>
        <v/>
      </c>
      <c r="FP48" s="43" t="str">
        <f t="shared" si="366"/>
        <v/>
      </c>
      <c r="FQ48" s="43" t="str">
        <f t="shared" si="367"/>
        <v/>
      </c>
      <c r="FR48" s="43" t="str">
        <f t="shared" si="368"/>
        <v/>
      </c>
      <c r="FS48" s="43" t="str">
        <f t="shared" si="369"/>
        <v/>
      </c>
    </row>
    <row r="49" s="6" customFormat="1" ht="15" spans="1:175">
      <c r="A49" s="10"/>
      <c r="B49" s="45" t="s">
        <v>273</v>
      </c>
      <c r="C49" s="3" t="s">
        <v>274</v>
      </c>
      <c r="D49" s="7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3"/>
      <c r="Q49" s="53"/>
      <c r="R49" s="53"/>
      <c r="S49" s="53"/>
      <c r="T49" s="58" t="str">
        <f t="shared" si="292"/>
        <v>|n攻击6%概率范围|cffff4646业力*15|r魔法伤害|n|n|Cff00ff7f击杀500只怪有50%概率升级|r</v>
      </c>
      <c r="U49" s="59" t="s">
        <v>272</v>
      </c>
      <c r="V49" s="60">
        <f t="shared" si="293"/>
        <v>127500</v>
      </c>
      <c r="W49" s="60"/>
      <c r="X49" s="60"/>
      <c r="Y49" s="60"/>
      <c r="Z49" s="60">
        <v>637500</v>
      </c>
      <c r="AA49" s="60"/>
      <c r="AB49" s="60">
        <f t="shared" si="294"/>
        <v>12750</v>
      </c>
      <c r="AC49" s="60"/>
      <c r="AD49" s="60">
        <v>115</v>
      </c>
      <c r="AE49" s="60">
        <v>15</v>
      </c>
      <c r="AF49" s="60"/>
      <c r="AG49" s="64"/>
      <c r="AH49" s="60"/>
      <c r="AI49" s="60"/>
      <c r="AJ49" s="60"/>
      <c r="AK49" s="60"/>
      <c r="AL49" s="64"/>
      <c r="AM49" s="60"/>
      <c r="AN49" s="60"/>
      <c r="AO49" s="60"/>
      <c r="AP49" s="60"/>
      <c r="AQ49" s="60"/>
      <c r="AR49" s="66"/>
      <c r="AS49" s="66"/>
      <c r="AT49" s="60"/>
      <c r="AU49" s="60"/>
      <c r="AV49" s="60"/>
      <c r="AW49" s="60"/>
      <c r="AX49" s="60"/>
      <c r="AY49" s="60"/>
      <c r="AZ49" s="60"/>
      <c r="BA49" s="60"/>
      <c r="BB49" s="60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60"/>
      <c r="CF49" s="60"/>
      <c r="CG49" s="60"/>
      <c r="CH49" s="60"/>
      <c r="CI49" s="60"/>
      <c r="CJ49" s="60"/>
      <c r="CK49" s="60"/>
      <c r="CL49" s="60"/>
      <c r="CM49" s="60"/>
      <c r="CN49" s="69" t="str">
        <f t="shared" si="295"/>
        <v>InitUnitState('E122',127500,,,,637500,,12750,,115,15)</v>
      </c>
      <c r="CO49" s="69" t="str">
        <f t="shared" si="296"/>
        <v>InitUnitNormal('E122',,,,,,,,,,)</v>
      </c>
      <c r="CP49" s="69" t="str">
        <f t="shared" si="297"/>
        <v>InitUnitMagic('E122',,,,,,,,,,)</v>
      </c>
      <c r="CQ49" s="69" t="str">
        <f t="shared" si="298"/>
        <v>InitUnitAdd('E122',,,,,,,22,,,)</v>
      </c>
      <c r="CR49" s="69" t="str">
        <f t="shared" si="299"/>
        <v>InitEquipData('E122',500,"",,E123,,50,'','','','','','',"ReplaceableTextures\\CommandButtons\\BTNZ10.blp")</v>
      </c>
      <c r="CS49" s="69"/>
      <c r="CT49" s="69"/>
      <c r="CU49" s="71" t="str">
        <f t="shared" si="78"/>
        <v>|n攻击+127500|n生命值+637500|n生命回复+12750|n攻速+115%|n闪避+15%|n每秒业力+22|n</v>
      </c>
      <c r="CV49" s="5" t="str">
        <f>"|Cffbbbbbb属性：|r"&amp;CU49&amp;VLOOKUP(A49,合成公式!A:P,16,FALSE)&amp;T49</f>
        <v>|Cffbbbbbb属性：|r|n攻击+127500|n生命值+637500|n生命回复+12750|n攻速+115%|n闪避+15%|n每秒业力+22|n|n攻击6%概率范围|cffff4646业力*15|r魔法伤害|n|n|Cff00ff7f击杀500只怪有50%概率升级|r</v>
      </c>
      <c r="DB49" s="43" t="str">
        <f t="shared" si="300"/>
        <v>|n攻击+127500</v>
      </c>
      <c r="DC49" s="43" t="str">
        <f t="shared" si="301"/>
        <v/>
      </c>
      <c r="DD49" s="43" t="str">
        <f t="shared" si="302"/>
        <v/>
      </c>
      <c r="DE49" s="43" t="str">
        <f t="shared" si="303"/>
        <v/>
      </c>
      <c r="DF49" s="43" t="str">
        <f t="shared" si="304"/>
        <v>|n生命值+637500</v>
      </c>
      <c r="DG49" s="43" t="str">
        <f t="shared" si="305"/>
        <v/>
      </c>
      <c r="DH49" s="43" t="str">
        <f t="shared" si="306"/>
        <v>|n生命回复+12750</v>
      </c>
      <c r="DI49" s="43" t="str">
        <f t="shared" si="307"/>
        <v/>
      </c>
      <c r="DJ49" s="43" t="str">
        <f t="shared" si="308"/>
        <v>|n攻速+115%</v>
      </c>
      <c r="DK49" s="43" t="str">
        <f t="shared" si="309"/>
        <v>|n闪避+15%</v>
      </c>
      <c r="DL49" s="43" t="str">
        <f t="shared" si="310"/>
        <v/>
      </c>
      <c r="DM49" s="43" t="str">
        <f t="shared" si="311"/>
        <v/>
      </c>
      <c r="DN49" s="43" t="str">
        <f t="shared" si="312"/>
        <v/>
      </c>
      <c r="DO49" s="43" t="str">
        <f t="shared" si="313"/>
        <v/>
      </c>
      <c r="DP49" s="43" t="str">
        <f t="shared" si="314"/>
        <v/>
      </c>
      <c r="DQ49" s="43" t="str">
        <f t="shared" si="315"/>
        <v/>
      </c>
      <c r="DR49" s="43" t="str">
        <f t="shared" si="316"/>
        <v/>
      </c>
      <c r="DS49" s="43" t="str">
        <f t="shared" si="317"/>
        <v/>
      </c>
      <c r="DT49" s="43" t="str">
        <f t="shared" si="318"/>
        <v/>
      </c>
      <c r="DU49" s="43" t="str">
        <f t="shared" si="319"/>
        <v/>
      </c>
      <c r="DV49" s="43" t="str">
        <f t="shared" si="320"/>
        <v/>
      </c>
      <c r="DW49" s="43" t="str">
        <f t="shared" si="321"/>
        <v/>
      </c>
      <c r="DX49" s="43" t="str">
        <f t="shared" si="322"/>
        <v/>
      </c>
      <c r="DY49" s="43" t="str">
        <f t="shared" si="323"/>
        <v/>
      </c>
      <c r="DZ49" s="43" t="str">
        <f t="shared" si="324"/>
        <v/>
      </c>
      <c r="EA49" s="43" t="str">
        <f t="shared" si="325"/>
        <v/>
      </c>
      <c r="EB49" s="43" t="str">
        <f t="shared" si="326"/>
        <v/>
      </c>
      <c r="EC49" s="43" t="str">
        <f t="shared" si="327"/>
        <v/>
      </c>
      <c r="ED49" s="43" t="str">
        <f t="shared" si="328"/>
        <v/>
      </c>
      <c r="EE49" s="43" t="str">
        <f t="shared" si="329"/>
        <v/>
      </c>
      <c r="EF49" s="43" t="str">
        <f t="shared" si="330"/>
        <v/>
      </c>
      <c r="EG49" s="43" t="str">
        <f t="shared" si="331"/>
        <v/>
      </c>
      <c r="EH49" s="43" t="str">
        <f t="shared" si="332"/>
        <v/>
      </c>
      <c r="EI49" s="43" t="str">
        <f t="shared" si="333"/>
        <v/>
      </c>
      <c r="EJ49" s="43" t="str">
        <f t="shared" si="334"/>
        <v/>
      </c>
      <c r="EK49" s="43" t="str">
        <f t="shared" si="335"/>
        <v/>
      </c>
      <c r="EL49" s="43" t="str">
        <f t="shared" si="336"/>
        <v/>
      </c>
      <c r="EM49" s="43" t="str">
        <f t="shared" si="337"/>
        <v/>
      </c>
      <c r="EN49" s="43" t="str">
        <f t="shared" si="338"/>
        <v/>
      </c>
      <c r="EO49" s="43" t="str">
        <f t="shared" si="339"/>
        <v/>
      </c>
      <c r="EP49" s="43" t="str">
        <f t="shared" si="340"/>
        <v/>
      </c>
      <c r="EQ49" s="43" t="str">
        <f t="shared" si="341"/>
        <v/>
      </c>
      <c r="ER49" s="43" t="str">
        <f t="shared" si="342"/>
        <v/>
      </c>
      <c r="ES49" s="43" t="str">
        <f t="shared" si="343"/>
        <v/>
      </c>
      <c r="ET49" s="43" t="str">
        <f t="shared" si="344"/>
        <v/>
      </c>
      <c r="EU49" s="43" t="str">
        <f t="shared" si="345"/>
        <v/>
      </c>
      <c r="EV49" s="43" t="str">
        <f t="shared" si="346"/>
        <v/>
      </c>
      <c r="EW49" s="43" t="str">
        <f t="shared" si="347"/>
        <v>|n每秒业力+22</v>
      </c>
      <c r="EX49" s="43" t="str">
        <f t="shared" si="348"/>
        <v/>
      </c>
      <c r="EY49" s="43" t="str">
        <f t="shared" si="349"/>
        <v/>
      </c>
      <c r="EZ49" s="43" t="str">
        <f t="shared" si="350"/>
        <v/>
      </c>
      <c r="FA49" s="43" t="str">
        <f t="shared" si="351"/>
        <v/>
      </c>
      <c r="FB49" s="43" t="str">
        <f t="shared" si="352"/>
        <v/>
      </c>
      <c r="FC49" s="43" t="str">
        <f t="shared" si="353"/>
        <v/>
      </c>
      <c r="FD49" s="43" t="str">
        <f t="shared" si="354"/>
        <v/>
      </c>
      <c r="FE49" s="43" t="str">
        <f t="shared" si="355"/>
        <v/>
      </c>
      <c r="FF49" s="43" t="str">
        <f t="shared" si="356"/>
        <v/>
      </c>
      <c r="FG49" s="43" t="str">
        <f t="shared" si="357"/>
        <v/>
      </c>
      <c r="FH49" s="43" t="str">
        <f t="shared" si="358"/>
        <v/>
      </c>
      <c r="FI49" s="43" t="str">
        <f t="shared" si="359"/>
        <v/>
      </c>
      <c r="FJ49" s="43" t="str">
        <f t="shared" si="360"/>
        <v/>
      </c>
      <c r="FK49" s="43" t="str">
        <f t="shared" si="361"/>
        <v/>
      </c>
      <c r="FL49" s="43" t="str">
        <f t="shared" si="362"/>
        <v/>
      </c>
      <c r="FM49" s="43" t="str">
        <f t="shared" si="363"/>
        <v/>
      </c>
      <c r="FN49" s="43" t="str">
        <f t="shared" si="364"/>
        <v/>
      </c>
      <c r="FO49" s="43" t="str">
        <f t="shared" si="365"/>
        <v/>
      </c>
      <c r="FP49" s="43" t="str">
        <f t="shared" si="366"/>
        <v/>
      </c>
      <c r="FQ49" s="43" t="str">
        <f t="shared" si="367"/>
        <v/>
      </c>
      <c r="FR49" s="43" t="str">
        <f t="shared" si="368"/>
        <v/>
      </c>
      <c r="FS49" s="43" t="str">
        <f t="shared" si="369"/>
        <v/>
      </c>
    </row>
    <row r="50" s="6" customFormat="1" ht="15" spans="1:175">
      <c r="A50" s="10"/>
      <c r="B50" s="45" t="s">
        <v>275</v>
      </c>
      <c r="C50" s="3" t="s">
        <v>276</v>
      </c>
      <c r="D50" s="7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3"/>
      <c r="Q50" s="53"/>
      <c r="R50" s="53"/>
      <c r="S50" s="53"/>
      <c r="T50" s="58" t="str">
        <f t="shared" si="292"/>
        <v>|n攻击6%概率范围|cffff4646业力*15|r魔法伤害|n|n|Cff00ff7f击杀500只怪有50%概率升级|r</v>
      </c>
      <c r="U50" s="59" t="s">
        <v>272</v>
      </c>
      <c r="V50" s="60">
        <f t="shared" si="293"/>
        <v>142500</v>
      </c>
      <c r="W50" s="60"/>
      <c r="X50" s="60"/>
      <c r="Y50" s="60"/>
      <c r="Z50" s="60">
        <v>712500</v>
      </c>
      <c r="AA50" s="60"/>
      <c r="AB50" s="60">
        <f t="shared" si="294"/>
        <v>14250</v>
      </c>
      <c r="AC50" s="60"/>
      <c r="AD50" s="60">
        <v>120</v>
      </c>
      <c r="AE50" s="60">
        <v>15</v>
      </c>
      <c r="AF50" s="60"/>
      <c r="AG50" s="64"/>
      <c r="AH50" s="60"/>
      <c r="AI50" s="60"/>
      <c r="AJ50" s="60"/>
      <c r="AK50" s="60"/>
      <c r="AL50" s="64"/>
      <c r="AM50" s="60"/>
      <c r="AN50" s="60"/>
      <c r="AO50" s="60"/>
      <c r="AP50" s="60"/>
      <c r="AQ50" s="60"/>
      <c r="AR50" s="66"/>
      <c r="AS50" s="66"/>
      <c r="AT50" s="60"/>
      <c r="AU50" s="60"/>
      <c r="AV50" s="60"/>
      <c r="AW50" s="60"/>
      <c r="AX50" s="60"/>
      <c r="AY50" s="60"/>
      <c r="AZ50" s="60"/>
      <c r="BA50" s="60"/>
      <c r="BB50" s="6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60"/>
      <c r="CF50" s="60"/>
      <c r="CG50" s="60"/>
      <c r="CH50" s="60"/>
      <c r="CI50" s="60"/>
      <c r="CJ50" s="60"/>
      <c r="CK50" s="60"/>
      <c r="CL50" s="60"/>
      <c r="CM50" s="60"/>
      <c r="CN50" s="69" t="str">
        <f t="shared" si="295"/>
        <v>InitUnitState('E123',142500,,,,712500,,14250,,120,15)</v>
      </c>
      <c r="CO50" s="69" t="str">
        <f t="shared" si="296"/>
        <v>InitUnitNormal('E123',,,,,,,,,,)</v>
      </c>
      <c r="CP50" s="69" t="str">
        <f t="shared" si="297"/>
        <v>InitUnitMagic('E123',,,,,,,,,,)</v>
      </c>
      <c r="CQ50" s="69" t="str">
        <f t="shared" si="298"/>
        <v>InitUnitAdd('E123',,,,,,,23,,,)</v>
      </c>
      <c r="CR50" s="69" t="str">
        <f t="shared" si="299"/>
        <v>InitEquipData('E123',500,"",,E124,,50,'','','','','','',"ReplaceableTextures\\CommandButtons\\BTNZ10.blp")</v>
      </c>
      <c r="CS50" s="69"/>
      <c r="CT50" s="69"/>
      <c r="CU50" s="71" t="str">
        <f t="shared" si="78"/>
        <v>|n攻击+142500|n生命值+712500|n生命回复+14250|n攻速+120%|n闪避+15%|n每秒业力+23|n</v>
      </c>
      <c r="CV50" s="5" t="str">
        <f>"|Cffbbbbbb属性：|r"&amp;CU50&amp;VLOOKUP(A50,合成公式!A:P,16,FALSE)&amp;T50</f>
        <v>|Cffbbbbbb属性：|r|n攻击+142500|n生命值+712500|n生命回复+14250|n攻速+120%|n闪避+15%|n每秒业力+23|n|n攻击6%概率范围|cffff4646业力*15|r魔法伤害|n|n|Cff00ff7f击杀500只怪有50%概率升级|r</v>
      </c>
      <c r="DB50" s="43" t="str">
        <f t="shared" si="300"/>
        <v>|n攻击+142500</v>
      </c>
      <c r="DC50" s="43" t="str">
        <f t="shared" si="301"/>
        <v/>
      </c>
      <c r="DD50" s="43" t="str">
        <f t="shared" si="302"/>
        <v/>
      </c>
      <c r="DE50" s="43" t="str">
        <f t="shared" si="303"/>
        <v/>
      </c>
      <c r="DF50" s="43" t="str">
        <f t="shared" si="304"/>
        <v>|n生命值+712500</v>
      </c>
      <c r="DG50" s="43" t="str">
        <f t="shared" si="305"/>
        <v/>
      </c>
      <c r="DH50" s="43" t="str">
        <f t="shared" si="306"/>
        <v>|n生命回复+14250</v>
      </c>
      <c r="DI50" s="43" t="str">
        <f t="shared" si="307"/>
        <v/>
      </c>
      <c r="DJ50" s="43" t="str">
        <f t="shared" si="308"/>
        <v>|n攻速+120%</v>
      </c>
      <c r="DK50" s="43" t="str">
        <f t="shared" si="309"/>
        <v>|n闪避+15%</v>
      </c>
      <c r="DL50" s="43" t="str">
        <f t="shared" si="310"/>
        <v/>
      </c>
      <c r="DM50" s="43" t="str">
        <f t="shared" si="311"/>
        <v/>
      </c>
      <c r="DN50" s="43" t="str">
        <f t="shared" si="312"/>
        <v/>
      </c>
      <c r="DO50" s="43" t="str">
        <f t="shared" si="313"/>
        <v/>
      </c>
      <c r="DP50" s="43" t="str">
        <f t="shared" si="314"/>
        <v/>
      </c>
      <c r="DQ50" s="43" t="str">
        <f t="shared" si="315"/>
        <v/>
      </c>
      <c r="DR50" s="43" t="str">
        <f t="shared" si="316"/>
        <v/>
      </c>
      <c r="DS50" s="43" t="str">
        <f t="shared" si="317"/>
        <v/>
      </c>
      <c r="DT50" s="43" t="str">
        <f t="shared" si="318"/>
        <v/>
      </c>
      <c r="DU50" s="43" t="str">
        <f t="shared" si="319"/>
        <v/>
      </c>
      <c r="DV50" s="43" t="str">
        <f t="shared" si="320"/>
        <v/>
      </c>
      <c r="DW50" s="43" t="str">
        <f t="shared" si="321"/>
        <v/>
      </c>
      <c r="DX50" s="43" t="str">
        <f t="shared" si="322"/>
        <v/>
      </c>
      <c r="DY50" s="43" t="str">
        <f t="shared" si="323"/>
        <v/>
      </c>
      <c r="DZ50" s="43" t="str">
        <f t="shared" si="324"/>
        <v/>
      </c>
      <c r="EA50" s="43" t="str">
        <f t="shared" si="325"/>
        <v/>
      </c>
      <c r="EB50" s="43" t="str">
        <f t="shared" si="326"/>
        <v/>
      </c>
      <c r="EC50" s="43" t="str">
        <f t="shared" si="327"/>
        <v/>
      </c>
      <c r="ED50" s="43" t="str">
        <f t="shared" si="328"/>
        <v/>
      </c>
      <c r="EE50" s="43" t="str">
        <f t="shared" si="329"/>
        <v/>
      </c>
      <c r="EF50" s="43" t="str">
        <f t="shared" si="330"/>
        <v/>
      </c>
      <c r="EG50" s="43" t="str">
        <f t="shared" si="331"/>
        <v/>
      </c>
      <c r="EH50" s="43" t="str">
        <f t="shared" si="332"/>
        <v/>
      </c>
      <c r="EI50" s="43" t="str">
        <f t="shared" si="333"/>
        <v/>
      </c>
      <c r="EJ50" s="43" t="str">
        <f t="shared" si="334"/>
        <v/>
      </c>
      <c r="EK50" s="43" t="str">
        <f t="shared" si="335"/>
        <v/>
      </c>
      <c r="EL50" s="43" t="str">
        <f t="shared" si="336"/>
        <v/>
      </c>
      <c r="EM50" s="43" t="str">
        <f t="shared" si="337"/>
        <v/>
      </c>
      <c r="EN50" s="43" t="str">
        <f t="shared" si="338"/>
        <v/>
      </c>
      <c r="EO50" s="43" t="str">
        <f t="shared" si="339"/>
        <v/>
      </c>
      <c r="EP50" s="43" t="str">
        <f t="shared" si="340"/>
        <v/>
      </c>
      <c r="EQ50" s="43" t="str">
        <f t="shared" si="341"/>
        <v/>
      </c>
      <c r="ER50" s="43" t="str">
        <f t="shared" si="342"/>
        <v/>
      </c>
      <c r="ES50" s="43" t="str">
        <f t="shared" si="343"/>
        <v/>
      </c>
      <c r="ET50" s="43" t="str">
        <f t="shared" si="344"/>
        <v/>
      </c>
      <c r="EU50" s="43" t="str">
        <f t="shared" si="345"/>
        <v/>
      </c>
      <c r="EV50" s="43" t="str">
        <f t="shared" si="346"/>
        <v/>
      </c>
      <c r="EW50" s="43" t="str">
        <f t="shared" si="347"/>
        <v>|n每秒业力+23</v>
      </c>
      <c r="EX50" s="43" t="str">
        <f t="shared" si="348"/>
        <v/>
      </c>
      <c r="EY50" s="43" t="str">
        <f t="shared" si="349"/>
        <v/>
      </c>
      <c r="EZ50" s="43" t="str">
        <f t="shared" si="350"/>
        <v/>
      </c>
      <c r="FA50" s="43" t="str">
        <f t="shared" si="351"/>
        <v/>
      </c>
      <c r="FB50" s="43" t="str">
        <f t="shared" si="352"/>
        <v/>
      </c>
      <c r="FC50" s="43" t="str">
        <f t="shared" si="353"/>
        <v/>
      </c>
      <c r="FD50" s="43" t="str">
        <f t="shared" si="354"/>
        <v/>
      </c>
      <c r="FE50" s="43" t="str">
        <f t="shared" si="355"/>
        <v/>
      </c>
      <c r="FF50" s="43" t="str">
        <f t="shared" si="356"/>
        <v/>
      </c>
      <c r="FG50" s="43" t="str">
        <f t="shared" si="357"/>
        <v/>
      </c>
      <c r="FH50" s="43" t="str">
        <f t="shared" si="358"/>
        <v/>
      </c>
      <c r="FI50" s="43" t="str">
        <f t="shared" si="359"/>
        <v/>
      </c>
      <c r="FJ50" s="43" t="str">
        <f t="shared" si="360"/>
        <v/>
      </c>
      <c r="FK50" s="43" t="str">
        <f t="shared" si="361"/>
        <v/>
      </c>
      <c r="FL50" s="43" t="str">
        <f t="shared" si="362"/>
        <v/>
      </c>
      <c r="FM50" s="43" t="str">
        <f t="shared" si="363"/>
        <v/>
      </c>
      <c r="FN50" s="43" t="str">
        <f t="shared" si="364"/>
        <v/>
      </c>
      <c r="FO50" s="43" t="str">
        <f t="shared" si="365"/>
        <v/>
      </c>
      <c r="FP50" s="43" t="str">
        <f t="shared" si="366"/>
        <v/>
      </c>
      <c r="FQ50" s="43" t="str">
        <f t="shared" si="367"/>
        <v/>
      </c>
      <c r="FR50" s="43" t="str">
        <f t="shared" si="368"/>
        <v/>
      </c>
      <c r="FS50" s="43" t="str">
        <f t="shared" si="369"/>
        <v/>
      </c>
    </row>
    <row r="51" s="6" customFormat="1" ht="15" spans="1:175">
      <c r="A51" s="10"/>
      <c r="B51" s="45" t="s">
        <v>277</v>
      </c>
      <c r="C51" s="3" t="s">
        <v>278</v>
      </c>
      <c r="D51" s="7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3"/>
      <c r="Q51" s="53"/>
      <c r="R51" s="53"/>
      <c r="S51" s="53"/>
      <c r="T51" s="58" t="str">
        <f t="shared" si="292"/>
        <v>|n攻击6%概率范围|cffff4646业力*15|r魔法伤害|n|n|Cff00ff7f击杀500只怪有50%概率升级|r</v>
      </c>
      <c r="U51" s="59" t="s">
        <v>272</v>
      </c>
      <c r="V51" s="60">
        <f t="shared" si="293"/>
        <v>157500</v>
      </c>
      <c r="W51" s="60"/>
      <c r="X51" s="60"/>
      <c r="Y51" s="60"/>
      <c r="Z51" s="60">
        <v>787500</v>
      </c>
      <c r="AA51" s="60"/>
      <c r="AB51" s="60">
        <f t="shared" si="294"/>
        <v>15750</v>
      </c>
      <c r="AC51" s="60"/>
      <c r="AD51" s="60">
        <v>125</v>
      </c>
      <c r="AE51" s="60">
        <v>15</v>
      </c>
      <c r="AF51" s="60"/>
      <c r="AG51" s="64"/>
      <c r="AH51" s="60"/>
      <c r="AI51" s="60"/>
      <c r="AJ51" s="60"/>
      <c r="AK51" s="60"/>
      <c r="AL51" s="64"/>
      <c r="AM51" s="60"/>
      <c r="AN51" s="60"/>
      <c r="AO51" s="60"/>
      <c r="AP51" s="60"/>
      <c r="AQ51" s="60"/>
      <c r="AR51" s="66"/>
      <c r="AS51" s="66"/>
      <c r="AT51" s="60"/>
      <c r="AU51" s="60"/>
      <c r="AV51" s="60"/>
      <c r="AW51" s="60"/>
      <c r="AX51" s="60"/>
      <c r="AY51" s="60"/>
      <c r="AZ51" s="60"/>
      <c r="BA51" s="60"/>
      <c r="BB51" s="60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60"/>
      <c r="CF51" s="60"/>
      <c r="CG51" s="60"/>
      <c r="CH51" s="60"/>
      <c r="CI51" s="60"/>
      <c r="CJ51" s="60"/>
      <c r="CK51" s="60"/>
      <c r="CL51" s="60"/>
      <c r="CM51" s="60"/>
      <c r="CN51" s="69" t="str">
        <f t="shared" si="295"/>
        <v>InitUnitState('E124',157500,,,,787500,,15750,,125,15)</v>
      </c>
      <c r="CO51" s="69" t="str">
        <f t="shared" si="296"/>
        <v>InitUnitNormal('E124',,,,,,,,,,)</v>
      </c>
      <c r="CP51" s="69" t="str">
        <f t="shared" si="297"/>
        <v>InitUnitMagic('E124',,,,,,,,,,)</v>
      </c>
      <c r="CQ51" s="69" t="str">
        <f t="shared" si="298"/>
        <v>InitUnitAdd('E124',,,,,,,24,,,)</v>
      </c>
      <c r="CR51" s="69" t="str">
        <f t="shared" si="299"/>
        <v>InitEquipData('E124',500,"",,E125,,50,'','','','','','',"ReplaceableTextures\\CommandButtons\\BTNZ10.blp")</v>
      </c>
      <c r="CS51" s="69"/>
      <c r="CT51" s="69"/>
      <c r="CU51" s="71" t="str">
        <f t="shared" si="78"/>
        <v>|n攻击+157500|n生命值+787500|n生命回复+15750|n攻速+125%|n闪避+15%|n每秒业力+24|n</v>
      </c>
      <c r="CV51" s="5" t="str">
        <f>"|Cffbbbbbb属性：|r"&amp;CU51&amp;VLOOKUP(A51,合成公式!A:P,16,FALSE)&amp;T51</f>
        <v>|Cffbbbbbb属性：|r|n攻击+157500|n生命值+787500|n生命回复+15750|n攻速+125%|n闪避+15%|n每秒业力+24|n|n攻击6%概率范围|cffff4646业力*15|r魔法伤害|n|n|Cff00ff7f击杀500只怪有50%概率升级|r</v>
      </c>
      <c r="DB51" s="43" t="str">
        <f t="shared" si="300"/>
        <v>|n攻击+157500</v>
      </c>
      <c r="DC51" s="43" t="str">
        <f t="shared" si="301"/>
        <v/>
      </c>
      <c r="DD51" s="43" t="str">
        <f t="shared" si="302"/>
        <v/>
      </c>
      <c r="DE51" s="43" t="str">
        <f t="shared" si="303"/>
        <v/>
      </c>
      <c r="DF51" s="43" t="str">
        <f t="shared" si="304"/>
        <v>|n生命值+787500</v>
      </c>
      <c r="DG51" s="43" t="str">
        <f t="shared" si="305"/>
        <v/>
      </c>
      <c r="DH51" s="43" t="str">
        <f t="shared" si="306"/>
        <v>|n生命回复+15750</v>
      </c>
      <c r="DI51" s="43" t="str">
        <f t="shared" si="307"/>
        <v/>
      </c>
      <c r="DJ51" s="43" t="str">
        <f t="shared" si="308"/>
        <v>|n攻速+125%</v>
      </c>
      <c r="DK51" s="43" t="str">
        <f t="shared" si="309"/>
        <v>|n闪避+15%</v>
      </c>
      <c r="DL51" s="43" t="str">
        <f t="shared" si="310"/>
        <v/>
      </c>
      <c r="DM51" s="43" t="str">
        <f t="shared" si="311"/>
        <v/>
      </c>
      <c r="DN51" s="43" t="str">
        <f t="shared" si="312"/>
        <v/>
      </c>
      <c r="DO51" s="43" t="str">
        <f t="shared" si="313"/>
        <v/>
      </c>
      <c r="DP51" s="43" t="str">
        <f t="shared" si="314"/>
        <v/>
      </c>
      <c r="DQ51" s="43" t="str">
        <f t="shared" si="315"/>
        <v/>
      </c>
      <c r="DR51" s="43" t="str">
        <f t="shared" si="316"/>
        <v/>
      </c>
      <c r="DS51" s="43" t="str">
        <f t="shared" si="317"/>
        <v/>
      </c>
      <c r="DT51" s="43" t="str">
        <f t="shared" si="318"/>
        <v/>
      </c>
      <c r="DU51" s="43" t="str">
        <f t="shared" si="319"/>
        <v/>
      </c>
      <c r="DV51" s="43" t="str">
        <f t="shared" si="320"/>
        <v/>
      </c>
      <c r="DW51" s="43" t="str">
        <f t="shared" si="321"/>
        <v/>
      </c>
      <c r="DX51" s="43" t="str">
        <f t="shared" si="322"/>
        <v/>
      </c>
      <c r="DY51" s="43" t="str">
        <f t="shared" si="323"/>
        <v/>
      </c>
      <c r="DZ51" s="43" t="str">
        <f t="shared" si="324"/>
        <v/>
      </c>
      <c r="EA51" s="43" t="str">
        <f t="shared" si="325"/>
        <v/>
      </c>
      <c r="EB51" s="43" t="str">
        <f t="shared" si="326"/>
        <v/>
      </c>
      <c r="EC51" s="43" t="str">
        <f t="shared" si="327"/>
        <v/>
      </c>
      <c r="ED51" s="43" t="str">
        <f t="shared" si="328"/>
        <v/>
      </c>
      <c r="EE51" s="43" t="str">
        <f t="shared" si="329"/>
        <v/>
      </c>
      <c r="EF51" s="43" t="str">
        <f t="shared" si="330"/>
        <v/>
      </c>
      <c r="EG51" s="43" t="str">
        <f t="shared" si="331"/>
        <v/>
      </c>
      <c r="EH51" s="43" t="str">
        <f t="shared" si="332"/>
        <v/>
      </c>
      <c r="EI51" s="43" t="str">
        <f t="shared" si="333"/>
        <v/>
      </c>
      <c r="EJ51" s="43" t="str">
        <f t="shared" si="334"/>
        <v/>
      </c>
      <c r="EK51" s="43" t="str">
        <f t="shared" si="335"/>
        <v/>
      </c>
      <c r="EL51" s="43" t="str">
        <f t="shared" si="336"/>
        <v/>
      </c>
      <c r="EM51" s="43" t="str">
        <f t="shared" si="337"/>
        <v/>
      </c>
      <c r="EN51" s="43" t="str">
        <f t="shared" si="338"/>
        <v/>
      </c>
      <c r="EO51" s="43" t="str">
        <f t="shared" si="339"/>
        <v/>
      </c>
      <c r="EP51" s="43" t="str">
        <f t="shared" si="340"/>
        <v/>
      </c>
      <c r="EQ51" s="43" t="str">
        <f t="shared" si="341"/>
        <v/>
      </c>
      <c r="ER51" s="43" t="str">
        <f t="shared" si="342"/>
        <v/>
      </c>
      <c r="ES51" s="43" t="str">
        <f t="shared" si="343"/>
        <v/>
      </c>
      <c r="ET51" s="43" t="str">
        <f t="shared" si="344"/>
        <v/>
      </c>
      <c r="EU51" s="43" t="str">
        <f t="shared" si="345"/>
        <v/>
      </c>
      <c r="EV51" s="43" t="str">
        <f t="shared" si="346"/>
        <v/>
      </c>
      <c r="EW51" s="43" t="str">
        <f t="shared" si="347"/>
        <v>|n每秒业力+24</v>
      </c>
      <c r="EX51" s="43" t="str">
        <f t="shared" si="348"/>
        <v/>
      </c>
      <c r="EY51" s="43" t="str">
        <f t="shared" si="349"/>
        <v/>
      </c>
      <c r="EZ51" s="43" t="str">
        <f t="shared" si="350"/>
        <v/>
      </c>
      <c r="FA51" s="43" t="str">
        <f t="shared" si="351"/>
        <v/>
      </c>
      <c r="FB51" s="43" t="str">
        <f t="shared" si="352"/>
        <v/>
      </c>
      <c r="FC51" s="43" t="str">
        <f t="shared" si="353"/>
        <v/>
      </c>
      <c r="FD51" s="43" t="str">
        <f t="shared" si="354"/>
        <v/>
      </c>
      <c r="FE51" s="43" t="str">
        <f t="shared" si="355"/>
        <v/>
      </c>
      <c r="FF51" s="43" t="str">
        <f t="shared" si="356"/>
        <v/>
      </c>
      <c r="FG51" s="43" t="str">
        <f t="shared" si="357"/>
        <v/>
      </c>
      <c r="FH51" s="43" t="str">
        <f t="shared" si="358"/>
        <v/>
      </c>
      <c r="FI51" s="43" t="str">
        <f t="shared" si="359"/>
        <v/>
      </c>
      <c r="FJ51" s="43" t="str">
        <f t="shared" si="360"/>
        <v/>
      </c>
      <c r="FK51" s="43" t="str">
        <f t="shared" si="361"/>
        <v/>
      </c>
      <c r="FL51" s="43" t="str">
        <f t="shared" si="362"/>
        <v/>
      </c>
      <c r="FM51" s="43" t="str">
        <f t="shared" si="363"/>
        <v/>
      </c>
      <c r="FN51" s="43" t="str">
        <f t="shared" si="364"/>
        <v/>
      </c>
      <c r="FO51" s="43" t="str">
        <f t="shared" si="365"/>
        <v/>
      </c>
      <c r="FP51" s="43" t="str">
        <f t="shared" si="366"/>
        <v/>
      </c>
      <c r="FQ51" s="43" t="str">
        <f t="shared" si="367"/>
        <v/>
      </c>
      <c r="FR51" s="43" t="str">
        <f t="shared" si="368"/>
        <v/>
      </c>
      <c r="FS51" s="43" t="str">
        <f t="shared" si="369"/>
        <v/>
      </c>
    </row>
    <row r="52" s="6" customFormat="1" ht="15" spans="1:175">
      <c r="A52" s="10"/>
      <c r="B52" s="45" t="s">
        <v>279</v>
      </c>
      <c r="C52" s="3" t="s">
        <v>280</v>
      </c>
      <c r="D52" s="7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3"/>
      <c r="Q52" s="53"/>
      <c r="R52" s="53"/>
      <c r="S52" s="53"/>
      <c r="T52" s="58" t="str">
        <f t="shared" si="292"/>
        <v>|n攻击6%概率范围|cffff4646业力*15|r魔法伤害|n|n|Cff00ff7f击杀只怪有50%概率升级|r</v>
      </c>
      <c r="U52" s="59" t="s">
        <v>272</v>
      </c>
      <c r="V52" s="60">
        <f t="shared" si="293"/>
        <v>187500</v>
      </c>
      <c r="W52" s="60"/>
      <c r="X52"/>
      <c r="Y52" s="60"/>
      <c r="Z52" s="60">
        <v>937500</v>
      </c>
      <c r="AA52" s="60"/>
      <c r="AB52" s="60">
        <f t="shared" si="294"/>
        <v>18750</v>
      </c>
      <c r="AC52" s="60"/>
      <c r="AD52" s="60">
        <v>130</v>
      </c>
      <c r="AE52" s="60">
        <v>15</v>
      </c>
      <c r="AF52" s="60"/>
      <c r="AG52" s="64"/>
      <c r="AH52" s="60"/>
      <c r="AI52" s="60"/>
      <c r="AJ52" s="60"/>
      <c r="AK52" s="60"/>
      <c r="AL52" s="64"/>
      <c r="AM52" s="60"/>
      <c r="AN52" s="60"/>
      <c r="AO52" s="60"/>
      <c r="AP52" s="60"/>
      <c r="AQ52" s="60"/>
      <c r="AR52" s="66"/>
      <c r="AS52" s="66"/>
      <c r="AT52" s="60"/>
      <c r="AU52" s="60"/>
      <c r="AV52" s="60"/>
      <c r="AW52" s="60"/>
      <c r="AX52" s="60"/>
      <c r="AY52" s="60"/>
      <c r="AZ52" s="60"/>
      <c r="BA52" s="60"/>
      <c r="BB52" s="60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60"/>
      <c r="CF52" s="60"/>
      <c r="CG52" s="60"/>
      <c r="CH52" s="60"/>
      <c r="CI52" s="60"/>
      <c r="CJ52" s="60"/>
      <c r="CK52" s="60"/>
      <c r="CL52" s="60"/>
      <c r="CM52" s="60"/>
      <c r="CN52" s="69" t="str">
        <f t="shared" si="295"/>
        <v>InitUnitState('E125',187500,,,,937500,,18750,,130,15)</v>
      </c>
      <c r="CO52" s="69" t="str">
        <f t="shared" si="296"/>
        <v>InitUnitNormal('E125',,,,,,,,,,)</v>
      </c>
      <c r="CP52" s="69" t="str">
        <f t="shared" si="297"/>
        <v>InitUnitMagic('E125',,,,,,,,,,)</v>
      </c>
      <c r="CQ52" s="69" t="str">
        <f t="shared" si="298"/>
        <v>InitUnitAdd('E125',,,,,,,25,,,)</v>
      </c>
      <c r="CR52" s="69" t="str">
        <f t="shared" si="299"/>
        <v>InitEquipData('E125',,"",,,,,'','','','','','',"ReplaceableTextures\\CommandButtons\\BTNZ11.blp")</v>
      </c>
      <c r="CS52" s="69"/>
      <c r="CT52" s="69"/>
      <c r="CU52" s="71" t="str">
        <f t="shared" si="78"/>
        <v>|n攻击+187500|n生命值+937500|n生命回复+18750|n攻速+130%|n闪避+15%|n每秒业力+25|n</v>
      </c>
      <c r="CV52" s="5" t="str">
        <f>"|Cffbbbbbb属性：|r"&amp;CU52&amp;VLOOKUP(A52,合成公式!A:P,16,FALSE)&amp;T52</f>
        <v>|Cffbbbbbb属性：|r|n攻击+187500|n生命值+937500|n生命回复+18750|n攻速+130%|n闪避+15%|n每秒业力+25|n|n攻击6%概率范围|cffff4646业力*15|r魔法伤害|n|n|Cff00ff7f击杀只怪有50%概率升级|r</v>
      </c>
      <c r="DB52" s="43" t="str">
        <f t="shared" si="300"/>
        <v>|n攻击+187500</v>
      </c>
      <c r="DC52" s="43" t="str">
        <f t="shared" si="301"/>
        <v/>
      </c>
      <c r="DD52" s="43" t="str">
        <f t="shared" si="302"/>
        <v/>
      </c>
      <c r="DE52" s="43" t="str">
        <f t="shared" si="303"/>
        <v/>
      </c>
      <c r="DF52" s="43" t="str">
        <f t="shared" si="304"/>
        <v>|n生命值+937500</v>
      </c>
      <c r="DG52" s="43" t="str">
        <f t="shared" si="305"/>
        <v/>
      </c>
      <c r="DH52" s="43" t="str">
        <f t="shared" si="306"/>
        <v>|n生命回复+18750</v>
      </c>
      <c r="DI52" s="43" t="str">
        <f t="shared" si="307"/>
        <v/>
      </c>
      <c r="DJ52" s="43" t="str">
        <f t="shared" si="308"/>
        <v>|n攻速+130%</v>
      </c>
      <c r="DK52" s="43" t="str">
        <f t="shared" si="309"/>
        <v>|n闪避+15%</v>
      </c>
      <c r="DL52" s="43" t="str">
        <f t="shared" si="310"/>
        <v/>
      </c>
      <c r="DM52" s="43" t="str">
        <f t="shared" si="311"/>
        <v/>
      </c>
      <c r="DN52" s="43" t="str">
        <f t="shared" si="312"/>
        <v/>
      </c>
      <c r="DO52" s="43" t="str">
        <f t="shared" si="313"/>
        <v/>
      </c>
      <c r="DP52" s="43" t="str">
        <f t="shared" si="314"/>
        <v/>
      </c>
      <c r="DQ52" s="43" t="str">
        <f t="shared" si="315"/>
        <v/>
      </c>
      <c r="DR52" s="43" t="str">
        <f t="shared" si="316"/>
        <v/>
      </c>
      <c r="DS52" s="43" t="str">
        <f t="shared" si="317"/>
        <v/>
      </c>
      <c r="DT52" s="43" t="str">
        <f t="shared" si="318"/>
        <v/>
      </c>
      <c r="DU52" s="43" t="str">
        <f t="shared" si="319"/>
        <v/>
      </c>
      <c r="DV52" s="43" t="str">
        <f t="shared" si="320"/>
        <v/>
      </c>
      <c r="DW52" s="43" t="str">
        <f t="shared" si="321"/>
        <v/>
      </c>
      <c r="DX52" s="43" t="str">
        <f t="shared" si="322"/>
        <v/>
      </c>
      <c r="DY52" s="43" t="str">
        <f t="shared" si="323"/>
        <v/>
      </c>
      <c r="DZ52" s="43" t="str">
        <f t="shared" si="324"/>
        <v/>
      </c>
      <c r="EA52" s="43" t="str">
        <f t="shared" si="325"/>
        <v/>
      </c>
      <c r="EB52" s="43" t="str">
        <f t="shared" si="326"/>
        <v/>
      </c>
      <c r="EC52" s="43" t="str">
        <f t="shared" si="327"/>
        <v/>
      </c>
      <c r="ED52" s="43" t="str">
        <f t="shared" si="328"/>
        <v/>
      </c>
      <c r="EE52" s="43" t="str">
        <f t="shared" si="329"/>
        <v/>
      </c>
      <c r="EF52" s="43" t="str">
        <f t="shared" si="330"/>
        <v/>
      </c>
      <c r="EG52" s="43" t="str">
        <f t="shared" si="331"/>
        <v/>
      </c>
      <c r="EH52" s="43" t="str">
        <f t="shared" si="332"/>
        <v/>
      </c>
      <c r="EI52" s="43" t="str">
        <f t="shared" si="333"/>
        <v/>
      </c>
      <c r="EJ52" s="43" t="str">
        <f t="shared" si="334"/>
        <v/>
      </c>
      <c r="EK52" s="43" t="str">
        <f t="shared" si="335"/>
        <v/>
      </c>
      <c r="EL52" s="43" t="str">
        <f t="shared" si="336"/>
        <v/>
      </c>
      <c r="EM52" s="43" t="str">
        <f t="shared" si="337"/>
        <v/>
      </c>
      <c r="EN52" s="43" t="str">
        <f t="shared" si="338"/>
        <v/>
      </c>
      <c r="EO52" s="43" t="str">
        <f t="shared" si="339"/>
        <v/>
      </c>
      <c r="EP52" s="43" t="str">
        <f t="shared" si="340"/>
        <v/>
      </c>
      <c r="EQ52" s="43" t="str">
        <f t="shared" si="341"/>
        <v/>
      </c>
      <c r="ER52" s="43" t="str">
        <f t="shared" si="342"/>
        <v/>
      </c>
      <c r="ES52" s="43" t="str">
        <f t="shared" si="343"/>
        <v/>
      </c>
      <c r="ET52" s="43" t="str">
        <f t="shared" si="344"/>
        <v/>
      </c>
      <c r="EU52" s="43" t="str">
        <f t="shared" si="345"/>
        <v/>
      </c>
      <c r="EV52" s="43" t="str">
        <f t="shared" si="346"/>
        <v/>
      </c>
      <c r="EW52" s="43" t="str">
        <f t="shared" si="347"/>
        <v>|n每秒业力+25</v>
      </c>
      <c r="EX52" s="43" t="str">
        <f t="shared" si="348"/>
        <v/>
      </c>
      <c r="EY52" s="43" t="str">
        <f t="shared" si="349"/>
        <v/>
      </c>
      <c r="EZ52" s="43" t="str">
        <f t="shared" si="350"/>
        <v/>
      </c>
      <c r="FA52" s="43" t="str">
        <f t="shared" si="351"/>
        <v/>
      </c>
      <c r="FB52" s="43" t="str">
        <f t="shared" si="352"/>
        <v/>
      </c>
      <c r="FC52" s="43" t="str">
        <f t="shared" si="353"/>
        <v/>
      </c>
      <c r="FD52" s="43" t="str">
        <f t="shared" si="354"/>
        <v/>
      </c>
      <c r="FE52" s="43" t="str">
        <f t="shared" si="355"/>
        <v/>
      </c>
      <c r="FF52" s="43" t="str">
        <f t="shared" si="356"/>
        <v/>
      </c>
      <c r="FG52" s="43" t="str">
        <f t="shared" si="357"/>
        <v/>
      </c>
      <c r="FH52" s="43" t="str">
        <f t="shared" si="358"/>
        <v/>
      </c>
      <c r="FI52" s="43" t="str">
        <f t="shared" si="359"/>
        <v/>
      </c>
      <c r="FJ52" s="43" t="str">
        <f t="shared" si="360"/>
        <v/>
      </c>
      <c r="FK52" s="43" t="str">
        <f t="shared" si="361"/>
        <v/>
      </c>
      <c r="FL52" s="43" t="str">
        <f t="shared" si="362"/>
        <v/>
      </c>
      <c r="FM52" s="43" t="str">
        <f t="shared" si="363"/>
        <v/>
      </c>
      <c r="FN52" s="43" t="str">
        <f t="shared" si="364"/>
        <v/>
      </c>
      <c r="FO52" s="43" t="str">
        <f t="shared" si="365"/>
        <v/>
      </c>
      <c r="FP52" s="43" t="str">
        <f t="shared" si="366"/>
        <v/>
      </c>
      <c r="FQ52" s="43" t="str">
        <f t="shared" si="367"/>
        <v/>
      </c>
      <c r="FR52" s="43" t="str">
        <f t="shared" si="368"/>
        <v/>
      </c>
      <c r="FS52" s="43" t="str">
        <f t="shared" si="369"/>
        <v/>
      </c>
    </row>
    <row r="53" s="6" customFormat="1" ht="15" spans="1:175">
      <c r="A53" s="10"/>
      <c r="B53" s="45" t="s">
        <v>281</v>
      </c>
      <c r="C53" s="10" t="s">
        <v>282</v>
      </c>
      <c r="D53" s="46"/>
      <c r="E53" s="47"/>
      <c r="F53" s="48">
        <v>500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3"/>
      <c r="Q53" s="53"/>
      <c r="R53" s="53"/>
      <c r="S53" s="53"/>
      <c r="T53" s="58"/>
      <c r="U53" s="59" t="s">
        <v>283</v>
      </c>
      <c r="V53" s="60"/>
      <c r="W53" s="60"/>
      <c r="X53" s="60">
        <v>30</v>
      </c>
      <c r="Y53" s="60"/>
      <c r="Z53" s="60">
        <v>750</v>
      </c>
      <c r="AA53" s="60"/>
      <c r="AB53" s="60">
        <f t="shared" si="294"/>
        <v>15</v>
      </c>
      <c r="AC53" s="60"/>
      <c r="AD53" s="60"/>
      <c r="AE53" s="60"/>
      <c r="AF53" s="60"/>
      <c r="AG53" s="64"/>
      <c r="AH53" s="60"/>
      <c r="AI53" s="60"/>
      <c r="AJ53" s="60"/>
      <c r="AK53" s="60"/>
      <c r="AL53" s="64"/>
      <c r="AM53" s="60"/>
      <c r="AN53" s="60"/>
      <c r="AO53" s="60"/>
      <c r="AP53" s="60"/>
      <c r="AQ53" s="60"/>
      <c r="AR53" s="66"/>
      <c r="AS53" s="66"/>
      <c r="AT53" s="60"/>
      <c r="AU53" s="60"/>
      <c r="AV53" s="60"/>
      <c r="AW53" s="60"/>
      <c r="AX53" s="60"/>
      <c r="AY53" s="60"/>
      <c r="AZ53" s="60"/>
      <c r="BA53" s="60"/>
      <c r="BB53" s="60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60"/>
      <c r="CF53" s="60"/>
      <c r="CG53" s="60"/>
      <c r="CH53" s="60"/>
      <c r="CI53" s="60"/>
      <c r="CJ53" s="60"/>
      <c r="CK53" s="60"/>
      <c r="CL53" s="60"/>
      <c r="CM53" s="60"/>
      <c r="CN53" s="69" t="str">
        <f t="shared" si="295"/>
        <v>InitUnitState('E201',,,30,,750,,15,,,)</v>
      </c>
      <c r="CO53" s="69" t="str">
        <f t="shared" si="296"/>
        <v>InitUnitNormal('E201',,,,,,,,,,)</v>
      </c>
      <c r="CP53" s="69" t="str">
        <f t="shared" si="297"/>
        <v>InitUnitMagic('E201',,,,,,,,,,)</v>
      </c>
      <c r="CQ53" s="69" t="str">
        <f t="shared" si="298"/>
        <v>InitUnitAdd('E201',,,,,,,,,,)</v>
      </c>
      <c r="CR53" s="69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InitEquipData('E201',,"",,E202,500,100,'','','','','','',"ReplaceableTextures\\CommandButtons\\BTNZ13.blp")</v>
      </c>
      <c r="CS53" s="69"/>
      <c r="CT53" s="69"/>
      <c r="CU53" s="71" t="str">
        <f t="shared" si="78"/>
        <v>|n护甲+30|n生命值+750|n生命回复+15|n</v>
      </c>
      <c r="CV53" s="5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|Cffbbbbbb属性：|r|n护甲+30|n生命值+750|n生命回复+15|n|n|Cff00ff7f点击消耗500金币进行强化|n成功率100%</v>
      </c>
      <c r="DB53" s="43" t="str">
        <f t="shared" ref="DB53:DB54" si="371">IF(V53="","","|n"&amp;DB$2&amp;"+"&amp;V53&amp;DB$1)</f>
        <v/>
      </c>
      <c r="DC53" s="43" t="str">
        <f t="shared" ref="DC53:DC54" si="372">IF(W53="","","|n"&amp;DC$2&amp;"+"&amp;W53&amp;DC$1)</f>
        <v/>
      </c>
      <c r="DD53" s="43" t="str">
        <f t="shared" ref="DD53:DD54" si="373">IF(X53="","","|n"&amp;DD$2&amp;"+"&amp;X53&amp;DD$1)</f>
        <v>|n护甲+30</v>
      </c>
      <c r="DE53" s="43" t="str">
        <f t="shared" ref="DE53:DE54" si="374">IF(Y53="","","|n"&amp;DE$2&amp;"+"&amp;Y53&amp;DE$1)</f>
        <v/>
      </c>
      <c r="DF53" s="43" t="str">
        <f t="shared" ref="DF53:DF54" si="375">IF(Z53="","","|n"&amp;DF$2&amp;"+"&amp;Z53&amp;DF$1)</f>
        <v>|n生命值+750</v>
      </c>
      <c r="DG53" s="43" t="str">
        <f t="shared" ref="DG53:DG54" si="376">IF(AA53="","","|n"&amp;DG$2&amp;"+"&amp;AA53&amp;DG$1)</f>
        <v/>
      </c>
      <c r="DH53" s="43" t="str">
        <f t="shared" ref="DH53:DH54" si="377">IF(AB53="","","|n"&amp;DH$2&amp;"+"&amp;AB53&amp;DH$1)</f>
        <v>|n生命回复+15</v>
      </c>
      <c r="DI53" s="43" t="str">
        <f t="shared" ref="DI53:DI54" si="378">IF(AC53="","","|n"&amp;DI$2&amp;"+"&amp;AC53&amp;DI$1)</f>
        <v/>
      </c>
      <c r="DJ53" s="43" t="str">
        <f t="shared" ref="DJ53:DJ54" si="379">IF(AD53="","","|n"&amp;DJ$2&amp;"+"&amp;AD53&amp;DJ$1)</f>
        <v/>
      </c>
      <c r="DK53" s="43" t="str">
        <f t="shared" ref="DK53:DK54" si="380">IF(AE53="","","|n"&amp;DK$2&amp;"+"&amp;AE53&amp;DK$1)</f>
        <v/>
      </c>
      <c r="DL53" s="43" t="str">
        <f t="shared" ref="DL53:DL54" si="381">IF(AF53="","","|n"&amp;DL$2&amp;"+"&amp;AF53&amp;DL$1)</f>
        <v/>
      </c>
      <c r="DM53" s="43" t="str">
        <f t="shared" ref="DM53:DM54" si="382">IF(AG53="","","|n"&amp;DM$2&amp;"+"&amp;AG53&amp;DM$1)</f>
        <v/>
      </c>
      <c r="DN53" s="43" t="str">
        <f t="shared" ref="DN53:DN54" si="383">IF(AH53="","","|n"&amp;DN$2&amp;"+"&amp;AH53&amp;DN$1)</f>
        <v/>
      </c>
      <c r="DO53" s="43" t="str">
        <f t="shared" ref="DO53:DO54" si="384">IF(AI53="","","|n"&amp;DO$2&amp;"+"&amp;AI53&amp;DO$1)</f>
        <v/>
      </c>
      <c r="DP53" s="43" t="str">
        <f t="shared" ref="DP53:DP54" si="385">IF(AJ53="","","|n"&amp;DP$2&amp;"+"&amp;AJ53&amp;DP$1)</f>
        <v/>
      </c>
      <c r="DQ53" s="43" t="str">
        <f t="shared" ref="DQ53:DQ54" si="386">IF(AK53="","","|n"&amp;DQ$2&amp;"+"&amp;AK53&amp;DQ$1)</f>
        <v/>
      </c>
      <c r="DR53" s="43" t="str">
        <f t="shared" ref="DR53:DR54" si="387">IF(AL53="","","|n"&amp;DR$2&amp;"+"&amp;AL53&amp;DR$1)</f>
        <v/>
      </c>
      <c r="DS53" s="43" t="str">
        <f t="shared" ref="DS53:DS54" si="388">IF(AM53="","","|n"&amp;DS$2&amp;"+"&amp;AM53&amp;DS$1)</f>
        <v/>
      </c>
      <c r="DT53" s="43" t="str">
        <f t="shared" ref="DT53:DT54" si="389">IF(AN53="","","|n"&amp;DT$2&amp;"+"&amp;AN53&amp;DT$1)</f>
        <v/>
      </c>
      <c r="DU53" s="43" t="str">
        <f t="shared" ref="DU53:DU54" si="390">IF(AO53="","","|n"&amp;DU$2&amp;"+"&amp;AO53&amp;DU$1)</f>
        <v/>
      </c>
      <c r="DV53" s="43" t="str">
        <f t="shared" ref="DV53:DV54" si="391">IF(AP53="","","|n"&amp;DV$2&amp;"+"&amp;AP53&amp;DV$1)</f>
        <v/>
      </c>
      <c r="DW53" s="43" t="str">
        <f t="shared" ref="DW53:DW54" si="392">IF(AQ53="","","|n"&amp;DW$2&amp;"+"&amp;AQ53&amp;DW$1)</f>
        <v/>
      </c>
      <c r="DX53" s="43" t="str">
        <f t="shared" ref="DX53:DX54" si="393">IF(AR53="","","|n"&amp;DX$2&amp;"+"&amp;AR53&amp;DX$1)</f>
        <v/>
      </c>
      <c r="DY53" s="43" t="str">
        <f t="shared" ref="DY53:DY54" si="394">IF(AS53="","","|n"&amp;DY$2&amp;"+"&amp;AS53&amp;DY$1)</f>
        <v/>
      </c>
      <c r="DZ53" s="43" t="str">
        <f t="shared" ref="DZ53:DZ54" si="395">IF(AT53="","","|n"&amp;DZ$2&amp;"+"&amp;AT53&amp;DZ$1)</f>
        <v/>
      </c>
      <c r="EA53" s="43" t="str">
        <f t="shared" ref="EA53:EA54" si="396">IF(AU53="","","|n"&amp;EA$2&amp;"+"&amp;AU53&amp;EA$1)</f>
        <v/>
      </c>
      <c r="EB53" s="43" t="str">
        <f t="shared" ref="EB53:EB54" si="397">IF(AV53="","","|n"&amp;EB$2&amp;"+"&amp;AV53&amp;EB$1)</f>
        <v/>
      </c>
      <c r="EC53" s="43" t="str">
        <f t="shared" ref="EC53:EC54" si="398">IF(AW53="","","|n"&amp;EC$2&amp;"+"&amp;AW53&amp;EC$1)</f>
        <v/>
      </c>
      <c r="ED53" s="43" t="str">
        <f t="shared" ref="ED53:ED54" si="399">IF(AX53="","","|n"&amp;ED$2&amp;"+"&amp;AX53&amp;ED$1)</f>
        <v/>
      </c>
      <c r="EE53" s="43" t="str">
        <f t="shared" ref="EE53:EE54" si="400">IF(AY53="","","|n"&amp;EE$2&amp;"+"&amp;AY53&amp;EE$1)</f>
        <v/>
      </c>
      <c r="EF53" s="43" t="str">
        <f t="shared" ref="EF53:EF54" si="401">IF(AZ53="","","|n"&amp;EF$2&amp;"+"&amp;AZ53&amp;EF$1)</f>
        <v/>
      </c>
      <c r="EG53" s="43" t="str">
        <f t="shared" ref="EG53:EG54" si="402">IF(BA53="","","|n"&amp;EG$2&amp;"+"&amp;BA53&amp;EG$1)</f>
        <v/>
      </c>
      <c r="EH53" s="43" t="str">
        <f t="shared" ref="EH53:EH54" si="403">IF(BB53="","","|n"&amp;EH$2&amp;"+"&amp;BB53&amp;EH$1)</f>
        <v/>
      </c>
      <c r="EI53" s="43" t="str">
        <f t="shared" ref="EI53:EI54" si="404">IF(BC53="","","|n"&amp;EI$2&amp;"+"&amp;BC53&amp;EI$1)</f>
        <v/>
      </c>
      <c r="EJ53" s="43" t="str">
        <f t="shared" ref="EJ53:EJ54" si="405">IF(BD53="","","|n"&amp;EJ$2&amp;"+"&amp;BD53&amp;EJ$1)</f>
        <v/>
      </c>
      <c r="EK53" s="43" t="str">
        <f t="shared" ref="EK53:EK54" si="406">IF(BE53="","","|n"&amp;EK$2&amp;"+"&amp;BE53&amp;EK$1)</f>
        <v/>
      </c>
      <c r="EL53" s="43" t="str">
        <f t="shared" ref="EL53:EL54" si="407">IF(BF53="","","|n"&amp;EL$2&amp;"+"&amp;BF53&amp;EL$1)</f>
        <v/>
      </c>
      <c r="EM53" s="43" t="str">
        <f t="shared" ref="EM53:EM54" si="408">IF(BG53="","","|n"&amp;EM$2&amp;"+"&amp;BG53&amp;EM$1)</f>
        <v/>
      </c>
      <c r="EN53" s="43" t="str">
        <f t="shared" ref="EN53:EN54" si="409">IF(BH53="","","|n"&amp;EN$2&amp;"+"&amp;BH53&amp;EN$1)</f>
        <v/>
      </c>
      <c r="EO53" s="43" t="str">
        <f t="shared" ref="EO53:EO54" si="410">IF(BI53="","","|n"&amp;EO$2&amp;"+"&amp;BI53&amp;EO$1)</f>
        <v/>
      </c>
      <c r="EP53" s="43" t="str">
        <f t="shared" ref="EP53:EP54" si="411">IF(BJ53="","","|n"&amp;EP$2&amp;"+"&amp;BJ53&amp;EP$1)</f>
        <v/>
      </c>
      <c r="EQ53" s="43" t="str">
        <f t="shared" ref="EQ53:EQ54" si="412">IF(BK53="","","|n"&amp;EQ$2&amp;"+"&amp;BK53&amp;EQ$1)</f>
        <v/>
      </c>
      <c r="ER53" s="43" t="str">
        <f t="shared" ref="ER53:ER54" si="413">IF(BL53="","","|n"&amp;ER$2&amp;"+"&amp;BL53&amp;ER$1)</f>
        <v/>
      </c>
      <c r="ES53" s="43" t="str">
        <f t="shared" ref="ES53:ES54" si="414">IF(BM53="","","|n"&amp;ES$2&amp;"+"&amp;BM53&amp;ES$1)</f>
        <v/>
      </c>
      <c r="ET53" s="43" t="str">
        <f t="shared" ref="ET53:ET54" si="415">IF(BN53="","","|n"&amp;ET$2&amp;"+"&amp;BN53&amp;ET$1)</f>
        <v/>
      </c>
      <c r="EU53" s="43" t="str">
        <f t="shared" ref="EU53:EU54" si="416">IF(BO53="","","|n"&amp;EU$2&amp;"+"&amp;BO53&amp;EU$1)</f>
        <v/>
      </c>
      <c r="EV53" s="43" t="str">
        <f t="shared" ref="EV53:EV54" si="417">IF(BP53="","","|n"&amp;EV$2&amp;"+"&amp;BP53&amp;EV$1)</f>
        <v/>
      </c>
      <c r="EW53" s="43" t="str">
        <f t="shared" ref="EW53:EW54" si="418">IF(BQ53="","","|n"&amp;EW$2&amp;"+"&amp;BQ53&amp;EW$1)</f>
        <v/>
      </c>
      <c r="EX53" s="43" t="str">
        <f t="shared" ref="EX53:EX54" si="419">IF(BR53="","","|n"&amp;EX$2&amp;"+"&amp;BR53&amp;EX$1)</f>
        <v/>
      </c>
      <c r="EY53" s="43" t="str">
        <f t="shared" ref="EY53:EY54" si="420">IF(BS53="","","|n"&amp;EY$2&amp;"+"&amp;BS53&amp;EY$1)</f>
        <v/>
      </c>
      <c r="EZ53" s="43" t="str">
        <f t="shared" ref="EZ53:EZ54" si="421">IF(BT53="","","|n"&amp;EZ$2&amp;"+"&amp;BT53&amp;EZ$1)</f>
        <v/>
      </c>
      <c r="FA53" s="43" t="str">
        <f t="shared" ref="FA53:FA54" si="422">IF(BU53="","","|n"&amp;FA$2&amp;"+"&amp;BU53&amp;FA$1)</f>
        <v/>
      </c>
      <c r="FB53" s="43" t="str">
        <f t="shared" ref="FB53:FB54" si="423">IF(BV53="","","|n"&amp;FB$2&amp;"+"&amp;BV53&amp;FB$1)</f>
        <v/>
      </c>
      <c r="FC53" s="43" t="str">
        <f t="shared" ref="FC53:FC54" si="424">IF(BW53="","","|n"&amp;FC$2&amp;"+"&amp;BW53&amp;FC$1)</f>
        <v/>
      </c>
      <c r="FD53" s="43" t="str">
        <f t="shared" ref="FD53:FD54" si="425">IF(BX53="","","|n"&amp;FD$2&amp;"+"&amp;BX53&amp;FD$1)</f>
        <v/>
      </c>
      <c r="FE53" s="43" t="str">
        <f t="shared" ref="FE53:FE54" si="426">IF(BY53="","","|n"&amp;FE$2&amp;"+"&amp;BY53&amp;FE$1)</f>
        <v/>
      </c>
      <c r="FF53" s="43" t="str">
        <f t="shared" ref="FF53:FF54" si="427">IF(BZ53="","","|n"&amp;FF$2&amp;"+"&amp;BZ53&amp;FF$1)</f>
        <v/>
      </c>
      <c r="FG53" s="43" t="str">
        <f t="shared" ref="FG53:FG54" si="428">IF(CA53="","","|n"&amp;FG$2&amp;"+"&amp;CA53&amp;FG$1)</f>
        <v/>
      </c>
      <c r="FH53" s="43" t="str">
        <f t="shared" ref="FH53:FH54" si="429">IF(CB53="","","|n"&amp;FH$2&amp;"+"&amp;CB53&amp;FH$1)</f>
        <v/>
      </c>
      <c r="FI53" s="43" t="str">
        <f t="shared" ref="FI53:FI54" si="430">IF(CC53="","","|n"&amp;FI$2&amp;"+"&amp;CC53&amp;FI$1)</f>
        <v/>
      </c>
      <c r="FJ53" s="43" t="str">
        <f t="shared" ref="FJ53:FJ54" si="431">IF(CD53="","","|n"&amp;FJ$2&amp;"+"&amp;CD53&amp;FJ$1)</f>
        <v/>
      </c>
      <c r="FK53" s="43" t="str">
        <f t="shared" ref="FK53:FK54" si="432">IF(CE53="","","|n"&amp;FK$2&amp;"+"&amp;CE53&amp;FK$1)</f>
        <v/>
      </c>
      <c r="FL53" s="43" t="str">
        <f t="shared" ref="FL53:FL54" si="433">IF(CF53="","","|n"&amp;FL$2&amp;"+"&amp;CF53&amp;FL$1)</f>
        <v/>
      </c>
      <c r="FM53" s="43" t="str">
        <f t="shared" ref="FM53:FM54" si="434">IF(CG53="","","|n"&amp;FM$2&amp;"+"&amp;CG53&amp;FM$1)</f>
        <v/>
      </c>
      <c r="FN53" s="43" t="str">
        <f t="shared" ref="FN53:FN54" si="435">IF(CH53="","","|n"&amp;FN$2&amp;"+"&amp;CH53&amp;FN$1)</f>
        <v/>
      </c>
      <c r="FO53" s="43" t="str">
        <f t="shared" ref="FO53:FO54" si="436">IF(CI53="","","|n"&amp;FO$2&amp;"+"&amp;CI53&amp;FO$1)</f>
        <v/>
      </c>
      <c r="FP53" s="43" t="str">
        <f t="shared" ref="FP53:FP54" si="437">IF(CJ53="","","|n"&amp;FP$2&amp;"+"&amp;CJ53&amp;FP$1)</f>
        <v/>
      </c>
      <c r="FQ53" s="43" t="str">
        <f t="shared" ref="FQ53:FQ54" si="438">IF(CK53="","","|n"&amp;FQ$2&amp;"+"&amp;CK53&amp;FQ$1)</f>
        <v/>
      </c>
      <c r="FR53" s="43" t="str">
        <f t="shared" ref="FR53:FR54" si="439">IF(CL53="","","|n"&amp;FR$2&amp;"+"&amp;CL53&amp;FR$1)</f>
        <v/>
      </c>
      <c r="FS53" s="43" t="str">
        <f t="shared" ref="FS53:FS54" si="440">IF(CM53="","","|n"&amp;FS$2&amp;"+"&amp;CM53&amp;FS$1)</f>
        <v/>
      </c>
    </row>
    <row r="54" s="6" customFormat="1" ht="15" spans="1:175">
      <c r="A54" s="10"/>
      <c r="B54" s="45" t="s">
        <v>284</v>
      </c>
      <c r="C54" s="10" t="s">
        <v>285</v>
      </c>
      <c r="D54" s="46"/>
      <c r="E54" s="47"/>
      <c r="F54" s="48">
        <v>500</v>
      </c>
      <c r="G54" s="49">
        <v>100</v>
      </c>
      <c r="H54" s="49"/>
      <c r="I54" s="49" t="str">
        <f t="shared" ref="I54:I76" si="441">B55</f>
        <v>E203</v>
      </c>
      <c r="J54" s="49"/>
      <c r="K54" s="49"/>
      <c r="L54" s="49"/>
      <c r="M54" s="49"/>
      <c r="N54" s="49"/>
      <c r="O54" s="49"/>
      <c r="P54" s="53"/>
      <c r="Q54" s="53"/>
      <c r="R54" s="53"/>
      <c r="S54" s="53"/>
      <c r="T54" s="58"/>
      <c r="U54" s="59" t="s">
        <v>283</v>
      </c>
      <c r="V54" s="60"/>
      <c r="W54" s="60"/>
      <c r="X54" s="60">
        <v>60</v>
      </c>
      <c r="Y54" s="60"/>
      <c r="Z54" s="60">
        <v>1500</v>
      </c>
      <c r="AA54" s="60"/>
      <c r="AB54" s="60">
        <f t="shared" si="294"/>
        <v>30</v>
      </c>
      <c r="AC54" s="60"/>
      <c r="AD54" s="60"/>
      <c r="AE54" s="60"/>
      <c r="AF54" s="60"/>
      <c r="AG54" s="64"/>
      <c r="AH54" s="60"/>
      <c r="AI54" s="60"/>
      <c r="AJ54" s="60"/>
      <c r="AK54" s="60"/>
      <c r="AL54" s="64"/>
      <c r="AM54" s="60"/>
      <c r="AN54" s="60"/>
      <c r="AO54" s="60"/>
      <c r="AP54" s="60"/>
      <c r="AQ54" s="60"/>
      <c r="AR54" s="66"/>
      <c r="AS54" s="66"/>
      <c r="AT54" s="60"/>
      <c r="AU54" s="60"/>
      <c r="AV54" s="60"/>
      <c r="AW54" s="60"/>
      <c r="AX54" s="60"/>
      <c r="AY54" s="60"/>
      <c r="AZ54" s="60"/>
      <c r="BA54" s="60"/>
      <c r="BB54" s="60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60"/>
      <c r="CF54" s="60"/>
      <c r="CG54" s="60"/>
      <c r="CH54" s="60"/>
      <c r="CI54" s="60"/>
      <c r="CJ54" s="60"/>
      <c r="CK54" s="60"/>
      <c r="CL54" s="60"/>
      <c r="CM54" s="60"/>
      <c r="CN54" s="69" t="str">
        <f t="shared" si="295"/>
        <v>InitUnitState('E202',,,60,,1500,,30,,,)</v>
      </c>
      <c r="CO54" s="69" t="str">
        <f t="shared" si="296"/>
        <v>InitUnitNormal('E202',,,,,,,,,,)</v>
      </c>
      <c r="CP54" s="69" t="str">
        <f t="shared" si="297"/>
        <v>InitUnitMagic('E202',,,,,,,,,,)</v>
      </c>
      <c r="CQ54" s="69" t="str">
        <f t="shared" si="298"/>
        <v>InitUnitAdd('E202',,,,,,,,,,)</v>
      </c>
      <c r="CR54" s="69" t="str">
        <f t="shared" ref="CR54:CR62" si="442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69"/>
      <c r="CT54" s="69"/>
      <c r="CU54" s="71" t="str">
        <f t="shared" si="78"/>
        <v>|n护甲+60|n生命值+1500|n生命回复+30|n</v>
      </c>
      <c r="CV54" s="5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|Cffbbbbbb属性：|r|n护甲+60|n生命值+1500|n生命回复+30|n|n|Cff00ff7f点击消耗500金币进行强化|n成功率100%</v>
      </c>
      <c r="DB54" s="43" t="str">
        <f t="shared" si="371"/>
        <v/>
      </c>
      <c r="DC54" s="43" t="str">
        <f t="shared" si="372"/>
        <v/>
      </c>
      <c r="DD54" s="43" t="str">
        <f t="shared" si="373"/>
        <v>|n护甲+60</v>
      </c>
      <c r="DE54" s="43" t="str">
        <f t="shared" si="374"/>
        <v/>
      </c>
      <c r="DF54" s="43" t="str">
        <f t="shared" si="375"/>
        <v>|n生命值+1500</v>
      </c>
      <c r="DG54" s="43" t="str">
        <f t="shared" si="376"/>
        <v/>
      </c>
      <c r="DH54" s="43" t="str">
        <f t="shared" si="377"/>
        <v>|n生命回复+30</v>
      </c>
      <c r="DI54" s="43" t="str">
        <f t="shared" si="378"/>
        <v/>
      </c>
      <c r="DJ54" s="43" t="str">
        <f t="shared" si="379"/>
        <v/>
      </c>
      <c r="DK54" s="43" t="str">
        <f t="shared" si="380"/>
        <v/>
      </c>
      <c r="DL54" s="43" t="str">
        <f t="shared" si="381"/>
        <v/>
      </c>
      <c r="DM54" s="43" t="str">
        <f t="shared" si="382"/>
        <v/>
      </c>
      <c r="DN54" s="43" t="str">
        <f t="shared" si="383"/>
        <v/>
      </c>
      <c r="DO54" s="43" t="str">
        <f t="shared" si="384"/>
        <v/>
      </c>
      <c r="DP54" s="43" t="str">
        <f t="shared" si="385"/>
        <v/>
      </c>
      <c r="DQ54" s="43" t="str">
        <f t="shared" si="386"/>
        <v/>
      </c>
      <c r="DR54" s="43" t="str">
        <f t="shared" si="387"/>
        <v/>
      </c>
      <c r="DS54" s="43" t="str">
        <f t="shared" si="388"/>
        <v/>
      </c>
      <c r="DT54" s="43" t="str">
        <f t="shared" si="389"/>
        <v/>
      </c>
      <c r="DU54" s="43" t="str">
        <f t="shared" si="390"/>
        <v/>
      </c>
      <c r="DV54" s="43" t="str">
        <f t="shared" si="391"/>
        <v/>
      </c>
      <c r="DW54" s="43" t="str">
        <f t="shared" si="392"/>
        <v/>
      </c>
      <c r="DX54" s="43" t="str">
        <f t="shared" si="393"/>
        <v/>
      </c>
      <c r="DY54" s="43" t="str">
        <f t="shared" si="394"/>
        <v/>
      </c>
      <c r="DZ54" s="43" t="str">
        <f t="shared" si="395"/>
        <v/>
      </c>
      <c r="EA54" s="43" t="str">
        <f t="shared" si="396"/>
        <v/>
      </c>
      <c r="EB54" s="43" t="str">
        <f t="shared" si="397"/>
        <v/>
      </c>
      <c r="EC54" s="43" t="str">
        <f t="shared" si="398"/>
        <v/>
      </c>
      <c r="ED54" s="43" t="str">
        <f t="shared" si="399"/>
        <v/>
      </c>
      <c r="EE54" s="43" t="str">
        <f t="shared" si="400"/>
        <v/>
      </c>
      <c r="EF54" s="43" t="str">
        <f t="shared" si="401"/>
        <v/>
      </c>
      <c r="EG54" s="43" t="str">
        <f t="shared" si="402"/>
        <v/>
      </c>
      <c r="EH54" s="43" t="str">
        <f t="shared" si="403"/>
        <v/>
      </c>
      <c r="EI54" s="43" t="str">
        <f t="shared" si="404"/>
        <v/>
      </c>
      <c r="EJ54" s="43" t="str">
        <f t="shared" si="405"/>
        <v/>
      </c>
      <c r="EK54" s="43" t="str">
        <f t="shared" si="406"/>
        <v/>
      </c>
      <c r="EL54" s="43" t="str">
        <f t="shared" si="407"/>
        <v/>
      </c>
      <c r="EM54" s="43" t="str">
        <f t="shared" si="408"/>
        <v/>
      </c>
      <c r="EN54" s="43" t="str">
        <f t="shared" si="409"/>
        <v/>
      </c>
      <c r="EO54" s="43" t="str">
        <f t="shared" si="410"/>
        <v/>
      </c>
      <c r="EP54" s="43" t="str">
        <f t="shared" si="411"/>
        <v/>
      </c>
      <c r="EQ54" s="43" t="str">
        <f t="shared" si="412"/>
        <v/>
      </c>
      <c r="ER54" s="43" t="str">
        <f t="shared" si="413"/>
        <v/>
      </c>
      <c r="ES54" s="43" t="str">
        <f t="shared" si="414"/>
        <v/>
      </c>
      <c r="ET54" s="43" t="str">
        <f t="shared" si="415"/>
        <v/>
      </c>
      <c r="EU54" s="43" t="str">
        <f t="shared" si="416"/>
        <v/>
      </c>
      <c r="EV54" s="43" t="str">
        <f t="shared" si="417"/>
        <v/>
      </c>
      <c r="EW54" s="43" t="str">
        <f t="shared" si="418"/>
        <v/>
      </c>
      <c r="EX54" s="43" t="str">
        <f t="shared" si="419"/>
        <v/>
      </c>
      <c r="EY54" s="43" t="str">
        <f t="shared" si="420"/>
        <v/>
      </c>
      <c r="EZ54" s="43" t="str">
        <f t="shared" si="421"/>
        <v/>
      </c>
      <c r="FA54" s="43" t="str">
        <f t="shared" si="422"/>
        <v/>
      </c>
      <c r="FB54" s="43" t="str">
        <f t="shared" si="423"/>
        <v/>
      </c>
      <c r="FC54" s="43" t="str">
        <f t="shared" si="424"/>
        <v/>
      </c>
      <c r="FD54" s="43" t="str">
        <f t="shared" si="425"/>
        <v/>
      </c>
      <c r="FE54" s="43" t="str">
        <f t="shared" si="426"/>
        <v/>
      </c>
      <c r="FF54" s="43" t="str">
        <f t="shared" si="427"/>
        <v/>
      </c>
      <c r="FG54" s="43" t="str">
        <f t="shared" si="428"/>
        <v/>
      </c>
      <c r="FH54" s="43" t="str">
        <f t="shared" si="429"/>
        <v/>
      </c>
      <c r="FI54" s="43" t="str">
        <f t="shared" si="430"/>
        <v/>
      </c>
      <c r="FJ54" s="43" t="str">
        <f t="shared" si="431"/>
        <v/>
      </c>
      <c r="FK54" s="43" t="str">
        <f t="shared" si="432"/>
        <v/>
      </c>
      <c r="FL54" s="43" t="str">
        <f t="shared" si="433"/>
        <v/>
      </c>
      <c r="FM54" s="43" t="str">
        <f t="shared" si="434"/>
        <v/>
      </c>
      <c r="FN54" s="43" t="str">
        <f t="shared" si="435"/>
        <v/>
      </c>
      <c r="FO54" s="43" t="str">
        <f t="shared" si="436"/>
        <v/>
      </c>
      <c r="FP54" s="43" t="str">
        <f t="shared" si="437"/>
        <v/>
      </c>
      <c r="FQ54" s="43" t="str">
        <f t="shared" si="438"/>
        <v/>
      </c>
      <c r="FR54" s="43" t="str">
        <f t="shared" si="439"/>
        <v/>
      </c>
      <c r="FS54" s="43" t="str">
        <f t="shared" si="440"/>
        <v/>
      </c>
    </row>
    <row r="55" s="6" customFormat="1" ht="15" spans="1:175">
      <c r="A55" s="10"/>
      <c r="B55" s="45" t="s">
        <v>286</v>
      </c>
      <c r="C55" s="10" t="s">
        <v>287</v>
      </c>
      <c r="D55" s="46"/>
      <c r="E55" s="47"/>
      <c r="F55" s="48">
        <v>500</v>
      </c>
      <c r="G55" s="49">
        <v>100</v>
      </c>
      <c r="H55" s="49"/>
      <c r="I55" s="49" t="str">
        <f t="shared" si="441"/>
        <v>E204</v>
      </c>
      <c r="J55" s="49"/>
      <c r="K55" s="49"/>
      <c r="L55" s="49"/>
      <c r="M55" s="49"/>
      <c r="N55" s="49"/>
      <c r="O55" s="49"/>
      <c r="P55" s="53"/>
      <c r="Q55" s="53"/>
      <c r="R55" s="53"/>
      <c r="S55" s="53"/>
      <c r="T55" s="58"/>
      <c r="U55" s="59" t="s">
        <v>283</v>
      </c>
      <c r="V55" s="60"/>
      <c r="W55" s="60"/>
      <c r="X55" s="60">
        <v>90</v>
      </c>
      <c r="Y55" s="60"/>
      <c r="Z55" s="60">
        <v>2250</v>
      </c>
      <c r="AA55" s="60"/>
      <c r="AB55" s="60">
        <f t="shared" si="294"/>
        <v>45</v>
      </c>
      <c r="AC55" s="60"/>
      <c r="AD55" s="60"/>
      <c r="AE55" s="60"/>
      <c r="AF55" s="60"/>
      <c r="AG55" s="64"/>
      <c r="AH55" s="60"/>
      <c r="AI55" s="60"/>
      <c r="AJ55" s="60"/>
      <c r="AK55" s="60"/>
      <c r="AL55" s="64"/>
      <c r="AM55" s="60"/>
      <c r="AN55" s="60"/>
      <c r="AO55" s="60"/>
      <c r="AP55" s="60"/>
      <c r="AQ55" s="60"/>
      <c r="AR55" s="66"/>
      <c r="AS55" s="66"/>
      <c r="AT55" s="60"/>
      <c r="AU55" s="60"/>
      <c r="AV55" s="60"/>
      <c r="AW55" s="60"/>
      <c r="AX55" s="60"/>
      <c r="AY55" s="60"/>
      <c r="AZ55" s="60"/>
      <c r="BA55" s="60"/>
      <c r="BB55" s="60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60"/>
      <c r="CF55" s="60"/>
      <c r="CG55" s="60"/>
      <c r="CH55" s="60"/>
      <c r="CI55" s="60"/>
      <c r="CJ55" s="60"/>
      <c r="CK55" s="60"/>
      <c r="CL55" s="60"/>
      <c r="CM55" s="60"/>
      <c r="CN55" s="69" t="str">
        <f t="shared" si="295"/>
        <v>InitUnitState('E203',,,90,,2250,,45,,,)</v>
      </c>
      <c r="CO55" s="69" t="str">
        <f t="shared" si="296"/>
        <v>InitUnitNormal('E203',,,,,,,,,,)</v>
      </c>
      <c r="CP55" s="69" t="str">
        <f t="shared" si="297"/>
        <v>InitUnitMagic('E203',,,,,,,,,,)</v>
      </c>
      <c r="CQ55" s="69" t="str">
        <f t="shared" si="298"/>
        <v>InitUnitAdd('E203',,,,,,,,,,)</v>
      </c>
      <c r="CR55" s="69" t="str">
        <f t="shared" si="442"/>
        <v>InitEquipData('E203',,"",,E204,500,100,'','','','','','',"ReplaceableTextures\\CommandButtons\\BTNZ13.blp")</v>
      </c>
      <c r="CS55" s="69"/>
      <c r="CT55" s="69"/>
      <c r="CU55" s="71" t="str">
        <f t="shared" si="78"/>
        <v>|n护甲+90|n生命值+2250|n生命回复+45|n</v>
      </c>
      <c r="CV55" s="5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|Cffbbbbbb属性：|r|n护甲+90|n生命值+2250|n生命回复+45|n|n|Cff00ff7f点击消耗500金币进行强化|n成功率100%</v>
      </c>
      <c r="DB55" s="43" t="str">
        <f t="shared" ref="DB55:DB56" si="443">IF(V55="","","|n"&amp;DB$2&amp;"+"&amp;V55&amp;DB$1)</f>
        <v/>
      </c>
      <c r="DC55" s="43" t="str">
        <f t="shared" ref="DC55:DC56" si="444">IF(W55="","","|n"&amp;DC$2&amp;"+"&amp;W55&amp;DC$1)</f>
        <v/>
      </c>
      <c r="DD55" s="43" t="str">
        <f t="shared" ref="DD55:DD56" si="445">IF(X55="","","|n"&amp;DD$2&amp;"+"&amp;X55&amp;DD$1)</f>
        <v>|n护甲+90</v>
      </c>
      <c r="DE55" s="43" t="str">
        <f t="shared" ref="DE55:DE56" si="446">IF(Y55="","","|n"&amp;DE$2&amp;"+"&amp;Y55&amp;DE$1)</f>
        <v/>
      </c>
      <c r="DF55" s="43" t="str">
        <f t="shared" ref="DF55:DF56" si="447">IF(Z55="","","|n"&amp;DF$2&amp;"+"&amp;Z55&amp;DF$1)</f>
        <v>|n生命值+2250</v>
      </c>
      <c r="DG55" s="43" t="str">
        <f t="shared" ref="DG55:DG56" si="448">IF(AA55="","","|n"&amp;DG$2&amp;"+"&amp;AA55&amp;DG$1)</f>
        <v/>
      </c>
      <c r="DH55" s="43" t="str">
        <f t="shared" ref="DH55:DH56" si="449">IF(AB55="","","|n"&amp;DH$2&amp;"+"&amp;AB55&amp;DH$1)</f>
        <v>|n生命回复+45</v>
      </c>
      <c r="DI55" s="43" t="str">
        <f t="shared" ref="DI55:DI56" si="450">IF(AC55="","","|n"&amp;DI$2&amp;"+"&amp;AC55&amp;DI$1)</f>
        <v/>
      </c>
      <c r="DJ55" s="43" t="str">
        <f t="shared" ref="DJ55:DJ56" si="451">IF(AD55="","","|n"&amp;DJ$2&amp;"+"&amp;AD55&amp;DJ$1)</f>
        <v/>
      </c>
      <c r="DK55" s="43" t="str">
        <f t="shared" ref="DK55:DK56" si="452">IF(AE55="","","|n"&amp;DK$2&amp;"+"&amp;AE55&amp;DK$1)</f>
        <v/>
      </c>
      <c r="DL55" s="43" t="str">
        <f t="shared" ref="DL55:DL56" si="453">IF(AF55="","","|n"&amp;DL$2&amp;"+"&amp;AF55&amp;DL$1)</f>
        <v/>
      </c>
      <c r="DM55" s="43" t="str">
        <f t="shared" ref="DM55:DM56" si="454">IF(AG55="","","|n"&amp;DM$2&amp;"+"&amp;AG55&amp;DM$1)</f>
        <v/>
      </c>
      <c r="DN55" s="43" t="str">
        <f t="shared" ref="DN55:DN56" si="455">IF(AH55="","","|n"&amp;DN$2&amp;"+"&amp;AH55&amp;DN$1)</f>
        <v/>
      </c>
      <c r="DO55" s="43" t="str">
        <f t="shared" ref="DO55:DO56" si="456">IF(AI55="","","|n"&amp;DO$2&amp;"+"&amp;AI55&amp;DO$1)</f>
        <v/>
      </c>
      <c r="DP55" s="43" t="str">
        <f t="shared" ref="DP55:DP56" si="457">IF(AJ55="","","|n"&amp;DP$2&amp;"+"&amp;AJ55&amp;DP$1)</f>
        <v/>
      </c>
      <c r="DQ55" s="43" t="str">
        <f t="shared" ref="DQ55:DQ56" si="458">IF(AK55="","","|n"&amp;DQ$2&amp;"+"&amp;AK55&amp;DQ$1)</f>
        <v/>
      </c>
      <c r="DR55" s="43" t="str">
        <f t="shared" ref="DR55:DR56" si="459">IF(AL55="","","|n"&amp;DR$2&amp;"+"&amp;AL55&amp;DR$1)</f>
        <v/>
      </c>
      <c r="DS55" s="43" t="str">
        <f t="shared" ref="DS55:DS56" si="460">IF(AM55="","","|n"&amp;DS$2&amp;"+"&amp;AM55&amp;DS$1)</f>
        <v/>
      </c>
      <c r="DT55" s="43" t="str">
        <f t="shared" ref="DT55:DT56" si="461">IF(AN55="","","|n"&amp;DT$2&amp;"+"&amp;AN55&amp;DT$1)</f>
        <v/>
      </c>
      <c r="DU55" s="43" t="str">
        <f t="shared" ref="DU55:DU56" si="462">IF(AO55="","","|n"&amp;DU$2&amp;"+"&amp;AO55&amp;DU$1)</f>
        <v/>
      </c>
      <c r="DV55" s="43" t="str">
        <f t="shared" ref="DV55:DV56" si="463">IF(AP55="","","|n"&amp;DV$2&amp;"+"&amp;AP55&amp;DV$1)</f>
        <v/>
      </c>
      <c r="DW55" s="43" t="str">
        <f t="shared" ref="DW55:DW56" si="464">IF(AQ55="","","|n"&amp;DW$2&amp;"+"&amp;AQ55&amp;DW$1)</f>
        <v/>
      </c>
      <c r="DX55" s="43" t="str">
        <f t="shared" ref="DX55:DX56" si="465">IF(AR55="","","|n"&amp;DX$2&amp;"+"&amp;AR55&amp;DX$1)</f>
        <v/>
      </c>
      <c r="DY55" s="43" t="str">
        <f t="shared" ref="DY55:DY56" si="466">IF(AS55="","","|n"&amp;DY$2&amp;"+"&amp;AS55&amp;DY$1)</f>
        <v/>
      </c>
      <c r="DZ55" s="43" t="str">
        <f t="shared" ref="DZ55:DZ56" si="467">IF(AT55="","","|n"&amp;DZ$2&amp;"+"&amp;AT55&amp;DZ$1)</f>
        <v/>
      </c>
      <c r="EA55" s="43" t="str">
        <f t="shared" ref="EA55:EA56" si="468">IF(AU55="","","|n"&amp;EA$2&amp;"+"&amp;AU55&amp;EA$1)</f>
        <v/>
      </c>
      <c r="EB55" s="43" t="str">
        <f t="shared" ref="EB55:EB56" si="469">IF(AV55="","","|n"&amp;EB$2&amp;"+"&amp;AV55&amp;EB$1)</f>
        <v/>
      </c>
      <c r="EC55" s="43" t="str">
        <f t="shared" ref="EC55:EC56" si="470">IF(AW55="","","|n"&amp;EC$2&amp;"+"&amp;AW55&amp;EC$1)</f>
        <v/>
      </c>
      <c r="ED55" s="43" t="str">
        <f t="shared" ref="ED55:ED56" si="471">IF(AX55="","","|n"&amp;ED$2&amp;"+"&amp;AX55&amp;ED$1)</f>
        <v/>
      </c>
      <c r="EE55" s="43" t="str">
        <f t="shared" ref="EE55:EE56" si="472">IF(AY55="","","|n"&amp;EE$2&amp;"+"&amp;AY55&amp;EE$1)</f>
        <v/>
      </c>
      <c r="EF55" s="43" t="str">
        <f t="shared" ref="EF55:EF56" si="473">IF(AZ55="","","|n"&amp;EF$2&amp;"+"&amp;AZ55&amp;EF$1)</f>
        <v/>
      </c>
      <c r="EG55" s="43" t="str">
        <f t="shared" ref="EG55:EG56" si="474">IF(BA55="","","|n"&amp;EG$2&amp;"+"&amp;BA55&amp;EG$1)</f>
        <v/>
      </c>
      <c r="EH55" s="43" t="str">
        <f t="shared" ref="EH55:EH56" si="475">IF(BB55="","","|n"&amp;EH$2&amp;"+"&amp;BB55&amp;EH$1)</f>
        <v/>
      </c>
      <c r="EI55" s="43" t="str">
        <f t="shared" ref="EI55:EI56" si="476">IF(BC55="","","|n"&amp;EI$2&amp;"+"&amp;BC55&amp;EI$1)</f>
        <v/>
      </c>
      <c r="EJ55" s="43" t="str">
        <f t="shared" ref="EJ55:EJ56" si="477">IF(BD55="","","|n"&amp;EJ$2&amp;"+"&amp;BD55&amp;EJ$1)</f>
        <v/>
      </c>
      <c r="EK55" s="43" t="str">
        <f t="shared" ref="EK55:EK56" si="478">IF(BE55="","","|n"&amp;EK$2&amp;"+"&amp;BE55&amp;EK$1)</f>
        <v/>
      </c>
      <c r="EL55" s="43" t="str">
        <f t="shared" ref="EL55:EL56" si="479">IF(BF55="","","|n"&amp;EL$2&amp;"+"&amp;BF55&amp;EL$1)</f>
        <v/>
      </c>
      <c r="EM55" s="43" t="str">
        <f t="shared" ref="EM55:EM56" si="480">IF(BG55="","","|n"&amp;EM$2&amp;"+"&amp;BG55&amp;EM$1)</f>
        <v/>
      </c>
      <c r="EN55" s="43" t="str">
        <f t="shared" ref="EN55:EN56" si="481">IF(BH55="","","|n"&amp;EN$2&amp;"+"&amp;BH55&amp;EN$1)</f>
        <v/>
      </c>
      <c r="EO55" s="43" t="str">
        <f t="shared" ref="EO55:EO56" si="482">IF(BI55="","","|n"&amp;EO$2&amp;"+"&amp;BI55&amp;EO$1)</f>
        <v/>
      </c>
      <c r="EP55" s="43" t="str">
        <f t="shared" ref="EP55:EP56" si="483">IF(BJ55="","","|n"&amp;EP$2&amp;"+"&amp;BJ55&amp;EP$1)</f>
        <v/>
      </c>
      <c r="EQ55" s="43" t="str">
        <f t="shared" ref="EQ55:EQ56" si="484">IF(BK55="","","|n"&amp;EQ$2&amp;"+"&amp;BK55&amp;EQ$1)</f>
        <v/>
      </c>
      <c r="ER55" s="43" t="str">
        <f t="shared" ref="ER55:ER56" si="485">IF(BL55="","","|n"&amp;ER$2&amp;"+"&amp;BL55&amp;ER$1)</f>
        <v/>
      </c>
      <c r="ES55" s="43" t="str">
        <f t="shared" ref="ES55:ES56" si="486">IF(BM55="","","|n"&amp;ES$2&amp;"+"&amp;BM55&amp;ES$1)</f>
        <v/>
      </c>
      <c r="ET55" s="43" t="str">
        <f t="shared" ref="ET55:ET56" si="487">IF(BN55="","","|n"&amp;ET$2&amp;"+"&amp;BN55&amp;ET$1)</f>
        <v/>
      </c>
      <c r="EU55" s="43" t="str">
        <f t="shared" ref="EU55:EU56" si="488">IF(BO55="","","|n"&amp;EU$2&amp;"+"&amp;BO55&amp;EU$1)</f>
        <v/>
      </c>
      <c r="EV55" s="43" t="str">
        <f t="shared" ref="EV55:EV56" si="489">IF(BP55="","","|n"&amp;EV$2&amp;"+"&amp;BP55&amp;EV$1)</f>
        <v/>
      </c>
      <c r="EW55" s="43" t="str">
        <f t="shared" ref="EW55:EW56" si="490">IF(BQ55="","","|n"&amp;EW$2&amp;"+"&amp;BQ55&amp;EW$1)</f>
        <v/>
      </c>
      <c r="EX55" s="43" t="str">
        <f t="shared" ref="EX55:EX56" si="491">IF(BR55="","","|n"&amp;EX$2&amp;"+"&amp;BR55&amp;EX$1)</f>
        <v/>
      </c>
      <c r="EY55" s="43" t="str">
        <f t="shared" ref="EY55:EY56" si="492">IF(BS55="","","|n"&amp;EY$2&amp;"+"&amp;BS55&amp;EY$1)</f>
        <v/>
      </c>
      <c r="EZ55" s="43" t="str">
        <f t="shared" ref="EZ55:EZ56" si="493">IF(BT55="","","|n"&amp;EZ$2&amp;"+"&amp;BT55&amp;EZ$1)</f>
        <v/>
      </c>
      <c r="FA55" s="43" t="str">
        <f t="shared" ref="FA55:FA56" si="494">IF(BU55="","","|n"&amp;FA$2&amp;"+"&amp;BU55&amp;FA$1)</f>
        <v/>
      </c>
      <c r="FB55" s="43" t="str">
        <f t="shared" ref="FB55:FB56" si="495">IF(BV55="","","|n"&amp;FB$2&amp;"+"&amp;BV55&amp;FB$1)</f>
        <v/>
      </c>
      <c r="FC55" s="43" t="str">
        <f t="shared" ref="FC55:FC56" si="496">IF(BW55="","","|n"&amp;FC$2&amp;"+"&amp;BW55&amp;FC$1)</f>
        <v/>
      </c>
      <c r="FD55" s="43" t="str">
        <f t="shared" ref="FD55:FD56" si="497">IF(BX55="","","|n"&amp;FD$2&amp;"+"&amp;BX55&amp;FD$1)</f>
        <v/>
      </c>
      <c r="FE55" s="43" t="str">
        <f t="shared" ref="FE55:FE56" si="498">IF(BY55="","","|n"&amp;FE$2&amp;"+"&amp;BY55&amp;FE$1)</f>
        <v/>
      </c>
      <c r="FF55" s="43" t="str">
        <f t="shared" ref="FF55:FF56" si="499">IF(BZ55="","","|n"&amp;FF$2&amp;"+"&amp;BZ55&amp;FF$1)</f>
        <v/>
      </c>
      <c r="FG55" s="43" t="str">
        <f t="shared" ref="FG55:FG56" si="500">IF(CA55="","","|n"&amp;FG$2&amp;"+"&amp;CA55&amp;FG$1)</f>
        <v/>
      </c>
      <c r="FH55" s="43" t="str">
        <f t="shared" ref="FH55:FH56" si="501">IF(CB55="","","|n"&amp;FH$2&amp;"+"&amp;CB55&amp;FH$1)</f>
        <v/>
      </c>
      <c r="FI55" s="43" t="str">
        <f t="shared" ref="FI55:FI56" si="502">IF(CC55="","","|n"&amp;FI$2&amp;"+"&amp;CC55&amp;FI$1)</f>
        <v/>
      </c>
      <c r="FJ55" s="43" t="str">
        <f t="shared" ref="FJ55:FJ56" si="503">IF(CD55="","","|n"&amp;FJ$2&amp;"+"&amp;CD55&amp;FJ$1)</f>
        <v/>
      </c>
      <c r="FK55" s="43" t="str">
        <f t="shared" ref="FK55:FK56" si="504">IF(CE55="","","|n"&amp;FK$2&amp;"+"&amp;CE55&amp;FK$1)</f>
        <v/>
      </c>
      <c r="FL55" s="43" t="str">
        <f t="shared" ref="FL55:FL56" si="505">IF(CF55="","","|n"&amp;FL$2&amp;"+"&amp;CF55&amp;FL$1)</f>
        <v/>
      </c>
      <c r="FM55" s="43" t="str">
        <f t="shared" ref="FM55:FM56" si="506">IF(CG55="","","|n"&amp;FM$2&amp;"+"&amp;CG55&amp;FM$1)</f>
        <v/>
      </c>
      <c r="FN55" s="43" t="str">
        <f t="shared" ref="FN55:FN56" si="507">IF(CH55="","","|n"&amp;FN$2&amp;"+"&amp;CH55&amp;FN$1)</f>
        <v/>
      </c>
      <c r="FO55" s="43" t="str">
        <f t="shared" ref="FO55:FO56" si="508">IF(CI55="","","|n"&amp;FO$2&amp;"+"&amp;CI55&amp;FO$1)</f>
        <v/>
      </c>
      <c r="FP55" s="43" t="str">
        <f t="shared" ref="FP55:FP56" si="509">IF(CJ55="","","|n"&amp;FP$2&amp;"+"&amp;CJ55&amp;FP$1)</f>
        <v/>
      </c>
      <c r="FQ55" s="43" t="str">
        <f t="shared" ref="FQ55:FQ56" si="510">IF(CK55="","","|n"&amp;FQ$2&amp;"+"&amp;CK55&amp;FQ$1)</f>
        <v/>
      </c>
      <c r="FR55" s="43" t="str">
        <f t="shared" ref="FR55:FR56" si="511">IF(CL55="","","|n"&amp;FR$2&amp;"+"&amp;CL55&amp;FR$1)</f>
        <v/>
      </c>
      <c r="FS55" s="43" t="str">
        <f t="shared" ref="FS55:FS56" si="512">IF(CM55="","","|n"&amp;FS$2&amp;"+"&amp;CM55&amp;FS$1)</f>
        <v/>
      </c>
    </row>
    <row r="56" s="6" customFormat="1" ht="15" spans="1:175">
      <c r="A56" s="10"/>
      <c r="B56" s="45" t="s">
        <v>288</v>
      </c>
      <c r="C56" s="10" t="s">
        <v>289</v>
      </c>
      <c r="D56" s="46"/>
      <c r="E56" s="47"/>
      <c r="F56" s="48">
        <v>500</v>
      </c>
      <c r="G56" s="49">
        <v>100</v>
      </c>
      <c r="H56" s="49"/>
      <c r="I56" s="49" t="str">
        <f t="shared" si="441"/>
        <v>E205</v>
      </c>
      <c r="J56" s="49"/>
      <c r="K56" s="49"/>
      <c r="L56" s="49"/>
      <c r="M56" s="49"/>
      <c r="N56" s="49"/>
      <c r="O56" s="49"/>
      <c r="P56" s="53"/>
      <c r="Q56" s="53"/>
      <c r="R56" s="53"/>
      <c r="S56" s="53"/>
      <c r="T56" s="58"/>
      <c r="U56" s="59" t="s">
        <v>283</v>
      </c>
      <c r="V56" s="60"/>
      <c r="W56" s="60"/>
      <c r="X56" s="60">
        <v>120</v>
      </c>
      <c r="Y56" s="60"/>
      <c r="Z56" s="60">
        <v>3750</v>
      </c>
      <c r="AA56" s="60"/>
      <c r="AB56" s="60">
        <f t="shared" si="294"/>
        <v>75</v>
      </c>
      <c r="AC56" s="60"/>
      <c r="AD56" s="60"/>
      <c r="AE56" s="60"/>
      <c r="AF56" s="60"/>
      <c r="AG56" s="64"/>
      <c r="AH56" s="60"/>
      <c r="AI56" s="60"/>
      <c r="AJ56" s="60"/>
      <c r="AK56" s="60"/>
      <c r="AL56" s="64"/>
      <c r="AM56" s="60"/>
      <c r="AN56" s="60"/>
      <c r="AO56" s="60"/>
      <c r="AP56" s="60"/>
      <c r="AQ56" s="60"/>
      <c r="AR56" s="66"/>
      <c r="AS56" s="66"/>
      <c r="AT56" s="60"/>
      <c r="AU56" s="60"/>
      <c r="AV56" s="60"/>
      <c r="AW56" s="60"/>
      <c r="AX56" s="60"/>
      <c r="AY56" s="60"/>
      <c r="AZ56" s="60"/>
      <c r="BA56" s="60"/>
      <c r="BB56" s="60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60"/>
      <c r="CF56" s="60"/>
      <c r="CG56" s="60"/>
      <c r="CH56" s="60"/>
      <c r="CI56" s="60"/>
      <c r="CJ56" s="60"/>
      <c r="CK56" s="60"/>
      <c r="CL56" s="60"/>
      <c r="CM56" s="60"/>
      <c r="CN56" s="69" t="str">
        <f t="shared" si="295"/>
        <v>InitUnitState('E204',,,120,,3750,,75,,,)</v>
      </c>
      <c r="CO56" s="69" t="str">
        <f t="shared" si="296"/>
        <v>InitUnitNormal('E204',,,,,,,,,,)</v>
      </c>
      <c r="CP56" s="69" t="str">
        <f t="shared" si="297"/>
        <v>InitUnitMagic('E204',,,,,,,,,,)</v>
      </c>
      <c r="CQ56" s="69" t="str">
        <f t="shared" si="298"/>
        <v>InitUnitAdd('E204',,,,,,,,,,)</v>
      </c>
      <c r="CR56" s="69" t="str">
        <f t="shared" si="442"/>
        <v>InitEquipData('E204',,"",,E205,500,100,'','','','','','',"ReplaceableTextures\\CommandButtons\\BTNZ13.blp")</v>
      </c>
      <c r="CS56" s="69"/>
      <c r="CT56" s="69"/>
      <c r="CU56" s="71" t="str">
        <f t="shared" si="78"/>
        <v>|n护甲+120|n生命值+3750|n生命回复+75|n</v>
      </c>
      <c r="CV56" s="5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|Cffbbbbbb属性：|r|n护甲+120|n生命值+3750|n生命回复+75|n|n|Cff00ff7f点击消耗500金币进行强化|n成功率100%</v>
      </c>
      <c r="DB56" s="43" t="str">
        <f t="shared" si="443"/>
        <v/>
      </c>
      <c r="DC56" s="43" t="str">
        <f t="shared" si="444"/>
        <v/>
      </c>
      <c r="DD56" s="43" t="str">
        <f t="shared" si="445"/>
        <v>|n护甲+120</v>
      </c>
      <c r="DE56" s="43" t="str">
        <f t="shared" si="446"/>
        <v/>
      </c>
      <c r="DF56" s="43" t="str">
        <f t="shared" si="447"/>
        <v>|n生命值+3750</v>
      </c>
      <c r="DG56" s="43" t="str">
        <f t="shared" si="448"/>
        <v/>
      </c>
      <c r="DH56" s="43" t="str">
        <f t="shared" si="449"/>
        <v>|n生命回复+75</v>
      </c>
      <c r="DI56" s="43" t="str">
        <f t="shared" si="450"/>
        <v/>
      </c>
      <c r="DJ56" s="43" t="str">
        <f t="shared" si="451"/>
        <v/>
      </c>
      <c r="DK56" s="43" t="str">
        <f t="shared" si="452"/>
        <v/>
      </c>
      <c r="DL56" s="43" t="str">
        <f t="shared" si="453"/>
        <v/>
      </c>
      <c r="DM56" s="43" t="str">
        <f t="shared" si="454"/>
        <v/>
      </c>
      <c r="DN56" s="43" t="str">
        <f t="shared" si="455"/>
        <v/>
      </c>
      <c r="DO56" s="43" t="str">
        <f t="shared" si="456"/>
        <v/>
      </c>
      <c r="DP56" s="43" t="str">
        <f t="shared" si="457"/>
        <v/>
      </c>
      <c r="DQ56" s="43" t="str">
        <f t="shared" si="458"/>
        <v/>
      </c>
      <c r="DR56" s="43" t="str">
        <f t="shared" si="459"/>
        <v/>
      </c>
      <c r="DS56" s="43" t="str">
        <f t="shared" si="460"/>
        <v/>
      </c>
      <c r="DT56" s="43" t="str">
        <f t="shared" si="461"/>
        <v/>
      </c>
      <c r="DU56" s="43" t="str">
        <f t="shared" si="462"/>
        <v/>
      </c>
      <c r="DV56" s="43" t="str">
        <f t="shared" si="463"/>
        <v/>
      </c>
      <c r="DW56" s="43" t="str">
        <f t="shared" si="464"/>
        <v/>
      </c>
      <c r="DX56" s="43" t="str">
        <f t="shared" si="465"/>
        <v/>
      </c>
      <c r="DY56" s="43" t="str">
        <f t="shared" si="466"/>
        <v/>
      </c>
      <c r="DZ56" s="43" t="str">
        <f t="shared" si="467"/>
        <v/>
      </c>
      <c r="EA56" s="43" t="str">
        <f t="shared" si="468"/>
        <v/>
      </c>
      <c r="EB56" s="43" t="str">
        <f t="shared" si="469"/>
        <v/>
      </c>
      <c r="EC56" s="43" t="str">
        <f t="shared" si="470"/>
        <v/>
      </c>
      <c r="ED56" s="43" t="str">
        <f t="shared" si="471"/>
        <v/>
      </c>
      <c r="EE56" s="43" t="str">
        <f t="shared" si="472"/>
        <v/>
      </c>
      <c r="EF56" s="43" t="str">
        <f t="shared" si="473"/>
        <v/>
      </c>
      <c r="EG56" s="43" t="str">
        <f t="shared" si="474"/>
        <v/>
      </c>
      <c r="EH56" s="43" t="str">
        <f t="shared" si="475"/>
        <v/>
      </c>
      <c r="EI56" s="43" t="str">
        <f t="shared" si="476"/>
        <v/>
      </c>
      <c r="EJ56" s="43" t="str">
        <f t="shared" si="477"/>
        <v/>
      </c>
      <c r="EK56" s="43" t="str">
        <f t="shared" si="478"/>
        <v/>
      </c>
      <c r="EL56" s="43" t="str">
        <f t="shared" si="479"/>
        <v/>
      </c>
      <c r="EM56" s="43" t="str">
        <f t="shared" si="480"/>
        <v/>
      </c>
      <c r="EN56" s="43" t="str">
        <f t="shared" si="481"/>
        <v/>
      </c>
      <c r="EO56" s="43" t="str">
        <f t="shared" si="482"/>
        <v/>
      </c>
      <c r="EP56" s="43" t="str">
        <f t="shared" si="483"/>
        <v/>
      </c>
      <c r="EQ56" s="43" t="str">
        <f t="shared" si="484"/>
        <v/>
      </c>
      <c r="ER56" s="43" t="str">
        <f t="shared" si="485"/>
        <v/>
      </c>
      <c r="ES56" s="43" t="str">
        <f t="shared" si="486"/>
        <v/>
      </c>
      <c r="ET56" s="43" t="str">
        <f t="shared" si="487"/>
        <v/>
      </c>
      <c r="EU56" s="43" t="str">
        <f t="shared" si="488"/>
        <v/>
      </c>
      <c r="EV56" s="43" t="str">
        <f t="shared" si="489"/>
        <v/>
      </c>
      <c r="EW56" s="43" t="str">
        <f t="shared" si="490"/>
        <v/>
      </c>
      <c r="EX56" s="43" t="str">
        <f t="shared" si="491"/>
        <v/>
      </c>
      <c r="EY56" s="43" t="str">
        <f t="shared" si="492"/>
        <v/>
      </c>
      <c r="EZ56" s="43" t="str">
        <f t="shared" si="493"/>
        <v/>
      </c>
      <c r="FA56" s="43" t="str">
        <f t="shared" si="494"/>
        <v/>
      </c>
      <c r="FB56" s="43" t="str">
        <f t="shared" si="495"/>
        <v/>
      </c>
      <c r="FC56" s="43" t="str">
        <f t="shared" si="496"/>
        <v/>
      </c>
      <c r="FD56" s="43" t="str">
        <f t="shared" si="497"/>
        <v/>
      </c>
      <c r="FE56" s="43" t="str">
        <f t="shared" si="498"/>
        <v/>
      </c>
      <c r="FF56" s="43" t="str">
        <f t="shared" si="499"/>
        <v/>
      </c>
      <c r="FG56" s="43" t="str">
        <f t="shared" si="500"/>
        <v/>
      </c>
      <c r="FH56" s="43" t="str">
        <f t="shared" si="501"/>
        <v/>
      </c>
      <c r="FI56" s="43" t="str">
        <f t="shared" si="502"/>
        <v/>
      </c>
      <c r="FJ56" s="43" t="str">
        <f t="shared" si="503"/>
        <v/>
      </c>
      <c r="FK56" s="43" t="str">
        <f t="shared" si="504"/>
        <v/>
      </c>
      <c r="FL56" s="43" t="str">
        <f t="shared" si="505"/>
        <v/>
      </c>
      <c r="FM56" s="43" t="str">
        <f t="shared" si="506"/>
        <v/>
      </c>
      <c r="FN56" s="43" t="str">
        <f t="shared" si="507"/>
        <v/>
      </c>
      <c r="FO56" s="43" t="str">
        <f t="shared" si="508"/>
        <v/>
      </c>
      <c r="FP56" s="43" t="str">
        <f t="shared" si="509"/>
        <v/>
      </c>
      <c r="FQ56" s="43" t="str">
        <f t="shared" si="510"/>
        <v/>
      </c>
      <c r="FR56" s="43" t="str">
        <f t="shared" si="511"/>
        <v/>
      </c>
      <c r="FS56" s="43" t="str">
        <f t="shared" si="512"/>
        <v/>
      </c>
    </row>
    <row r="57" s="6" customFormat="1" ht="15" spans="1:175">
      <c r="A57" s="10"/>
      <c r="B57" s="45" t="s">
        <v>290</v>
      </c>
      <c r="C57" s="10" t="s">
        <v>291</v>
      </c>
      <c r="D57" s="46"/>
      <c r="E57" s="47"/>
      <c r="F57" s="48">
        <v>2000</v>
      </c>
      <c r="G57" s="49">
        <v>100</v>
      </c>
      <c r="H57" s="50" t="s">
        <v>292</v>
      </c>
      <c r="I57" s="49" t="str">
        <f t="shared" si="441"/>
        <v>E206</v>
      </c>
      <c r="J57" s="49"/>
      <c r="K57" s="49"/>
      <c r="L57" s="49"/>
      <c r="M57" s="49"/>
      <c r="N57" s="49"/>
      <c r="O57" s="49"/>
      <c r="P57" s="53"/>
      <c r="Q57" s="53"/>
      <c r="R57" s="53"/>
      <c r="S57" s="53"/>
      <c r="T57" s="58"/>
      <c r="U57" s="59" t="s">
        <v>283</v>
      </c>
      <c r="V57" s="60"/>
      <c r="W57" s="60"/>
      <c r="X57" s="60">
        <v>150</v>
      </c>
      <c r="Y57" s="60"/>
      <c r="Z57" s="60">
        <v>5250</v>
      </c>
      <c r="AA57" s="60"/>
      <c r="AB57" s="60">
        <f t="shared" si="294"/>
        <v>105</v>
      </c>
      <c r="AC57" s="60"/>
      <c r="AD57" s="60"/>
      <c r="AE57" s="60"/>
      <c r="AF57" s="60"/>
      <c r="AG57" s="64"/>
      <c r="AH57" s="60"/>
      <c r="AI57" s="60"/>
      <c r="AJ57" s="60"/>
      <c r="AK57" s="60"/>
      <c r="AL57" s="64"/>
      <c r="AM57" s="60"/>
      <c r="AN57" s="60"/>
      <c r="AO57" s="60"/>
      <c r="AP57" s="60"/>
      <c r="AQ57" s="60"/>
      <c r="AR57" s="66"/>
      <c r="AS57" s="66"/>
      <c r="AT57" s="60"/>
      <c r="AU57" s="60"/>
      <c r="AV57" s="60"/>
      <c r="AW57" s="60"/>
      <c r="AX57" s="60"/>
      <c r="AY57" s="60"/>
      <c r="AZ57" s="60"/>
      <c r="BA57" s="60"/>
      <c r="BB57" s="60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60"/>
      <c r="CF57" s="60"/>
      <c r="CG57" s="60"/>
      <c r="CH57" s="60"/>
      <c r="CI57" s="60"/>
      <c r="CJ57" s="60"/>
      <c r="CK57" s="60"/>
      <c r="CL57" s="60"/>
      <c r="CM57" s="60"/>
      <c r="CN57" s="69" t="str">
        <f t="shared" si="295"/>
        <v>InitUnitState('E205',,,150,,5250,,105,,,)</v>
      </c>
      <c r="CO57" s="69" t="str">
        <f t="shared" si="296"/>
        <v>InitUnitNormal('E205',,,,,,,,,,)</v>
      </c>
      <c r="CP57" s="69" t="str">
        <f t="shared" si="297"/>
        <v>InitUnitMagic('E205',,,,,,,,,,)</v>
      </c>
      <c r="CQ57" s="69" t="str">
        <f t="shared" si="298"/>
        <v>InitUnitAdd('E205',,,,,,,,,,)</v>
      </c>
      <c r="CR57" s="69" t="str">
        <f t="shared" si="442"/>
        <v>InitEquipData('E205',,"",,E206,2000,100,'','','','','','',"ReplaceableTextures\\CommandButtons\\BTNZ13.blp")</v>
      </c>
      <c r="CS57" s="69"/>
      <c r="CT57" s="69"/>
      <c r="CU57" s="71" t="str">
        <f t="shared" si="78"/>
        <v>|n护甲+150|n生命值+5250|n生命回复+105|n</v>
      </c>
      <c r="CV57" s="5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|Cffbbbbbb属性：|r|n护甲+150|n生命值+5250|n生命回复+105|n|n|Cff00ff7f点击消耗2000金币进行晋阶挑战</v>
      </c>
      <c r="DB57" s="43" t="str">
        <f t="shared" ref="DB57" si="513">IF(V57="","","|n"&amp;DB$2&amp;"+"&amp;V57&amp;DB$1)</f>
        <v/>
      </c>
      <c r="DC57" s="43" t="str">
        <f t="shared" ref="DC57" si="514">IF(W57="","","|n"&amp;DC$2&amp;"+"&amp;W57&amp;DC$1)</f>
        <v/>
      </c>
      <c r="DD57" s="43" t="str">
        <f t="shared" ref="DD57" si="515">IF(X57="","","|n"&amp;DD$2&amp;"+"&amp;X57&amp;DD$1)</f>
        <v>|n护甲+150</v>
      </c>
      <c r="DE57" s="43" t="str">
        <f t="shared" ref="DE57" si="516">IF(Y57="","","|n"&amp;DE$2&amp;"+"&amp;Y57&amp;DE$1)</f>
        <v/>
      </c>
      <c r="DF57" s="43" t="str">
        <f t="shared" ref="DF57" si="517">IF(Z57="","","|n"&amp;DF$2&amp;"+"&amp;Z57&amp;DF$1)</f>
        <v>|n生命值+5250</v>
      </c>
      <c r="DG57" s="43" t="str">
        <f t="shared" ref="DG57" si="518">IF(AA57="","","|n"&amp;DG$2&amp;"+"&amp;AA57&amp;DG$1)</f>
        <v/>
      </c>
      <c r="DH57" s="43" t="str">
        <f t="shared" ref="DH57" si="519">IF(AB57="","","|n"&amp;DH$2&amp;"+"&amp;AB57&amp;DH$1)</f>
        <v>|n生命回复+105</v>
      </c>
      <c r="DI57" s="43" t="str">
        <f t="shared" ref="DI57" si="520">IF(AC57="","","|n"&amp;DI$2&amp;"+"&amp;AC57&amp;DI$1)</f>
        <v/>
      </c>
      <c r="DJ57" s="43" t="str">
        <f t="shared" ref="DJ57" si="521">IF(AD57="","","|n"&amp;DJ$2&amp;"+"&amp;AD57&amp;DJ$1)</f>
        <v/>
      </c>
      <c r="DK57" s="43" t="str">
        <f t="shared" ref="DK57" si="522">IF(AE57="","","|n"&amp;DK$2&amp;"+"&amp;AE57&amp;DK$1)</f>
        <v/>
      </c>
      <c r="DL57" s="43" t="str">
        <f t="shared" ref="DL57" si="523">IF(AF57="","","|n"&amp;DL$2&amp;"+"&amp;AF57&amp;DL$1)</f>
        <v/>
      </c>
      <c r="DM57" s="43" t="str">
        <f t="shared" ref="DM57" si="524">IF(AG57="","","|n"&amp;DM$2&amp;"+"&amp;AG57&amp;DM$1)</f>
        <v/>
      </c>
      <c r="DN57" s="43" t="str">
        <f t="shared" ref="DN57" si="525">IF(AH57="","","|n"&amp;DN$2&amp;"+"&amp;AH57&amp;DN$1)</f>
        <v/>
      </c>
      <c r="DO57" s="43" t="str">
        <f t="shared" ref="DO57" si="526">IF(AI57="","","|n"&amp;DO$2&amp;"+"&amp;AI57&amp;DO$1)</f>
        <v/>
      </c>
      <c r="DP57" s="43" t="str">
        <f t="shared" ref="DP57" si="527">IF(AJ57="","","|n"&amp;DP$2&amp;"+"&amp;AJ57&amp;DP$1)</f>
        <v/>
      </c>
      <c r="DQ57" s="43" t="str">
        <f t="shared" ref="DQ57" si="528">IF(AK57="","","|n"&amp;DQ$2&amp;"+"&amp;AK57&amp;DQ$1)</f>
        <v/>
      </c>
      <c r="DR57" s="43" t="str">
        <f t="shared" ref="DR57" si="529">IF(AL57="","","|n"&amp;DR$2&amp;"+"&amp;AL57&amp;DR$1)</f>
        <v/>
      </c>
      <c r="DS57" s="43" t="str">
        <f t="shared" ref="DS57" si="530">IF(AM57="","","|n"&amp;DS$2&amp;"+"&amp;AM57&amp;DS$1)</f>
        <v/>
      </c>
      <c r="DT57" s="43" t="str">
        <f t="shared" ref="DT57" si="531">IF(AN57="","","|n"&amp;DT$2&amp;"+"&amp;AN57&amp;DT$1)</f>
        <v/>
      </c>
      <c r="DU57" s="43" t="str">
        <f t="shared" ref="DU57" si="532">IF(AO57="","","|n"&amp;DU$2&amp;"+"&amp;AO57&amp;DU$1)</f>
        <v/>
      </c>
      <c r="DV57" s="43" t="str">
        <f t="shared" ref="DV57" si="533">IF(AP57="","","|n"&amp;DV$2&amp;"+"&amp;AP57&amp;DV$1)</f>
        <v/>
      </c>
      <c r="DW57" s="43" t="str">
        <f t="shared" ref="DW57" si="534">IF(AQ57="","","|n"&amp;DW$2&amp;"+"&amp;AQ57&amp;DW$1)</f>
        <v/>
      </c>
      <c r="DX57" s="43" t="str">
        <f t="shared" ref="DX57" si="535">IF(AR57="","","|n"&amp;DX$2&amp;"+"&amp;AR57&amp;DX$1)</f>
        <v/>
      </c>
      <c r="DY57" s="43" t="str">
        <f t="shared" ref="DY57" si="536">IF(AS57="","","|n"&amp;DY$2&amp;"+"&amp;AS57&amp;DY$1)</f>
        <v/>
      </c>
      <c r="DZ57" s="43" t="str">
        <f t="shared" ref="DZ57" si="537">IF(AT57="","","|n"&amp;DZ$2&amp;"+"&amp;AT57&amp;DZ$1)</f>
        <v/>
      </c>
      <c r="EA57" s="43" t="str">
        <f t="shared" ref="EA57" si="538">IF(AU57="","","|n"&amp;EA$2&amp;"+"&amp;AU57&amp;EA$1)</f>
        <v/>
      </c>
      <c r="EB57" s="43" t="str">
        <f t="shared" ref="EB57" si="539">IF(AV57="","","|n"&amp;EB$2&amp;"+"&amp;AV57&amp;EB$1)</f>
        <v/>
      </c>
      <c r="EC57" s="43" t="str">
        <f t="shared" ref="EC57" si="540">IF(AW57="","","|n"&amp;EC$2&amp;"+"&amp;AW57&amp;EC$1)</f>
        <v/>
      </c>
      <c r="ED57" s="43" t="str">
        <f t="shared" ref="ED57" si="541">IF(AX57="","","|n"&amp;ED$2&amp;"+"&amp;AX57&amp;ED$1)</f>
        <v/>
      </c>
      <c r="EE57" s="43" t="str">
        <f t="shared" ref="EE57" si="542">IF(AY57="","","|n"&amp;EE$2&amp;"+"&amp;AY57&amp;EE$1)</f>
        <v/>
      </c>
      <c r="EF57" s="43" t="str">
        <f t="shared" ref="EF57" si="543">IF(AZ57="","","|n"&amp;EF$2&amp;"+"&amp;AZ57&amp;EF$1)</f>
        <v/>
      </c>
      <c r="EG57" s="43" t="str">
        <f t="shared" ref="EG57" si="544">IF(BA57="","","|n"&amp;EG$2&amp;"+"&amp;BA57&amp;EG$1)</f>
        <v/>
      </c>
      <c r="EH57" s="43" t="str">
        <f t="shared" ref="EH57" si="545">IF(BB57="","","|n"&amp;EH$2&amp;"+"&amp;BB57&amp;EH$1)</f>
        <v/>
      </c>
      <c r="EI57" s="43" t="str">
        <f t="shared" ref="EI57" si="546">IF(BC57="","","|n"&amp;EI$2&amp;"+"&amp;BC57&amp;EI$1)</f>
        <v/>
      </c>
      <c r="EJ57" s="43" t="str">
        <f t="shared" ref="EJ57" si="547">IF(BD57="","","|n"&amp;EJ$2&amp;"+"&amp;BD57&amp;EJ$1)</f>
        <v/>
      </c>
      <c r="EK57" s="43" t="str">
        <f t="shared" ref="EK57" si="548">IF(BE57="","","|n"&amp;EK$2&amp;"+"&amp;BE57&amp;EK$1)</f>
        <v/>
      </c>
      <c r="EL57" s="43" t="str">
        <f t="shared" ref="EL57" si="549">IF(BF57="","","|n"&amp;EL$2&amp;"+"&amp;BF57&amp;EL$1)</f>
        <v/>
      </c>
      <c r="EM57" s="43" t="str">
        <f t="shared" ref="EM57" si="550">IF(BG57="","","|n"&amp;EM$2&amp;"+"&amp;BG57&amp;EM$1)</f>
        <v/>
      </c>
      <c r="EN57" s="43" t="str">
        <f t="shared" ref="EN57" si="551">IF(BH57="","","|n"&amp;EN$2&amp;"+"&amp;BH57&amp;EN$1)</f>
        <v/>
      </c>
      <c r="EO57" s="43" t="str">
        <f t="shared" ref="EO57" si="552">IF(BI57="","","|n"&amp;EO$2&amp;"+"&amp;BI57&amp;EO$1)</f>
        <v/>
      </c>
      <c r="EP57" s="43" t="str">
        <f t="shared" ref="EP57" si="553">IF(BJ57="","","|n"&amp;EP$2&amp;"+"&amp;BJ57&amp;EP$1)</f>
        <v/>
      </c>
      <c r="EQ57" s="43" t="str">
        <f t="shared" ref="EQ57" si="554">IF(BK57="","","|n"&amp;EQ$2&amp;"+"&amp;BK57&amp;EQ$1)</f>
        <v/>
      </c>
      <c r="ER57" s="43" t="str">
        <f t="shared" ref="ER57" si="555">IF(BL57="","","|n"&amp;ER$2&amp;"+"&amp;BL57&amp;ER$1)</f>
        <v/>
      </c>
      <c r="ES57" s="43" t="str">
        <f t="shared" ref="ES57" si="556">IF(BM57="","","|n"&amp;ES$2&amp;"+"&amp;BM57&amp;ES$1)</f>
        <v/>
      </c>
      <c r="ET57" s="43" t="str">
        <f t="shared" ref="ET57" si="557">IF(BN57="","","|n"&amp;ET$2&amp;"+"&amp;BN57&amp;ET$1)</f>
        <v/>
      </c>
      <c r="EU57" s="43" t="str">
        <f t="shared" ref="EU57" si="558">IF(BO57="","","|n"&amp;EU$2&amp;"+"&amp;BO57&amp;EU$1)</f>
        <v/>
      </c>
      <c r="EV57" s="43" t="str">
        <f t="shared" ref="EV57" si="559">IF(BP57="","","|n"&amp;EV$2&amp;"+"&amp;BP57&amp;EV$1)</f>
        <v/>
      </c>
      <c r="EW57" s="43" t="str">
        <f t="shared" ref="EW57" si="560">IF(BQ57="","","|n"&amp;EW$2&amp;"+"&amp;BQ57&amp;EW$1)</f>
        <v/>
      </c>
      <c r="EX57" s="43" t="str">
        <f t="shared" ref="EX57" si="561">IF(BR57="","","|n"&amp;EX$2&amp;"+"&amp;BR57&amp;EX$1)</f>
        <v/>
      </c>
      <c r="EY57" s="43" t="str">
        <f t="shared" ref="EY57" si="562">IF(BS57="","","|n"&amp;EY$2&amp;"+"&amp;BS57&amp;EY$1)</f>
        <v/>
      </c>
      <c r="EZ57" s="43" t="str">
        <f t="shared" ref="EZ57" si="563">IF(BT57="","","|n"&amp;EZ$2&amp;"+"&amp;BT57&amp;EZ$1)</f>
        <v/>
      </c>
      <c r="FA57" s="43" t="str">
        <f t="shared" ref="FA57" si="564">IF(BU57="","","|n"&amp;FA$2&amp;"+"&amp;BU57&amp;FA$1)</f>
        <v/>
      </c>
      <c r="FB57" s="43" t="str">
        <f t="shared" ref="FB57" si="565">IF(BV57="","","|n"&amp;FB$2&amp;"+"&amp;BV57&amp;FB$1)</f>
        <v/>
      </c>
      <c r="FC57" s="43" t="str">
        <f t="shared" ref="FC57" si="566">IF(BW57="","","|n"&amp;FC$2&amp;"+"&amp;BW57&amp;FC$1)</f>
        <v/>
      </c>
      <c r="FD57" s="43" t="str">
        <f t="shared" ref="FD57" si="567">IF(BX57="","","|n"&amp;FD$2&amp;"+"&amp;BX57&amp;FD$1)</f>
        <v/>
      </c>
      <c r="FE57" s="43" t="str">
        <f t="shared" ref="FE57" si="568">IF(BY57="","","|n"&amp;FE$2&amp;"+"&amp;BY57&amp;FE$1)</f>
        <v/>
      </c>
      <c r="FF57" s="43" t="str">
        <f t="shared" ref="FF57" si="569">IF(BZ57="","","|n"&amp;FF$2&amp;"+"&amp;BZ57&amp;FF$1)</f>
        <v/>
      </c>
      <c r="FG57" s="43" t="str">
        <f t="shared" ref="FG57" si="570">IF(CA57="","","|n"&amp;FG$2&amp;"+"&amp;CA57&amp;FG$1)</f>
        <v/>
      </c>
      <c r="FH57" s="43" t="str">
        <f t="shared" ref="FH57" si="571">IF(CB57="","","|n"&amp;FH$2&amp;"+"&amp;CB57&amp;FH$1)</f>
        <v/>
      </c>
      <c r="FI57" s="43" t="str">
        <f t="shared" ref="FI57" si="572">IF(CC57="","","|n"&amp;FI$2&amp;"+"&amp;CC57&amp;FI$1)</f>
        <v/>
      </c>
      <c r="FJ57" s="43" t="str">
        <f t="shared" ref="FJ57" si="573">IF(CD57="","","|n"&amp;FJ$2&amp;"+"&amp;CD57&amp;FJ$1)</f>
        <v/>
      </c>
      <c r="FK57" s="43" t="str">
        <f t="shared" ref="FK57" si="574">IF(CE57="","","|n"&amp;FK$2&amp;"+"&amp;CE57&amp;FK$1)</f>
        <v/>
      </c>
      <c r="FL57" s="43" t="str">
        <f t="shared" ref="FL57" si="575">IF(CF57="","","|n"&amp;FL$2&amp;"+"&amp;CF57&amp;FL$1)</f>
        <v/>
      </c>
      <c r="FM57" s="43" t="str">
        <f t="shared" ref="FM57" si="576">IF(CG57="","","|n"&amp;FM$2&amp;"+"&amp;CG57&amp;FM$1)</f>
        <v/>
      </c>
      <c r="FN57" s="43" t="str">
        <f t="shared" ref="FN57" si="577">IF(CH57="","","|n"&amp;FN$2&amp;"+"&amp;CH57&amp;FN$1)</f>
        <v/>
      </c>
      <c r="FO57" s="43" t="str">
        <f t="shared" ref="FO57" si="578">IF(CI57="","","|n"&amp;FO$2&amp;"+"&amp;CI57&amp;FO$1)</f>
        <v/>
      </c>
      <c r="FP57" s="43" t="str">
        <f t="shared" ref="FP57" si="579">IF(CJ57="","","|n"&amp;FP$2&amp;"+"&amp;CJ57&amp;FP$1)</f>
        <v/>
      </c>
      <c r="FQ57" s="43" t="str">
        <f t="shared" ref="FQ57" si="580">IF(CK57="","","|n"&amp;FQ$2&amp;"+"&amp;CK57&amp;FQ$1)</f>
        <v/>
      </c>
      <c r="FR57" s="43" t="str">
        <f t="shared" ref="FR57" si="581">IF(CL57="","","|n"&amp;FR$2&amp;"+"&amp;CL57&amp;FR$1)</f>
        <v/>
      </c>
      <c r="FS57" s="43" t="str">
        <f t="shared" ref="FS57" si="582">IF(CM57="","","|n"&amp;FS$2&amp;"+"&amp;CM57&amp;FS$1)</f>
        <v/>
      </c>
    </row>
    <row r="58" s="6" customFormat="1" ht="15" spans="1:175">
      <c r="A58" s="10"/>
      <c r="B58" s="45" t="s">
        <v>293</v>
      </c>
      <c r="C58" s="10" t="s">
        <v>294</v>
      </c>
      <c r="D58" s="46"/>
      <c r="E58" s="47"/>
      <c r="F58" s="48">
        <v>1000</v>
      </c>
      <c r="G58" s="49">
        <v>90</v>
      </c>
      <c r="H58" s="49"/>
      <c r="I58" s="49" t="str">
        <f t="shared" si="441"/>
        <v>E207</v>
      </c>
      <c r="J58" s="49"/>
      <c r="K58" s="49"/>
      <c r="L58" s="49"/>
      <c r="M58" s="49"/>
      <c r="N58" s="49"/>
      <c r="O58" s="49"/>
      <c r="P58" s="53"/>
      <c r="Q58" s="53"/>
      <c r="R58" s="53"/>
      <c r="S58" s="53"/>
      <c r="T58" s="58"/>
      <c r="U58" s="59" t="s">
        <v>295</v>
      </c>
      <c r="V58" s="60"/>
      <c r="W58" s="60"/>
      <c r="X58" s="60">
        <v>200</v>
      </c>
      <c r="Y58" s="60"/>
      <c r="Z58" s="60">
        <v>7500</v>
      </c>
      <c r="AA58" s="60"/>
      <c r="AB58" s="60">
        <f t="shared" si="294"/>
        <v>150</v>
      </c>
      <c r="AC58" s="60"/>
      <c r="AD58" s="60"/>
      <c r="AE58" s="60"/>
      <c r="AF58" s="60"/>
      <c r="AG58" s="64"/>
      <c r="AH58" s="60"/>
      <c r="AI58" s="60"/>
      <c r="AJ58" s="60"/>
      <c r="AK58" s="60"/>
      <c r="AL58" s="64"/>
      <c r="AM58" s="60"/>
      <c r="AN58" s="60"/>
      <c r="AO58" s="60"/>
      <c r="AP58" s="60"/>
      <c r="AQ58" s="60"/>
      <c r="AR58" s="66"/>
      <c r="AS58" s="66"/>
      <c r="AT58" s="60"/>
      <c r="AU58" s="60"/>
      <c r="AV58" s="60"/>
      <c r="AW58" s="60">
        <v>1</v>
      </c>
      <c r="AX58" s="60"/>
      <c r="AY58" s="60"/>
      <c r="AZ58" s="60"/>
      <c r="BA58" s="60"/>
      <c r="BB58" s="60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60"/>
      <c r="CF58" s="60"/>
      <c r="CG58" s="60"/>
      <c r="CH58" s="60"/>
      <c r="CI58" s="60"/>
      <c r="CJ58" s="60"/>
      <c r="CK58" s="60"/>
      <c r="CL58" s="60"/>
      <c r="CM58" s="60"/>
      <c r="CN58" s="69" t="str">
        <f t="shared" si="295"/>
        <v>InitUnitState('E206',,,200,,7500,,150,,,)</v>
      </c>
      <c r="CO58" s="69" t="str">
        <f t="shared" si="296"/>
        <v>InitUnitNormal('E206',,,,,,,,,,)</v>
      </c>
      <c r="CP58" s="69" t="str">
        <f t="shared" si="297"/>
        <v>InitUnitMagic('E206',,,,,,,,1,,)</v>
      </c>
      <c r="CQ58" s="69" t="str">
        <f t="shared" si="298"/>
        <v>InitUnitAdd('E206',,,,,,,,,,)</v>
      </c>
      <c r="CR58" s="69" t="str">
        <f t="shared" si="442"/>
        <v>InitEquipData('E206',,"",,E207,1000,90,'','','','','','',"ReplaceableTextures\\CommandButtons\\BTNZ13.blp")</v>
      </c>
      <c r="CS58" s="69"/>
      <c r="CT58" s="69"/>
      <c r="CU58" s="71" t="str">
        <f t="shared" si="78"/>
        <v>|n护甲+200|n生命值+7500|n生命回复+150|n生命恢复%+1|n</v>
      </c>
      <c r="CV58" s="5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|Cffbbbbbb属性：|r|n护甲+200|n生命值+7500|n生命回复+150|n生命恢复%+1|n|n|Cff00ff7f点击消耗1000金币进行强化|n成功率90%</v>
      </c>
      <c r="DB58" s="43" t="str">
        <f t="shared" ref="DB58:DB62" si="583">IF(V58="","","|n"&amp;DB$2&amp;"+"&amp;V58&amp;DB$1)</f>
        <v/>
      </c>
      <c r="DC58" s="43" t="str">
        <f t="shared" ref="DC58:DC62" si="584">IF(W58="","","|n"&amp;DC$2&amp;"+"&amp;W58&amp;DC$1)</f>
        <v/>
      </c>
      <c r="DD58" s="43" t="str">
        <f t="shared" ref="DD58:DD62" si="585">IF(X58="","","|n"&amp;DD$2&amp;"+"&amp;X58&amp;DD$1)</f>
        <v>|n护甲+200</v>
      </c>
      <c r="DE58" s="43" t="str">
        <f t="shared" ref="DE58:DE62" si="586">IF(Y58="","","|n"&amp;DE$2&amp;"+"&amp;Y58&amp;DE$1)</f>
        <v/>
      </c>
      <c r="DF58" s="43" t="str">
        <f t="shared" ref="DF58:DF62" si="587">IF(Z58="","","|n"&amp;DF$2&amp;"+"&amp;Z58&amp;DF$1)</f>
        <v>|n生命值+7500</v>
      </c>
      <c r="DG58" s="43" t="str">
        <f t="shared" ref="DG58:DG62" si="588">IF(AA58="","","|n"&amp;DG$2&amp;"+"&amp;AA58&amp;DG$1)</f>
        <v/>
      </c>
      <c r="DH58" s="43" t="str">
        <f t="shared" ref="DH58:DH62" si="589">IF(AB58="","","|n"&amp;DH$2&amp;"+"&amp;AB58&amp;DH$1)</f>
        <v>|n生命回复+150</v>
      </c>
      <c r="DI58" s="43" t="str">
        <f t="shared" ref="DI58:DI62" si="590">IF(AC58="","","|n"&amp;DI$2&amp;"+"&amp;AC58&amp;DI$1)</f>
        <v/>
      </c>
      <c r="DJ58" s="43" t="str">
        <f t="shared" ref="DJ58:DJ62" si="591">IF(AD58="","","|n"&amp;DJ$2&amp;"+"&amp;AD58&amp;DJ$1)</f>
        <v/>
      </c>
      <c r="DK58" s="43" t="str">
        <f t="shared" ref="DK58:DK62" si="592">IF(AE58="","","|n"&amp;DK$2&amp;"+"&amp;AE58&amp;DK$1)</f>
        <v/>
      </c>
      <c r="DL58" s="43" t="str">
        <f t="shared" ref="DL58:DL62" si="593">IF(AF58="","","|n"&amp;DL$2&amp;"+"&amp;AF58&amp;DL$1)</f>
        <v/>
      </c>
      <c r="DM58" s="43" t="str">
        <f t="shared" ref="DM58:DM62" si="594">IF(AG58="","","|n"&amp;DM$2&amp;"+"&amp;AG58&amp;DM$1)</f>
        <v/>
      </c>
      <c r="DN58" s="43" t="str">
        <f t="shared" ref="DN58:DN62" si="595">IF(AH58="","","|n"&amp;DN$2&amp;"+"&amp;AH58&amp;DN$1)</f>
        <v/>
      </c>
      <c r="DO58" s="43" t="str">
        <f t="shared" ref="DO58:DO62" si="596">IF(AI58="","","|n"&amp;DO$2&amp;"+"&amp;AI58&amp;DO$1)</f>
        <v/>
      </c>
      <c r="DP58" s="43" t="str">
        <f t="shared" ref="DP58:DP62" si="597">IF(AJ58="","","|n"&amp;DP$2&amp;"+"&amp;AJ58&amp;DP$1)</f>
        <v/>
      </c>
      <c r="DQ58" s="43" t="str">
        <f t="shared" ref="DQ58:DQ62" si="598">IF(AK58="","","|n"&amp;DQ$2&amp;"+"&amp;AK58&amp;DQ$1)</f>
        <v/>
      </c>
      <c r="DR58" s="43" t="str">
        <f t="shared" ref="DR58:DR62" si="599">IF(AL58="","","|n"&amp;DR$2&amp;"+"&amp;AL58&amp;DR$1)</f>
        <v/>
      </c>
      <c r="DS58" s="43" t="str">
        <f t="shared" ref="DS58:DS62" si="600">IF(AM58="","","|n"&amp;DS$2&amp;"+"&amp;AM58&amp;DS$1)</f>
        <v/>
      </c>
      <c r="DT58" s="43" t="str">
        <f t="shared" ref="DT58:DT62" si="601">IF(AN58="","","|n"&amp;DT$2&amp;"+"&amp;AN58&amp;DT$1)</f>
        <v/>
      </c>
      <c r="DU58" s="43" t="str">
        <f t="shared" ref="DU58:DU62" si="602">IF(AO58="","","|n"&amp;DU$2&amp;"+"&amp;AO58&amp;DU$1)</f>
        <v/>
      </c>
      <c r="DV58" s="43" t="str">
        <f t="shared" ref="DV58:DV62" si="603">IF(AP58="","","|n"&amp;DV$2&amp;"+"&amp;AP58&amp;DV$1)</f>
        <v/>
      </c>
      <c r="DW58" s="43" t="str">
        <f t="shared" ref="DW58:DW62" si="604">IF(AQ58="","","|n"&amp;DW$2&amp;"+"&amp;AQ58&amp;DW$1)</f>
        <v/>
      </c>
      <c r="DX58" s="43" t="str">
        <f t="shared" ref="DX58:DX62" si="605">IF(AR58="","","|n"&amp;DX$2&amp;"+"&amp;AR58&amp;DX$1)</f>
        <v/>
      </c>
      <c r="DY58" s="43" t="str">
        <f t="shared" ref="DY58:DY62" si="606">IF(AS58="","","|n"&amp;DY$2&amp;"+"&amp;AS58&amp;DY$1)</f>
        <v/>
      </c>
      <c r="DZ58" s="43" t="str">
        <f t="shared" ref="DZ58:DZ62" si="607">IF(AT58="","","|n"&amp;DZ$2&amp;"+"&amp;AT58&amp;DZ$1)</f>
        <v/>
      </c>
      <c r="EA58" s="43" t="str">
        <f t="shared" ref="EA58:EA62" si="608">IF(AU58="","","|n"&amp;EA$2&amp;"+"&amp;AU58&amp;EA$1)</f>
        <v/>
      </c>
      <c r="EB58" s="43" t="str">
        <f t="shared" ref="EB58:EB62" si="609">IF(AV58="","","|n"&amp;EB$2&amp;"+"&amp;AV58&amp;EB$1)</f>
        <v/>
      </c>
      <c r="EC58" s="43" t="str">
        <f t="shared" ref="EC58:EC62" si="610">IF(AW58="","","|n"&amp;EC$2&amp;"+"&amp;AW58&amp;EC$1)</f>
        <v>|n生命恢复%+1</v>
      </c>
      <c r="ED58" s="43" t="str">
        <f t="shared" ref="ED58:ED62" si="611">IF(AX58="","","|n"&amp;ED$2&amp;"+"&amp;AX58&amp;ED$1)</f>
        <v/>
      </c>
      <c r="EE58" s="43" t="str">
        <f t="shared" ref="EE58:EE62" si="612">IF(AY58="","","|n"&amp;EE$2&amp;"+"&amp;AY58&amp;EE$1)</f>
        <v/>
      </c>
      <c r="EF58" s="43" t="str">
        <f t="shared" ref="EF58:EF62" si="613">IF(AZ58="","","|n"&amp;EF$2&amp;"+"&amp;AZ58&amp;EF$1)</f>
        <v/>
      </c>
      <c r="EG58" s="43" t="str">
        <f t="shared" ref="EG58:EG62" si="614">IF(BA58="","","|n"&amp;EG$2&amp;"+"&amp;BA58&amp;EG$1)</f>
        <v/>
      </c>
      <c r="EH58" s="43" t="str">
        <f t="shared" ref="EH58:EH62" si="615">IF(BB58="","","|n"&amp;EH$2&amp;"+"&amp;BB58&amp;EH$1)</f>
        <v/>
      </c>
      <c r="EI58" s="43" t="str">
        <f t="shared" ref="EI58:EI62" si="616">IF(BC58="","","|n"&amp;EI$2&amp;"+"&amp;BC58&amp;EI$1)</f>
        <v/>
      </c>
      <c r="EJ58" s="43" t="str">
        <f t="shared" ref="EJ58:EJ62" si="617">IF(BD58="","","|n"&amp;EJ$2&amp;"+"&amp;BD58&amp;EJ$1)</f>
        <v/>
      </c>
      <c r="EK58" s="43" t="str">
        <f t="shared" ref="EK58:EK62" si="618">IF(BE58="","","|n"&amp;EK$2&amp;"+"&amp;BE58&amp;EK$1)</f>
        <v/>
      </c>
      <c r="EL58" s="43" t="str">
        <f t="shared" ref="EL58:EL62" si="619">IF(BF58="","","|n"&amp;EL$2&amp;"+"&amp;BF58&amp;EL$1)</f>
        <v/>
      </c>
      <c r="EM58" s="43" t="str">
        <f t="shared" ref="EM58:EM62" si="620">IF(BG58="","","|n"&amp;EM$2&amp;"+"&amp;BG58&amp;EM$1)</f>
        <v/>
      </c>
      <c r="EN58" s="43" t="str">
        <f t="shared" ref="EN58:EN62" si="621">IF(BH58="","","|n"&amp;EN$2&amp;"+"&amp;BH58&amp;EN$1)</f>
        <v/>
      </c>
      <c r="EO58" s="43" t="str">
        <f t="shared" ref="EO58:EO62" si="622">IF(BI58="","","|n"&amp;EO$2&amp;"+"&amp;BI58&amp;EO$1)</f>
        <v/>
      </c>
      <c r="EP58" s="43" t="str">
        <f t="shared" ref="EP58:EP62" si="623">IF(BJ58="","","|n"&amp;EP$2&amp;"+"&amp;BJ58&amp;EP$1)</f>
        <v/>
      </c>
      <c r="EQ58" s="43" t="str">
        <f t="shared" ref="EQ58:EQ62" si="624">IF(BK58="","","|n"&amp;EQ$2&amp;"+"&amp;BK58&amp;EQ$1)</f>
        <v/>
      </c>
      <c r="ER58" s="43" t="str">
        <f t="shared" ref="ER58:ER62" si="625">IF(BL58="","","|n"&amp;ER$2&amp;"+"&amp;BL58&amp;ER$1)</f>
        <v/>
      </c>
      <c r="ES58" s="43" t="str">
        <f t="shared" ref="ES58:ES62" si="626">IF(BM58="","","|n"&amp;ES$2&amp;"+"&amp;BM58&amp;ES$1)</f>
        <v/>
      </c>
      <c r="ET58" s="43" t="str">
        <f t="shared" ref="ET58:ET62" si="627">IF(BN58="","","|n"&amp;ET$2&amp;"+"&amp;BN58&amp;ET$1)</f>
        <v/>
      </c>
      <c r="EU58" s="43" t="str">
        <f t="shared" ref="EU58:EU62" si="628">IF(BO58="","","|n"&amp;EU$2&amp;"+"&amp;BO58&amp;EU$1)</f>
        <v/>
      </c>
      <c r="EV58" s="43" t="str">
        <f t="shared" ref="EV58:EV62" si="629">IF(BP58="","","|n"&amp;EV$2&amp;"+"&amp;BP58&amp;EV$1)</f>
        <v/>
      </c>
      <c r="EW58" s="43" t="str">
        <f t="shared" ref="EW58:EW62" si="630">IF(BQ58="","","|n"&amp;EW$2&amp;"+"&amp;BQ58&amp;EW$1)</f>
        <v/>
      </c>
      <c r="EX58" s="43" t="str">
        <f t="shared" ref="EX58:EX62" si="631">IF(BR58="","","|n"&amp;EX$2&amp;"+"&amp;BR58&amp;EX$1)</f>
        <v/>
      </c>
      <c r="EY58" s="43" t="str">
        <f t="shared" ref="EY58:EY62" si="632">IF(BS58="","","|n"&amp;EY$2&amp;"+"&amp;BS58&amp;EY$1)</f>
        <v/>
      </c>
      <c r="EZ58" s="43" t="str">
        <f t="shared" ref="EZ58:EZ62" si="633">IF(BT58="","","|n"&amp;EZ$2&amp;"+"&amp;BT58&amp;EZ$1)</f>
        <v/>
      </c>
      <c r="FA58" s="43" t="str">
        <f t="shared" ref="FA58:FA62" si="634">IF(BU58="","","|n"&amp;FA$2&amp;"+"&amp;BU58&amp;FA$1)</f>
        <v/>
      </c>
      <c r="FB58" s="43" t="str">
        <f t="shared" ref="FB58:FB62" si="635">IF(BV58="","","|n"&amp;FB$2&amp;"+"&amp;BV58&amp;FB$1)</f>
        <v/>
      </c>
      <c r="FC58" s="43" t="str">
        <f t="shared" ref="FC58:FC62" si="636">IF(BW58="","","|n"&amp;FC$2&amp;"+"&amp;BW58&amp;FC$1)</f>
        <v/>
      </c>
      <c r="FD58" s="43" t="str">
        <f t="shared" ref="FD58:FD62" si="637">IF(BX58="","","|n"&amp;FD$2&amp;"+"&amp;BX58&amp;FD$1)</f>
        <v/>
      </c>
      <c r="FE58" s="43" t="str">
        <f t="shared" ref="FE58:FE62" si="638">IF(BY58="","","|n"&amp;FE$2&amp;"+"&amp;BY58&amp;FE$1)</f>
        <v/>
      </c>
      <c r="FF58" s="43" t="str">
        <f t="shared" ref="FF58:FF62" si="639">IF(BZ58="","","|n"&amp;FF$2&amp;"+"&amp;BZ58&amp;FF$1)</f>
        <v/>
      </c>
      <c r="FG58" s="43" t="str">
        <f t="shared" ref="FG58:FG62" si="640">IF(CA58="","","|n"&amp;FG$2&amp;"+"&amp;CA58&amp;FG$1)</f>
        <v/>
      </c>
      <c r="FH58" s="43" t="str">
        <f t="shared" ref="FH58:FH62" si="641">IF(CB58="","","|n"&amp;FH$2&amp;"+"&amp;CB58&amp;FH$1)</f>
        <v/>
      </c>
      <c r="FI58" s="43" t="str">
        <f t="shared" ref="FI58:FI62" si="642">IF(CC58="","","|n"&amp;FI$2&amp;"+"&amp;CC58&amp;FI$1)</f>
        <v/>
      </c>
      <c r="FJ58" s="43" t="str">
        <f t="shared" ref="FJ58:FJ62" si="643">IF(CD58="","","|n"&amp;FJ$2&amp;"+"&amp;CD58&amp;FJ$1)</f>
        <v/>
      </c>
      <c r="FK58" s="43" t="str">
        <f t="shared" ref="FK58:FK62" si="644">IF(CE58="","","|n"&amp;FK$2&amp;"+"&amp;CE58&amp;FK$1)</f>
        <v/>
      </c>
      <c r="FL58" s="43" t="str">
        <f t="shared" ref="FL58:FL62" si="645">IF(CF58="","","|n"&amp;FL$2&amp;"+"&amp;CF58&amp;FL$1)</f>
        <v/>
      </c>
      <c r="FM58" s="43" t="str">
        <f t="shared" ref="FM58:FM62" si="646">IF(CG58="","","|n"&amp;FM$2&amp;"+"&amp;CG58&amp;FM$1)</f>
        <v/>
      </c>
      <c r="FN58" s="43" t="str">
        <f t="shared" ref="FN58:FN62" si="647">IF(CH58="","","|n"&amp;FN$2&amp;"+"&amp;CH58&amp;FN$1)</f>
        <v/>
      </c>
      <c r="FO58" s="43" t="str">
        <f t="shared" ref="FO58:FO62" si="648">IF(CI58="","","|n"&amp;FO$2&amp;"+"&amp;CI58&amp;FO$1)</f>
        <v/>
      </c>
      <c r="FP58" s="43" t="str">
        <f t="shared" ref="FP58:FP62" si="649">IF(CJ58="","","|n"&amp;FP$2&amp;"+"&amp;CJ58&amp;FP$1)</f>
        <v/>
      </c>
      <c r="FQ58" s="43" t="str">
        <f t="shared" ref="FQ58:FQ62" si="650">IF(CK58="","","|n"&amp;FQ$2&amp;"+"&amp;CK58&amp;FQ$1)</f>
        <v/>
      </c>
      <c r="FR58" s="43" t="str">
        <f t="shared" ref="FR58:FR62" si="651">IF(CL58="","","|n"&amp;FR$2&amp;"+"&amp;CL58&amp;FR$1)</f>
        <v/>
      </c>
      <c r="FS58" s="43" t="str">
        <f t="shared" ref="FS58:FS62" si="652">IF(CM58="","","|n"&amp;FS$2&amp;"+"&amp;CM58&amp;FS$1)</f>
        <v/>
      </c>
    </row>
    <row r="59" s="6" customFormat="1" ht="15" spans="1:175">
      <c r="A59" s="10"/>
      <c r="B59" s="45" t="s">
        <v>296</v>
      </c>
      <c r="C59" s="10" t="s">
        <v>297</v>
      </c>
      <c r="D59" s="46"/>
      <c r="E59" s="47"/>
      <c r="F59" s="48">
        <v>1000</v>
      </c>
      <c r="G59" s="49">
        <v>90</v>
      </c>
      <c r="H59" s="49"/>
      <c r="I59" s="49" t="str">
        <f t="shared" si="441"/>
        <v>E208</v>
      </c>
      <c r="J59" s="49"/>
      <c r="K59" s="49"/>
      <c r="L59" s="49"/>
      <c r="M59" s="49"/>
      <c r="N59" s="49"/>
      <c r="O59" s="49"/>
      <c r="P59" s="53"/>
      <c r="Q59" s="53"/>
      <c r="R59" s="53"/>
      <c r="S59" s="53"/>
      <c r="T59" s="58"/>
      <c r="U59" s="59" t="s">
        <v>295</v>
      </c>
      <c r="V59" s="60"/>
      <c r="W59" s="60"/>
      <c r="X59" s="60">
        <v>260</v>
      </c>
      <c r="Y59" s="60"/>
      <c r="Z59" s="60">
        <v>12000</v>
      </c>
      <c r="AA59" s="60"/>
      <c r="AB59" s="60">
        <f t="shared" si="294"/>
        <v>240</v>
      </c>
      <c r="AC59" s="60"/>
      <c r="AD59" s="60"/>
      <c r="AE59" s="60"/>
      <c r="AF59" s="60"/>
      <c r="AG59" s="64"/>
      <c r="AH59" s="60"/>
      <c r="AI59" s="60"/>
      <c r="AJ59" s="60"/>
      <c r="AK59" s="60"/>
      <c r="AL59" s="64"/>
      <c r="AM59" s="60"/>
      <c r="AN59" s="60"/>
      <c r="AO59" s="60"/>
      <c r="AP59" s="60"/>
      <c r="AQ59" s="60"/>
      <c r="AR59" s="66"/>
      <c r="AS59" s="66"/>
      <c r="AT59" s="60"/>
      <c r="AU59" s="60"/>
      <c r="AV59" s="60"/>
      <c r="AW59" s="60">
        <v>1</v>
      </c>
      <c r="AX59" s="60"/>
      <c r="AY59" s="60"/>
      <c r="AZ59" s="60"/>
      <c r="BA59" s="60"/>
      <c r="BB59" s="60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60"/>
      <c r="CF59" s="60"/>
      <c r="CG59" s="60"/>
      <c r="CH59" s="60"/>
      <c r="CI59" s="60"/>
      <c r="CJ59" s="60"/>
      <c r="CK59" s="60"/>
      <c r="CL59" s="60"/>
      <c r="CM59" s="60"/>
      <c r="CN59" s="69" t="str">
        <f t="shared" si="295"/>
        <v>InitUnitState('E207',,,260,,12000,,240,,,)</v>
      </c>
      <c r="CO59" s="69" t="str">
        <f t="shared" si="296"/>
        <v>InitUnitNormal('E207',,,,,,,,,,)</v>
      </c>
      <c r="CP59" s="69" t="str">
        <f t="shared" si="297"/>
        <v>InitUnitMagic('E207',,,,,,,,1,,)</v>
      </c>
      <c r="CQ59" s="69" t="str">
        <f t="shared" si="298"/>
        <v>InitUnitAdd('E207',,,,,,,,,,)</v>
      </c>
      <c r="CR59" s="69" t="str">
        <f t="shared" si="442"/>
        <v>InitEquipData('E207',,"",,E208,1000,90,'','','','','','',"ReplaceableTextures\\CommandButtons\\BTNZ14.blp")</v>
      </c>
      <c r="CS59" s="69"/>
      <c r="CT59" s="69"/>
      <c r="CU59" s="71" t="str">
        <f t="shared" si="78"/>
        <v>|n护甲+260|n生命值+12000|n生命回复+240|n生命恢复%+1|n</v>
      </c>
      <c r="CV59" s="5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|Cffbbbbbb属性：|r|n护甲+260|n生命值+12000|n生命回复+240|n生命恢复%+1|n|n|Cff00ff7f点击消耗1000金币进行强化|n成功率90%</v>
      </c>
      <c r="DB59" s="43" t="str">
        <f t="shared" si="583"/>
        <v/>
      </c>
      <c r="DC59" s="43" t="str">
        <f t="shared" si="584"/>
        <v/>
      </c>
      <c r="DD59" s="43" t="str">
        <f t="shared" si="585"/>
        <v>|n护甲+260</v>
      </c>
      <c r="DE59" s="43" t="str">
        <f t="shared" si="586"/>
        <v/>
      </c>
      <c r="DF59" s="43" t="str">
        <f t="shared" si="587"/>
        <v>|n生命值+12000</v>
      </c>
      <c r="DG59" s="43" t="str">
        <f t="shared" si="588"/>
        <v/>
      </c>
      <c r="DH59" s="43" t="str">
        <f t="shared" si="589"/>
        <v>|n生命回复+240</v>
      </c>
      <c r="DI59" s="43" t="str">
        <f t="shared" si="590"/>
        <v/>
      </c>
      <c r="DJ59" s="43" t="str">
        <f t="shared" si="591"/>
        <v/>
      </c>
      <c r="DK59" s="43" t="str">
        <f t="shared" si="592"/>
        <v/>
      </c>
      <c r="DL59" s="43" t="str">
        <f t="shared" si="593"/>
        <v/>
      </c>
      <c r="DM59" s="43" t="str">
        <f t="shared" si="594"/>
        <v/>
      </c>
      <c r="DN59" s="43" t="str">
        <f t="shared" si="595"/>
        <v/>
      </c>
      <c r="DO59" s="43" t="str">
        <f t="shared" si="596"/>
        <v/>
      </c>
      <c r="DP59" s="43" t="str">
        <f t="shared" si="597"/>
        <v/>
      </c>
      <c r="DQ59" s="43" t="str">
        <f t="shared" si="598"/>
        <v/>
      </c>
      <c r="DR59" s="43" t="str">
        <f t="shared" si="599"/>
        <v/>
      </c>
      <c r="DS59" s="43" t="str">
        <f t="shared" si="600"/>
        <v/>
      </c>
      <c r="DT59" s="43" t="str">
        <f t="shared" si="601"/>
        <v/>
      </c>
      <c r="DU59" s="43" t="str">
        <f t="shared" si="602"/>
        <v/>
      </c>
      <c r="DV59" s="43" t="str">
        <f t="shared" si="603"/>
        <v/>
      </c>
      <c r="DW59" s="43" t="str">
        <f t="shared" si="604"/>
        <v/>
      </c>
      <c r="DX59" s="43" t="str">
        <f t="shared" si="605"/>
        <v/>
      </c>
      <c r="DY59" s="43" t="str">
        <f t="shared" si="606"/>
        <v/>
      </c>
      <c r="DZ59" s="43" t="str">
        <f t="shared" si="607"/>
        <v/>
      </c>
      <c r="EA59" s="43" t="str">
        <f t="shared" si="608"/>
        <v/>
      </c>
      <c r="EB59" s="43" t="str">
        <f t="shared" si="609"/>
        <v/>
      </c>
      <c r="EC59" s="43" t="str">
        <f t="shared" si="610"/>
        <v>|n生命恢复%+1</v>
      </c>
      <c r="ED59" s="43" t="str">
        <f t="shared" si="611"/>
        <v/>
      </c>
      <c r="EE59" s="43" t="str">
        <f t="shared" si="612"/>
        <v/>
      </c>
      <c r="EF59" s="43" t="str">
        <f t="shared" si="613"/>
        <v/>
      </c>
      <c r="EG59" s="43" t="str">
        <f t="shared" si="614"/>
        <v/>
      </c>
      <c r="EH59" s="43" t="str">
        <f t="shared" si="615"/>
        <v/>
      </c>
      <c r="EI59" s="43" t="str">
        <f t="shared" si="616"/>
        <v/>
      </c>
      <c r="EJ59" s="43" t="str">
        <f t="shared" si="617"/>
        <v/>
      </c>
      <c r="EK59" s="43" t="str">
        <f t="shared" si="618"/>
        <v/>
      </c>
      <c r="EL59" s="43" t="str">
        <f t="shared" si="619"/>
        <v/>
      </c>
      <c r="EM59" s="43" t="str">
        <f t="shared" si="620"/>
        <v/>
      </c>
      <c r="EN59" s="43" t="str">
        <f t="shared" si="621"/>
        <v/>
      </c>
      <c r="EO59" s="43" t="str">
        <f t="shared" si="622"/>
        <v/>
      </c>
      <c r="EP59" s="43" t="str">
        <f t="shared" si="623"/>
        <v/>
      </c>
      <c r="EQ59" s="43" t="str">
        <f t="shared" si="624"/>
        <v/>
      </c>
      <c r="ER59" s="43" t="str">
        <f t="shared" si="625"/>
        <v/>
      </c>
      <c r="ES59" s="43" t="str">
        <f t="shared" si="626"/>
        <v/>
      </c>
      <c r="ET59" s="43" t="str">
        <f t="shared" si="627"/>
        <v/>
      </c>
      <c r="EU59" s="43" t="str">
        <f t="shared" si="628"/>
        <v/>
      </c>
      <c r="EV59" s="43" t="str">
        <f t="shared" si="629"/>
        <v/>
      </c>
      <c r="EW59" s="43" t="str">
        <f t="shared" si="630"/>
        <v/>
      </c>
      <c r="EX59" s="43" t="str">
        <f t="shared" si="631"/>
        <v/>
      </c>
      <c r="EY59" s="43" t="str">
        <f t="shared" si="632"/>
        <v/>
      </c>
      <c r="EZ59" s="43" t="str">
        <f t="shared" si="633"/>
        <v/>
      </c>
      <c r="FA59" s="43" t="str">
        <f t="shared" si="634"/>
        <v/>
      </c>
      <c r="FB59" s="43" t="str">
        <f t="shared" si="635"/>
        <v/>
      </c>
      <c r="FC59" s="43" t="str">
        <f t="shared" si="636"/>
        <v/>
      </c>
      <c r="FD59" s="43" t="str">
        <f t="shared" si="637"/>
        <v/>
      </c>
      <c r="FE59" s="43" t="str">
        <f t="shared" si="638"/>
        <v/>
      </c>
      <c r="FF59" s="43" t="str">
        <f t="shared" si="639"/>
        <v/>
      </c>
      <c r="FG59" s="43" t="str">
        <f t="shared" si="640"/>
        <v/>
      </c>
      <c r="FH59" s="43" t="str">
        <f t="shared" si="641"/>
        <v/>
      </c>
      <c r="FI59" s="43" t="str">
        <f t="shared" si="642"/>
        <v/>
      </c>
      <c r="FJ59" s="43" t="str">
        <f t="shared" si="643"/>
        <v/>
      </c>
      <c r="FK59" s="43" t="str">
        <f t="shared" si="644"/>
        <v/>
      </c>
      <c r="FL59" s="43" t="str">
        <f t="shared" si="645"/>
        <v/>
      </c>
      <c r="FM59" s="43" t="str">
        <f t="shared" si="646"/>
        <v/>
      </c>
      <c r="FN59" s="43" t="str">
        <f t="shared" si="647"/>
        <v/>
      </c>
      <c r="FO59" s="43" t="str">
        <f t="shared" si="648"/>
        <v/>
      </c>
      <c r="FP59" s="43" t="str">
        <f t="shared" si="649"/>
        <v/>
      </c>
      <c r="FQ59" s="43" t="str">
        <f t="shared" si="650"/>
        <v/>
      </c>
      <c r="FR59" s="43" t="str">
        <f t="shared" si="651"/>
        <v/>
      </c>
      <c r="FS59" s="43" t="str">
        <f t="shared" si="652"/>
        <v/>
      </c>
    </row>
    <row r="60" s="6" customFormat="1" ht="15" spans="1:175">
      <c r="A60" s="10"/>
      <c r="B60" s="45" t="s">
        <v>298</v>
      </c>
      <c r="C60" s="10" t="s">
        <v>299</v>
      </c>
      <c r="D60" s="46"/>
      <c r="E60" s="47"/>
      <c r="F60" s="48">
        <v>1000</v>
      </c>
      <c r="G60" s="49">
        <v>90</v>
      </c>
      <c r="H60" s="49"/>
      <c r="I60" s="49" t="str">
        <f t="shared" si="441"/>
        <v>E209</v>
      </c>
      <c r="J60" s="49"/>
      <c r="K60" s="49"/>
      <c r="L60" s="49"/>
      <c r="M60" s="49"/>
      <c r="N60" s="49"/>
      <c r="O60" s="49"/>
      <c r="P60" s="53"/>
      <c r="Q60" s="53"/>
      <c r="R60" s="53"/>
      <c r="S60" s="53"/>
      <c r="T60" s="58"/>
      <c r="U60" s="59" t="s">
        <v>295</v>
      </c>
      <c r="V60" s="60"/>
      <c r="W60" s="60"/>
      <c r="X60" s="60">
        <v>320</v>
      </c>
      <c r="Y60" s="60"/>
      <c r="Z60" s="60">
        <v>16500</v>
      </c>
      <c r="AA60" s="60"/>
      <c r="AB60" s="60">
        <f t="shared" si="294"/>
        <v>330</v>
      </c>
      <c r="AC60" s="60"/>
      <c r="AD60" s="60"/>
      <c r="AE60" s="60"/>
      <c r="AF60" s="60"/>
      <c r="AG60" s="64"/>
      <c r="AH60" s="60"/>
      <c r="AI60" s="60"/>
      <c r="AJ60" s="60"/>
      <c r="AK60" s="60"/>
      <c r="AL60" s="64"/>
      <c r="AM60" s="60"/>
      <c r="AN60" s="60"/>
      <c r="AO60" s="60"/>
      <c r="AP60" s="60"/>
      <c r="AQ60" s="60"/>
      <c r="AR60" s="66"/>
      <c r="AS60" s="66"/>
      <c r="AT60" s="60"/>
      <c r="AU60" s="60"/>
      <c r="AV60" s="60"/>
      <c r="AW60" s="60">
        <v>1</v>
      </c>
      <c r="AX60" s="60"/>
      <c r="AY60" s="60"/>
      <c r="AZ60" s="60"/>
      <c r="BA60" s="60"/>
      <c r="BB60" s="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60"/>
      <c r="CF60" s="60"/>
      <c r="CG60" s="60"/>
      <c r="CH60" s="60"/>
      <c r="CI60" s="60"/>
      <c r="CJ60" s="60"/>
      <c r="CK60" s="60"/>
      <c r="CL60" s="60"/>
      <c r="CM60" s="60"/>
      <c r="CN60" s="69" t="str">
        <f t="shared" si="295"/>
        <v>InitUnitState('E208',,,320,,16500,,330,,,)</v>
      </c>
      <c r="CO60" s="69" t="str">
        <f t="shared" si="296"/>
        <v>InitUnitNormal('E208',,,,,,,,,,)</v>
      </c>
      <c r="CP60" s="69" t="str">
        <f t="shared" si="297"/>
        <v>InitUnitMagic('E208',,,,,,,,1,,)</v>
      </c>
      <c r="CQ60" s="69" t="str">
        <f t="shared" si="298"/>
        <v>InitUnitAdd('E208',,,,,,,,,,)</v>
      </c>
      <c r="CR60" s="69" t="str">
        <f t="shared" si="442"/>
        <v>InitEquipData('E208',,"",,E209,1000,90,'','','','','','',"ReplaceableTextures\\CommandButtons\\BTNZ14.blp")</v>
      </c>
      <c r="CS60" s="69"/>
      <c r="CT60" s="69"/>
      <c r="CU60" s="71" t="str">
        <f t="shared" si="78"/>
        <v>|n护甲+320|n生命值+16500|n生命回复+330|n生命恢复%+1|n</v>
      </c>
      <c r="CV60" s="5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|Cffbbbbbb属性：|r|n护甲+320|n生命值+16500|n生命回复+330|n生命恢复%+1|n|n|Cff00ff7f点击消耗1000金币进行强化|n成功率90%</v>
      </c>
      <c r="DB60" s="43" t="str">
        <f t="shared" si="583"/>
        <v/>
      </c>
      <c r="DC60" s="43" t="str">
        <f t="shared" si="584"/>
        <v/>
      </c>
      <c r="DD60" s="43" t="str">
        <f t="shared" si="585"/>
        <v>|n护甲+320</v>
      </c>
      <c r="DE60" s="43" t="str">
        <f t="shared" si="586"/>
        <v/>
      </c>
      <c r="DF60" s="43" t="str">
        <f t="shared" si="587"/>
        <v>|n生命值+16500</v>
      </c>
      <c r="DG60" s="43" t="str">
        <f t="shared" si="588"/>
        <v/>
      </c>
      <c r="DH60" s="43" t="str">
        <f t="shared" si="589"/>
        <v>|n生命回复+330</v>
      </c>
      <c r="DI60" s="43" t="str">
        <f t="shared" si="590"/>
        <v/>
      </c>
      <c r="DJ60" s="43" t="str">
        <f t="shared" si="591"/>
        <v/>
      </c>
      <c r="DK60" s="43" t="str">
        <f t="shared" si="592"/>
        <v/>
      </c>
      <c r="DL60" s="43" t="str">
        <f t="shared" si="593"/>
        <v/>
      </c>
      <c r="DM60" s="43" t="str">
        <f t="shared" si="594"/>
        <v/>
      </c>
      <c r="DN60" s="43" t="str">
        <f t="shared" si="595"/>
        <v/>
      </c>
      <c r="DO60" s="43" t="str">
        <f t="shared" si="596"/>
        <v/>
      </c>
      <c r="DP60" s="43" t="str">
        <f t="shared" si="597"/>
        <v/>
      </c>
      <c r="DQ60" s="43" t="str">
        <f t="shared" si="598"/>
        <v/>
      </c>
      <c r="DR60" s="43" t="str">
        <f t="shared" si="599"/>
        <v/>
      </c>
      <c r="DS60" s="43" t="str">
        <f t="shared" si="600"/>
        <v/>
      </c>
      <c r="DT60" s="43" t="str">
        <f t="shared" si="601"/>
        <v/>
      </c>
      <c r="DU60" s="43" t="str">
        <f t="shared" si="602"/>
        <v/>
      </c>
      <c r="DV60" s="43" t="str">
        <f t="shared" si="603"/>
        <v/>
      </c>
      <c r="DW60" s="43" t="str">
        <f t="shared" si="604"/>
        <v/>
      </c>
      <c r="DX60" s="43" t="str">
        <f t="shared" si="605"/>
        <v/>
      </c>
      <c r="DY60" s="43" t="str">
        <f t="shared" si="606"/>
        <v/>
      </c>
      <c r="DZ60" s="43" t="str">
        <f t="shared" si="607"/>
        <v/>
      </c>
      <c r="EA60" s="43" t="str">
        <f t="shared" si="608"/>
        <v/>
      </c>
      <c r="EB60" s="43" t="str">
        <f t="shared" si="609"/>
        <v/>
      </c>
      <c r="EC60" s="43" t="str">
        <f t="shared" si="610"/>
        <v>|n生命恢复%+1</v>
      </c>
      <c r="ED60" s="43" t="str">
        <f t="shared" si="611"/>
        <v/>
      </c>
      <c r="EE60" s="43" t="str">
        <f t="shared" si="612"/>
        <v/>
      </c>
      <c r="EF60" s="43" t="str">
        <f t="shared" si="613"/>
        <v/>
      </c>
      <c r="EG60" s="43" t="str">
        <f t="shared" si="614"/>
        <v/>
      </c>
      <c r="EH60" s="43" t="str">
        <f t="shared" si="615"/>
        <v/>
      </c>
      <c r="EI60" s="43" t="str">
        <f t="shared" si="616"/>
        <v/>
      </c>
      <c r="EJ60" s="43" t="str">
        <f t="shared" si="617"/>
        <v/>
      </c>
      <c r="EK60" s="43" t="str">
        <f t="shared" si="618"/>
        <v/>
      </c>
      <c r="EL60" s="43" t="str">
        <f t="shared" si="619"/>
        <v/>
      </c>
      <c r="EM60" s="43" t="str">
        <f t="shared" si="620"/>
        <v/>
      </c>
      <c r="EN60" s="43" t="str">
        <f t="shared" si="621"/>
        <v/>
      </c>
      <c r="EO60" s="43" t="str">
        <f t="shared" si="622"/>
        <v/>
      </c>
      <c r="EP60" s="43" t="str">
        <f t="shared" si="623"/>
        <v/>
      </c>
      <c r="EQ60" s="43" t="str">
        <f t="shared" si="624"/>
        <v/>
      </c>
      <c r="ER60" s="43" t="str">
        <f t="shared" si="625"/>
        <v/>
      </c>
      <c r="ES60" s="43" t="str">
        <f t="shared" si="626"/>
        <v/>
      </c>
      <c r="ET60" s="43" t="str">
        <f t="shared" si="627"/>
        <v/>
      </c>
      <c r="EU60" s="43" t="str">
        <f t="shared" si="628"/>
        <v/>
      </c>
      <c r="EV60" s="43" t="str">
        <f t="shared" si="629"/>
        <v/>
      </c>
      <c r="EW60" s="43" t="str">
        <f t="shared" si="630"/>
        <v/>
      </c>
      <c r="EX60" s="43" t="str">
        <f t="shared" si="631"/>
        <v/>
      </c>
      <c r="EY60" s="43" t="str">
        <f t="shared" si="632"/>
        <v/>
      </c>
      <c r="EZ60" s="43" t="str">
        <f t="shared" si="633"/>
        <v/>
      </c>
      <c r="FA60" s="43" t="str">
        <f t="shared" si="634"/>
        <v/>
      </c>
      <c r="FB60" s="43" t="str">
        <f t="shared" si="635"/>
        <v/>
      </c>
      <c r="FC60" s="43" t="str">
        <f t="shared" si="636"/>
        <v/>
      </c>
      <c r="FD60" s="43" t="str">
        <f t="shared" si="637"/>
        <v/>
      </c>
      <c r="FE60" s="43" t="str">
        <f t="shared" si="638"/>
        <v/>
      </c>
      <c r="FF60" s="43" t="str">
        <f t="shared" si="639"/>
        <v/>
      </c>
      <c r="FG60" s="43" t="str">
        <f t="shared" si="640"/>
        <v/>
      </c>
      <c r="FH60" s="43" t="str">
        <f t="shared" si="641"/>
        <v/>
      </c>
      <c r="FI60" s="43" t="str">
        <f t="shared" si="642"/>
        <v/>
      </c>
      <c r="FJ60" s="43" t="str">
        <f t="shared" si="643"/>
        <v/>
      </c>
      <c r="FK60" s="43" t="str">
        <f t="shared" si="644"/>
        <v/>
      </c>
      <c r="FL60" s="43" t="str">
        <f t="shared" si="645"/>
        <v/>
      </c>
      <c r="FM60" s="43" t="str">
        <f t="shared" si="646"/>
        <v/>
      </c>
      <c r="FN60" s="43" t="str">
        <f t="shared" si="647"/>
        <v/>
      </c>
      <c r="FO60" s="43" t="str">
        <f t="shared" si="648"/>
        <v/>
      </c>
      <c r="FP60" s="43" t="str">
        <f t="shared" si="649"/>
        <v/>
      </c>
      <c r="FQ60" s="43" t="str">
        <f t="shared" si="650"/>
        <v/>
      </c>
      <c r="FR60" s="43" t="str">
        <f t="shared" si="651"/>
        <v/>
      </c>
      <c r="FS60" s="43" t="str">
        <f t="shared" si="652"/>
        <v/>
      </c>
    </row>
    <row r="61" s="6" customFormat="1" ht="15" spans="1:175">
      <c r="A61" s="10"/>
      <c r="B61" s="45" t="s">
        <v>300</v>
      </c>
      <c r="C61" s="10" t="s">
        <v>301</v>
      </c>
      <c r="D61" s="46"/>
      <c r="E61" s="47"/>
      <c r="F61" s="48">
        <v>1000</v>
      </c>
      <c r="G61" s="49">
        <v>90</v>
      </c>
      <c r="H61" s="49"/>
      <c r="I61" s="49" t="str">
        <f t="shared" si="441"/>
        <v>E210</v>
      </c>
      <c r="J61" s="49"/>
      <c r="K61" s="49"/>
      <c r="L61" s="49"/>
      <c r="M61" s="49"/>
      <c r="N61" s="49"/>
      <c r="O61" s="49"/>
      <c r="P61" s="53"/>
      <c r="Q61" s="53"/>
      <c r="R61" s="53"/>
      <c r="S61" s="53"/>
      <c r="T61" s="58"/>
      <c r="U61" s="59" t="s">
        <v>295</v>
      </c>
      <c r="V61" s="60"/>
      <c r="W61" s="60"/>
      <c r="X61" s="60">
        <v>380</v>
      </c>
      <c r="Y61" s="60"/>
      <c r="Z61" s="60">
        <v>21000</v>
      </c>
      <c r="AA61" s="60"/>
      <c r="AB61" s="60">
        <f t="shared" si="294"/>
        <v>420</v>
      </c>
      <c r="AC61" s="60"/>
      <c r="AD61" s="60"/>
      <c r="AE61" s="60"/>
      <c r="AF61" s="60"/>
      <c r="AG61" s="64"/>
      <c r="AH61" s="60"/>
      <c r="AI61" s="60"/>
      <c r="AJ61" s="60"/>
      <c r="AK61" s="60"/>
      <c r="AL61" s="64"/>
      <c r="AM61" s="60"/>
      <c r="AN61" s="60"/>
      <c r="AO61" s="60"/>
      <c r="AP61" s="60"/>
      <c r="AQ61" s="60"/>
      <c r="AR61" s="66"/>
      <c r="AS61" s="66"/>
      <c r="AT61" s="60"/>
      <c r="AU61" s="60"/>
      <c r="AV61" s="60"/>
      <c r="AW61" s="60">
        <v>1</v>
      </c>
      <c r="AX61" s="60"/>
      <c r="AY61" s="60"/>
      <c r="AZ61" s="60"/>
      <c r="BA61" s="60"/>
      <c r="BB61" s="60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60"/>
      <c r="CF61" s="60"/>
      <c r="CG61" s="60"/>
      <c r="CH61" s="60"/>
      <c r="CI61" s="60"/>
      <c r="CJ61" s="60"/>
      <c r="CK61" s="60"/>
      <c r="CL61" s="60"/>
      <c r="CM61" s="60"/>
      <c r="CN61" s="69" t="str">
        <f t="shared" si="295"/>
        <v>InitUnitState('E209',,,380,,21000,,420,,,)</v>
      </c>
      <c r="CO61" s="69" t="str">
        <f t="shared" si="296"/>
        <v>InitUnitNormal('E209',,,,,,,,,,)</v>
      </c>
      <c r="CP61" s="69" t="str">
        <f t="shared" si="297"/>
        <v>InitUnitMagic('E209',,,,,,,,1,,)</v>
      </c>
      <c r="CQ61" s="69" t="str">
        <f t="shared" si="298"/>
        <v>InitUnitAdd('E209',,,,,,,,,,)</v>
      </c>
      <c r="CR61" s="69" t="str">
        <f t="shared" si="442"/>
        <v>InitEquipData('E209',,"",,E210,1000,90,'','','','','','',"ReplaceableTextures\\CommandButtons\\BTNZ14.blp")</v>
      </c>
      <c r="CS61" s="69"/>
      <c r="CT61" s="69"/>
      <c r="CU61" s="71" t="str">
        <f t="shared" si="78"/>
        <v>|n护甲+380|n生命值+21000|n生命回复+420|n生命恢复%+1|n</v>
      </c>
      <c r="CV61" s="5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|Cffbbbbbb属性：|r|n护甲+380|n生命值+21000|n生命回复+420|n生命恢复%+1|n|n|Cff00ff7f点击消耗1000金币进行强化|n成功率90%</v>
      </c>
      <c r="DB61" s="43" t="str">
        <f t="shared" si="583"/>
        <v/>
      </c>
      <c r="DC61" s="43" t="str">
        <f t="shared" si="584"/>
        <v/>
      </c>
      <c r="DD61" s="43" t="str">
        <f t="shared" si="585"/>
        <v>|n护甲+380</v>
      </c>
      <c r="DE61" s="43" t="str">
        <f t="shared" si="586"/>
        <v/>
      </c>
      <c r="DF61" s="43" t="str">
        <f t="shared" si="587"/>
        <v>|n生命值+21000</v>
      </c>
      <c r="DG61" s="43" t="str">
        <f t="shared" si="588"/>
        <v/>
      </c>
      <c r="DH61" s="43" t="str">
        <f t="shared" si="589"/>
        <v>|n生命回复+420</v>
      </c>
      <c r="DI61" s="43" t="str">
        <f t="shared" si="590"/>
        <v/>
      </c>
      <c r="DJ61" s="43" t="str">
        <f t="shared" si="591"/>
        <v/>
      </c>
      <c r="DK61" s="43" t="str">
        <f t="shared" si="592"/>
        <v/>
      </c>
      <c r="DL61" s="43" t="str">
        <f t="shared" si="593"/>
        <v/>
      </c>
      <c r="DM61" s="43" t="str">
        <f t="shared" si="594"/>
        <v/>
      </c>
      <c r="DN61" s="43" t="str">
        <f t="shared" si="595"/>
        <v/>
      </c>
      <c r="DO61" s="43" t="str">
        <f t="shared" si="596"/>
        <v/>
      </c>
      <c r="DP61" s="43" t="str">
        <f t="shared" si="597"/>
        <v/>
      </c>
      <c r="DQ61" s="43" t="str">
        <f t="shared" si="598"/>
        <v/>
      </c>
      <c r="DR61" s="43" t="str">
        <f t="shared" si="599"/>
        <v/>
      </c>
      <c r="DS61" s="43" t="str">
        <f t="shared" si="600"/>
        <v/>
      </c>
      <c r="DT61" s="43" t="str">
        <f t="shared" si="601"/>
        <v/>
      </c>
      <c r="DU61" s="43" t="str">
        <f t="shared" si="602"/>
        <v/>
      </c>
      <c r="DV61" s="43" t="str">
        <f t="shared" si="603"/>
        <v/>
      </c>
      <c r="DW61" s="43" t="str">
        <f t="shared" si="604"/>
        <v/>
      </c>
      <c r="DX61" s="43" t="str">
        <f t="shared" si="605"/>
        <v/>
      </c>
      <c r="DY61" s="43" t="str">
        <f t="shared" si="606"/>
        <v/>
      </c>
      <c r="DZ61" s="43" t="str">
        <f t="shared" si="607"/>
        <v/>
      </c>
      <c r="EA61" s="43" t="str">
        <f t="shared" si="608"/>
        <v/>
      </c>
      <c r="EB61" s="43" t="str">
        <f t="shared" si="609"/>
        <v/>
      </c>
      <c r="EC61" s="43" t="str">
        <f t="shared" si="610"/>
        <v>|n生命恢复%+1</v>
      </c>
      <c r="ED61" s="43" t="str">
        <f t="shared" si="611"/>
        <v/>
      </c>
      <c r="EE61" s="43" t="str">
        <f t="shared" si="612"/>
        <v/>
      </c>
      <c r="EF61" s="43" t="str">
        <f t="shared" si="613"/>
        <v/>
      </c>
      <c r="EG61" s="43" t="str">
        <f t="shared" si="614"/>
        <v/>
      </c>
      <c r="EH61" s="43" t="str">
        <f t="shared" si="615"/>
        <v/>
      </c>
      <c r="EI61" s="43" t="str">
        <f t="shared" si="616"/>
        <v/>
      </c>
      <c r="EJ61" s="43" t="str">
        <f t="shared" si="617"/>
        <v/>
      </c>
      <c r="EK61" s="43" t="str">
        <f t="shared" si="618"/>
        <v/>
      </c>
      <c r="EL61" s="43" t="str">
        <f t="shared" si="619"/>
        <v/>
      </c>
      <c r="EM61" s="43" t="str">
        <f t="shared" si="620"/>
        <v/>
      </c>
      <c r="EN61" s="43" t="str">
        <f t="shared" si="621"/>
        <v/>
      </c>
      <c r="EO61" s="43" t="str">
        <f t="shared" si="622"/>
        <v/>
      </c>
      <c r="EP61" s="43" t="str">
        <f t="shared" si="623"/>
        <v/>
      </c>
      <c r="EQ61" s="43" t="str">
        <f t="shared" si="624"/>
        <v/>
      </c>
      <c r="ER61" s="43" t="str">
        <f t="shared" si="625"/>
        <v/>
      </c>
      <c r="ES61" s="43" t="str">
        <f t="shared" si="626"/>
        <v/>
      </c>
      <c r="ET61" s="43" t="str">
        <f t="shared" si="627"/>
        <v/>
      </c>
      <c r="EU61" s="43" t="str">
        <f t="shared" si="628"/>
        <v/>
      </c>
      <c r="EV61" s="43" t="str">
        <f t="shared" si="629"/>
        <v/>
      </c>
      <c r="EW61" s="43" t="str">
        <f t="shared" si="630"/>
        <v/>
      </c>
      <c r="EX61" s="43" t="str">
        <f t="shared" si="631"/>
        <v/>
      </c>
      <c r="EY61" s="43" t="str">
        <f t="shared" si="632"/>
        <v/>
      </c>
      <c r="EZ61" s="43" t="str">
        <f t="shared" si="633"/>
        <v/>
      </c>
      <c r="FA61" s="43" t="str">
        <f t="shared" si="634"/>
        <v/>
      </c>
      <c r="FB61" s="43" t="str">
        <f t="shared" si="635"/>
        <v/>
      </c>
      <c r="FC61" s="43" t="str">
        <f t="shared" si="636"/>
        <v/>
      </c>
      <c r="FD61" s="43" t="str">
        <f t="shared" si="637"/>
        <v/>
      </c>
      <c r="FE61" s="43" t="str">
        <f t="shared" si="638"/>
        <v/>
      </c>
      <c r="FF61" s="43" t="str">
        <f t="shared" si="639"/>
        <v/>
      </c>
      <c r="FG61" s="43" t="str">
        <f t="shared" si="640"/>
        <v/>
      </c>
      <c r="FH61" s="43" t="str">
        <f t="shared" si="641"/>
        <v/>
      </c>
      <c r="FI61" s="43" t="str">
        <f t="shared" si="642"/>
        <v/>
      </c>
      <c r="FJ61" s="43" t="str">
        <f t="shared" si="643"/>
        <v/>
      </c>
      <c r="FK61" s="43" t="str">
        <f t="shared" si="644"/>
        <v/>
      </c>
      <c r="FL61" s="43" t="str">
        <f t="shared" si="645"/>
        <v/>
      </c>
      <c r="FM61" s="43" t="str">
        <f t="shared" si="646"/>
        <v/>
      </c>
      <c r="FN61" s="43" t="str">
        <f t="shared" si="647"/>
        <v/>
      </c>
      <c r="FO61" s="43" t="str">
        <f t="shared" si="648"/>
        <v/>
      </c>
      <c r="FP61" s="43" t="str">
        <f t="shared" si="649"/>
        <v/>
      </c>
      <c r="FQ61" s="43" t="str">
        <f t="shared" si="650"/>
        <v/>
      </c>
      <c r="FR61" s="43" t="str">
        <f t="shared" si="651"/>
        <v/>
      </c>
      <c r="FS61" s="43" t="str">
        <f t="shared" si="652"/>
        <v/>
      </c>
    </row>
    <row r="62" s="6" customFormat="1" ht="15" spans="1:175">
      <c r="A62" s="10"/>
      <c r="B62" s="45" t="s">
        <v>302</v>
      </c>
      <c r="C62" s="10" t="s">
        <v>303</v>
      </c>
      <c r="D62" s="46"/>
      <c r="E62" s="47"/>
      <c r="F62" s="48">
        <v>6000</v>
      </c>
      <c r="G62" s="49">
        <v>100</v>
      </c>
      <c r="H62" s="50" t="s">
        <v>304</v>
      </c>
      <c r="I62" s="49" t="str">
        <f t="shared" si="441"/>
        <v>E211</v>
      </c>
      <c r="J62" s="49"/>
      <c r="K62" s="49"/>
      <c r="L62" s="49"/>
      <c r="M62" s="49"/>
      <c r="N62" s="49"/>
      <c r="O62" s="49"/>
      <c r="P62" s="53"/>
      <c r="Q62" s="53"/>
      <c r="R62" s="53"/>
      <c r="S62" s="53"/>
      <c r="T62" s="58"/>
      <c r="U62" s="59" t="s">
        <v>295</v>
      </c>
      <c r="V62" s="60"/>
      <c r="W62" s="60"/>
      <c r="X62" s="60">
        <v>440</v>
      </c>
      <c r="Y62" s="60"/>
      <c r="Z62" s="60">
        <v>25500</v>
      </c>
      <c r="AA62" s="60"/>
      <c r="AB62" s="60">
        <f t="shared" si="294"/>
        <v>510</v>
      </c>
      <c r="AC62" s="60"/>
      <c r="AD62" s="60"/>
      <c r="AE62" s="60"/>
      <c r="AF62" s="60"/>
      <c r="AG62" s="64"/>
      <c r="AH62" s="60"/>
      <c r="AI62" s="60"/>
      <c r="AJ62" s="60"/>
      <c r="AK62" s="60"/>
      <c r="AL62" s="64"/>
      <c r="AM62" s="60"/>
      <c r="AN62" s="60"/>
      <c r="AO62" s="60"/>
      <c r="AP62" s="60"/>
      <c r="AQ62" s="60"/>
      <c r="AR62" s="66"/>
      <c r="AS62" s="66"/>
      <c r="AT62" s="60"/>
      <c r="AU62" s="60"/>
      <c r="AV62" s="60"/>
      <c r="AW62" s="60">
        <v>1</v>
      </c>
      <c r="AX62" s="60"/>
      <c r="AY62" s="60"/>
      <c r="AZ62" s="60"/>
      <c r="BA62" s="60"/>
      <c r="BB62" s="60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60"/>
      <c r="CF62" s="60"/>
      <c r="CG62" s="60"/>
      <c r="CH62" s="60"/>
      <c r="CI62" s="60"/>
      <c r="CJ62" s="60"/>
      <c r="CK62" s="60"/>
      <c r="CL62" s="60"/>
      <c r="CM62" s="60"/>
      <c r="CN62" s="69" t="str">
        <f t="shared" si="295"/>
        <v>InitUnitState('E210',,,440,,25500,,510,,,)</v>
      </c>
      <c r="CO62" s="69" t="str">
        <f t="shared" si="296"/>
        <v>InitUnitNormal('E210',,,,,,,,,,)</v>
      </c>
      <c r="CP62" s="69" t="str">
        <f t="shared" si="297"/>
        <v>InitUnitMagic('E210',,,,,,,,1,,)</v>
      </c>
      <c r="CQ62" s="69" t="str">
        <f t="shared" si="298"/>
        <v>InitUnitAdd('E210',,,,,,,,,,)</v>
      </c>
      <c r="CR62" s="69" t="str">
        <f t="shared" si="442"/>
        <v>InitEquipData('E210',,"",,E211,6000,100,'','','','','','',"ReplaceableTextures\\CommandButtons\\BTNZ14.blp")</v>
      </c>
      <c r="CS62" s="69"/>
      <c r="CT62" s="69"/>
      <c r="CU62" s="71" t="str">
        <f t="shared" si="78"/>
        <v>|n护甲+440|n生命值+25500|n生命回复+510|n生命恢复%+1|n</v>
      </c>
      <c r="CV62" s="5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|Cffbbbbbb属性：|r|n护甲+440|n生命值+25500|n生命回复+510|n生命恢复%+1|n|n|Cff00ff7f点击消耗6000金币进行晋阶挑战</v>
      </c>
      <c r="DB62" s="43" t="str">
        <f t="shared" si="583"/>
        <v/>
      </c>
      <c r="DC62" s="43" t="str">
        <f t="shared" si="584"/>
        <v/>
      </c>
      <c r="DD62" s="43" t="str">
        <f t="shared" si="585"/>
        <v>|n护甲+440</v>
      </c>
      <c r="DE62" s="43" t="str">
        <f t="shared" si="586"/>
        <v/>
      </c>
      <c r="DF62" s="43" t="str">
        <f t="shared" si="587"/>
        <v>|n生命值+25500</v>
      </c>
      <c r="DG62" s="43" t="str">
        <f t="shared" si="588"/>
        <v/>
      </c>
      <c r="DH62" s="43" t="str">
        <f t="shared" si="589"/>
        <v>|n生命回复+510</v>
      </c>
      <c r="DI62" s="43" t="str">
        <f t="shared" si="590"/>
        <v/>
      </c>
      <c r="DJ62" s="43" t="str">
        <f t="shared" si="591"/>
        <v/>
      </c>
      <c r="DK62" s="43" t="str">
        <f t="shared" si="592"/>
        <v/>
      </c>
      <c r="DL62" s="43" t="str">
        <f t="shared" si="593"/>
        <v/>
      </c>
      <c r="DM62" s="43" t="str">
        <f t="shared" si="594"/>
        <v/>
      </c>
      <c r="DN62" s="43" t="str">
        <f t="shared" si="595"/>
        <v/>
      </c>
      <c r="DO62" s="43" t="str">
        <f t="shared" si="596"/>
        <v/>
      </c>
      <c r="DP62" s="43" t="str">
        <f t="shared" si="597"/>
        <v/>
      </c>
      <c r="DQ62" s="43" t="str">
        <f t="shared" si="598"/>
        <v/>
      </c>
      <c r="DR62" s="43" t="str">
        <f t="shared" si="599"/>
        <v/>
      </c>
      <c r="DS62" s="43" t="str">
        <f t="shared" si="600"/>
        <v/>
      </c>
      <c r="DT62" s="43" t="str">
        <f t="shared" si="601"/>
        <v/>
      </c>
      <c r="DU62" s="43" t="str">
        <f t="shared" si="602"/>
        <v/>
      </c>
      <c r="DV62" s="43" t="str">
        <f t="shared" si="603"/>
        <v/>
      </c>
      <c r="DW62" s="43" t="str">
        <f t="shared" si="604"/>
        <v/>
      </c>
      <c r="DX62" s="43" t="str">
        <f t="shared" si="605"/>
        <v/>
      </c>
      <c r="DY62" s="43" t="str">
        <f t="shared" si="606"/>
        <v/>
      </c>
      <c r="DZ62" s="43" t="str">
        <f t="shared" si="607"/>
        <v/>
      </c>
      <c r="EA62" s="43" t="str">
        <f t="shared" si="608"/>
        <v/>
      </c>
      <c r="EB62" s="43" t="str">
        <f t="shared" si="609"/>
        <v/>
      </c>
      <c r="EC62" s="43" t="str">
        <f t="shared" si="610"/>
        <v>|n生命恢复%+1</v>
      </c>
      <c r="ED62" s="43" t="str">
        <f t="shared" si="611"/>
        <v/>
      </c>
      <c r="EE62" s="43" t="str">
        <f t="shared" si="612"/>
        <v/>
      </c>
      <c r="EF62" s="43" t="str">
        <f t="shared" si="613"/>
        <v/>
      </c>
      <c r="EG62" s="43" t="str">
        <f t="shared" si="614"/>
        <v/>
      </c>
      <c r="EH62" s="43" t="str">
        <f t="shared" si="615"/>
        <v/>
      </c>
      <c r="EI62" s="43" t="str">
        <f t="shared" si="616"/>
        <v/>
      </c>
      <c r="EJ62" s="43" t="str">
        <f t="shared" si="617"/>
        <v/>
      </c>
      <c r="EK62" s="43" t="str">
        <f t="shared" si="618"/>
        <v/>
      </c>
      <c r="EL62" s="43" t="str">
        <f t="shared" si="619"/>
        <v/>
      </c>
      <c r="EM62" s="43" t="str">
        <f t="shared" si="620"/>
        <v/>
      </c>
      <c r="EN62" s="43" t="str">
        <f t="shared" si="621"/>
        <v/>
      </c>
      <c r="EO62" s="43" t="str">
        <f t="shared" si="622"/>
        <v/>
      </c>
      <c r="EP62" s="43" t="str">
        <f t="shared" si="623"/>
        <v/>
      </c>
      <c r="EQ62" s="43" t="str">
        <f t="shared" si="624"/>
        <v/>
      </c>
      <c r="ER62" s="43" t="str">
        <f t="shared" si="625"/>
        <v/>
      </c>
      <c r="ES62" s="43" t="str">
        <f t="shared" si="626"/>
        <v/>
      </c>
      <c r="ET62" s="43" t="str">
        <f t="shared" si="627"/>
        <v/>
      </c>
      <c r="EU62" s="43" t="str">
        <f t="shared" si="628"/>
        <v/>
      </c>
      <c r="EV62" s="43" t="str">
        <f t="shared" si="629"/>
        <v/>
      </c>
      <c r="EW62" s="43" t="str">
        <f t="shared" si="630"/>
        <v/>
      </c>
      <c r="EX62" s="43" t="str">
        <f t="shared" si="631"/>
        <v/>
      </c>
      <c r="EY62" s="43" t="str">
        <f t="shared" si="632"/>
        <v/>
      </c>
      <c r="EZ62" s="43" t="str">
        <f t="shared" si="633"/>
        <v/>
      </c>
      <c r="FA62" s="43" t="str">
        <f t="shared" si="634"/>
        <v/>
      </c>
      <c r="FB62" s="43" t="str">
        <f t="shared" si="635"/>
        <v/>
      </c>
      <c r="FC62" s="43" t="str">
        <f t="shared" si="636"/>
        <v/>
      </c>
      <c r="FD62" s="43" t="str">
        <f t="shared" si="637"/>
        <v/>
      </c>
      <c r="FE62" s="43" t="str">
        <f t="shared" si="638"/>
        <v/>
      </c>
      <c r="FF62" s="43" t="str">
        <f t="shared" si="639"/>
        <v/>
      </c>
      <c r="FG62" s="43" t="str">
        <f t="shared" si="640"/>
        <v/>
      </c>
      <c r="FH62" s="43" t="str">
        <f t="shared" si="641"/>
        <v/>
      </c>
      <c r="FI62" s="43" t="str">
        <f t="shared" si="642"/>
        <v/>
      </c>
      <c r="FJ62" s="43" t="str">
        <f t="shared" si="643"/>
        <v/>
      </c>
      <c r="FK62" s="43" t="str">
        <f t="shared" si="644"/>
        <v/>
      </c>
      <c r="FL62" s="43" t="str">
        <f t="shared" si="645"/>
        <v/>
      </c>
      <c r="FM62" s="43" t="str">
        <f t="shared" si="646"/>
        <v/>
      </c>
      <c r="FN62" s="43" t="str">
        <f t="shared" si="647"/>
        <v/>
      </c>
      <c r="FO62" s="43" t="str">
        <f t="shared" si="648"/>
        <v/>
      </c>
      <c r="FP62" s="43" t="str">
        <f t="shared" si="649"/>
        <v/>
      </c>
      <c r="FQ62" s="43" t="str">
        <f t="shared" si="650"/>
        <v/>
      </c>
      <c r="FR62" s="43" t="str">
        <f t="shared" si="651"/>
        <v/>
      </c>
      <c r="FS62" s="43" t="str">
        <f t="shared" si="652"/>
        <v/>
      </c>
    </row>
    <row r="63" s="6" customFormat="1" ht="15" spans="1:175">
      <c r="A63" s="10"/>
      <c r="B63" s="45" t="s">
        <v>305</v>
      </c>
      <c r="C63" s="10" t="s">
        <v>306</v>
      </c>
      <c r="D63" s="46"/>
      <c r="E63" s="47"/>
      <c r="F63" s="48">
        <v>3000</v>
      </c>
      <c r="G63" s="49">
        <v>80</v>
      </c>
      <c r="H63" s="49"/>
      <c r="I63" s="49" t="str">
        <f t="shared" si="441"/>
        <v>E212</v>
      </c>
      <c r="J63" s="49"/>
      <c r="K63" s="49"/>
      <c r="L63" s="49"/>
      <c r="M63" s="49"/>
      <c r="N63" s="49"/>
      <c r="O63" s="49"/>
      <c r="P63" s="54"/>
      <c r="Q63" s="54"/>
      <c r="R63" s="54"/>
      <c r="S63" s="61"/>
      <c r="T63" s="62"/>
      <c r="U63" s="59" t="s">
        <v>307</v>
      </c>
      <c r="V63" s="60"/>
      <c r="W63" s="60"/>
      <c r="X63" s="60">
        <v>500</v>
      </c>
      <c r="Y63" s="60"/>
      <c r="Z63" s="60">
        <v>37500</v>
      </c>
      <c r="AA63" s="60"/>
      <c r="AB63" s="60">
        <f t="shared" si="294"/>
        <v>750</v>
      </c>
      <c r="AC63" s="60"/>
      <c r="AD63" s="60"/>
      <c r="AE63" s="60"/>
      <c r="AF63" s="60"/>
      <c r="AG63" s="64"/>
      <c r="AH63" s="60"/>
      <c r="AI63" s="60"/>
      <c r="AJ63" s="60"/>
      <c r="AK63" s="60"/>
      <c r="AL63" s="64"/>
      <c r="AM63" s="60"/>
      <c r="AN63" s="60"/>
      <c r="AO63" s="60"/>
      <c r="AP63" s="60"/>
      <c r="AQ63" s="60"/>
      <c r="AR63" s="66"/>
      <c r="AS63" s="66"/>
      <c r="AT63" s="60"/>
      <c r="AU63" s="60"/>
      <c r="AV63" s="60"/>
      <c r="AW63" s="60">
        <v>1</v>
      </c>
      <c r="AX63" s="60"/>
      <c r="AY63" s="60"/>
      <c r="AZ63" s="60"/>
      <c r="BA63" s="60"/>
      <c r="BB63" s="60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60"/>
      <c r="CF63" s="60"/>
      <c r="CG63" s="60"/>
      <c r="CH63" s="60"/>
      <c r="CI63" s="60"/>
      <c r="CJ63" s="60"/>
      <c r="CK63" s="60"/>
      <c r="CL63" s="60"/>
      <c r="CM63" s="60"/>
      <c r="CN63" s="69" t="str">
        <f t="shared" si="295"/>
        <v>InitUnitState('E211',,,500,,37500,,750,,,)</v>
      </c>
      <c r="CO63" s="69" t="str">
        <f t="shared" si="296"/>
        <v>InitUnitNormal('E211',,,,,,,,,,)</v>
      </c>
      <c r="CP63" s="69" t="str">
        <f t="shared" si="297"/>
        <v>InitUnitMagic('E211',,,,,,,,1,,)</v>
      </c>
      <c r="CQ63" s="69" t="str">
        <f t="shared" si="298"/>
        <v>InitUnitAdd('E211',,,,,,,,,,)</v>
      </c>
      <c r="CR63" s="69" t="str">
        <f t="shared" ref="CR63:CR76" si="653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InitEquipData('E211',,"",,E212,3000,80,'','','','','','',"ReplaceableTextures\\CommandButtons\\BTNZ13.blp")</v>
      </c>
      <c r="CS63" s="69"/>
      <c r="CT63" s="69"/>
      <c r="CU63" s="71" t="str">
        <f t="shared" si="78"/>
        <v>|n护甲+500|n生命值+37500|n生命回复+750|n生命恢复%+1|n</v>
      </c>
      <c r="CV63" s="5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|Cffbbbbbb属性：|r|n护甲+500|n生命值+37500|n生命回复+750|n生命恢复%+1|n|n|Cff00ff7f点击消耗3000金币进行强化|n成功率80%</v>
      </c>
      <c r="DB63" s="43" t="str">
        <f t="shared" ref="DB63:DB87" si="654">IF(V63="","","|n"&amp;DB$2&amp;"+"&amp;V63&amp;DB$1)</f>
        <v/>
      </c>
      <c r="DC63" s="43" t="str">
        <f t="shared" ref="DC63:DC87" si="655">IF(W63="","","|n"&amp;DC$2&amp;"+"&amp;W63&amp;DC$1)</f>
        <v/>
      </c>
      <c r="DD63" s="43" t="str">
        <f t="shared" ref="DD63:DD87" si="656">IF(X63="","","|n"&amp;DD$2&amp;"+"&amp;X63&amp;DD$1)</f>
        <v>|n护甲+500</v>
      </c>
      <c r="DE63" s="43" t="str">
        <f t="shared" ref="DE63:DE87" si="657">IF(Y63="","","|n"&amp;DE$2&amp;"+"&amp;Y63&amp;DE$1)</f>
        <v/>
      </c>
      <c r="DF63" s="43" t="str">
        <f t="shared" ref="DF63:DF87" si="658">IF(Z63="","","|n"&amp;DF$2&amp;"+"&amp;Z63&amp;DF$1)</f>
        <v>|n生命值+37500</v>
      </c>
      <c r="DG63" s="43" t="str">
        <f t="shared" ref="DG63:DG87" si="659">IF(AA63="","","|n"&amp;DG$2&amp;"+"&amp;AA63&amp;DG$1)</f>
        <v/>
      </c>
      <c r="DH63" s="43" t="str">
        <f t="shared" ref="DH63:DH87" si="660">IF(AB63="","","|n"&amp;DH$2&amp;"+"&amp;AB63&amp;DH$1)</f>
        <v>|n生命回复+750</v>
      </c>
      <c r="DI63" s="43" t="str">
        <f t="shared" ref="DI63:DI87" si="661">IF(AC63="","","|n"&amp;DI$2&amp;"+"&amp;AC63&amp;DI$1)</f>
        <v/>
      </c>
      <c r="DJ63" s="43" t="str">
        <f t="shared" ref="DJ63:DJ87" si="662">IF(AD63="","","|n"&amp;DJ$2&amp;"+"&amp;AD63&amp;DJ$1)</f>
        <v/>
      </c>
      <c r="DK63" s="43" t="str">
        <f t="shared" ref="DK63:DK87" si="663">IF(AE63="","","|n"&amp;DK$2&amp;"+"&amp;AE63&amp;DK$1)</f>
        <v/>
      </c>
      <c r="DL63" s="43" t="str">
        <f t="shared" ref="DL63:DL87" si="664">IF(AF63="","","|n"&amp;DL$2&amp;"+"&amp;AF63&amp;DL$1)</f>
        <v/>
      </c>
      <c r="DM63" s="43" t="str">
        <f t="shared" ref="DM63:DM87" si="665">IF(AG63="","","|n"&amp;DM$2&amp;"+"&amp;AG63&amp;DM$1)</f>
        <v/>
      </c>
      <c r="DN63" s="43" t="str">
        <f t="shared" ref="DN63:DN87" si="666">IF(AH63="","","|n"&amp;DN$2&amp;"+"&amp;AH63&amp;DN$1)</f>
        <v/>
      </c>
      <c r="DO63" s="43" t="str">
        <f t="shared" ref="DO63:DO87" si="667">IF(AI63="","","|n"&amp;DO$2&amp;"+"&amp;AI63&amp;DO$1)</f>
        <v/>
      </c>
      <c r="DP63" s="43" t="str">
        <f t="shared" ref="DP63:DP87" si="668">IF(AJ63="","","|n"&amp;DP$2&amp;"+"&amp;AJ63&amp;DP$1)</f>
        <v/>
      </c>
      <c r="DQ63" s="43" t="str">
        <f t="shared" ref="DQ63:DQ87" si="669">IF(AK63="","","|n"&amp;DQ$2&amp;"+"&amp;AK63&amp;DQ$1)</f>
        <v/>
      </c>
      <c r="DR63" s="43" t="str">
        <f t="shared" ref="DR63:DR87" si="670">IF(AL63="","","|n"&amp;DR$2&amp;"+"&amp;AL63&amp;DR$1)</f>
        <v/>
      </c>
      <c r="DS63" s="43" t="str">
        <f t="shared" ref="DS63:DS87" si="671">IF(AM63="","","|n"&amp;DS$2&amp;"+"&amp;AM63&amp;DS$1)</f>
        <v/>
      </c>
      <c r="DT63" s="43" t="str">
        <f t="shared" ref="DT63:DT87" si="672">IF(AN63="","","|n"&amp;DT$2&amp;"+"&amp;AN63&amp;DT$1)</f>
        <v/>
      </c>
      <c r="DU63" s="43" t="str">
        <f t="shared" ref="DU63:DU87" si="673">IF(AO63="","","|n"&amp;DU$2&amp;"+"&amp;AO63&amp;DU$1)</f>
        <v/>
      </c>
      <c r="DV63" s="43" t="str">
        <f t="shared" ref="DV63:DV87" si="674">IF(AP63="","","|n"&amp;DV$2&amp;"+"&amp;AP63&amp;DV$1)</f>
        <v/>
      </c>
      <c r="DW63" s="43" t="str">
        <f t="shared" ref="DW63:DW87" si="675">IF(AQ63="","","|n"&amp;DW$2&amp;"+"&amp;AQ63&amp;DW$1)</f>
        <v/>
      </c>
      <c r="DX63" s="43" t="str">
        <f t="shared" ref="DX63:DX87" si="676">IF(AR63="","","|n"&amp;DX$2&amp;"+"&amp;AR63&amp;DX$1)</f>
        <v/>
      </c>
      <c r="DY63" s="43" t="str">
        <f t="shared" ref="DY63:DY87" si="677">IF(AS63="","","|n"&amp;DY$2&amp;"+"&amp;AS63&amp;DY$1)</f>
        <v/>
      </c>
      <c r="DZ63" s="43" t="str">
        <f t="shared" ref="DZ63:DZ87" si="678">IF(AT63="","","|n"&amp;DZ$2&amp;"+"&amp;AT63&amp;DZ$1)</f>
        <v/>
      </c>
      <c r="EA63" s="43" t="str">
        <f t="shared" ref="EA63:EA87" si="679">IF(AU63="","","|n"&amp;EA$2&amp;"+"&amp;AU63&amp;EA$1)</f>
        <v/>
      </c>
      <c r="EB63" s="43" t="str">
        <f t="shared" ref="EB63:EB87" si="680">IF(AV63="","","|n"&amp;EB$2&amp;"+"&amp;AV63&amp;EB$1)</f>
        <v/>
      </c>
      <c r="EC63" s="43" t="str">
        <f t="shared" ref="EC63:EC87" si="681">IF(AW63="","","|n"&amp;EC$2&amp;"+"&amp;AW63&amp;EC$1)</f>
        <v>|n生命恢复%+1</v>
      </c>
      <c r="ED63" s="43" t="str">
        <f t="shared" ref="ED63:ED87" si="682">IF(AX63="","","|n"&amp;ED$2&amp;"+"&amp;AX63&amp;ED$1)</f>
        <v/>
      </c>
      <c r="EE63" s="43" t="str">
        <f t="shared" ref="EE63:EE87" si="683">IF(AY63="","","|n"&amp;EE$2&amp;"+"&amp;AY63&amp;EE$1)</f>
        <v/>
      </c>
      <c r="EF63" s="43" t="str">
        <f t="shared" ref="EF63:EF87" si="684">IF(AZ63="","","|n"&amp;EF$2&amp;"+"&amp;AZ63&amp;EF$1)</f>
        <v/>
      </c>
      <c r="EG63" s="43" t="str">
        <f t="shared" ref="EG63:EG87" si="685">IF(BA63="","","|n"&amp;EG$2&amp;"+"&amp;BA63&amp;EG$1)</f>
        <v/>
      </c>
      <c r="EH63" s="43" t="str">
        <f t="shared" ref="EH63:EH87" si="686">IF(BB63="","","|n"&amp;EH$2&amp;"+"&amp;BB63&amp;EH$1)</f>
        <v/>
      </c>
      <c r="EI63" s="43" t="str">
        <f t="shared" ref="EI63:EI87" si="687">IF(BC63="","","|n"&amp;EI$2&amp;"+"&amp;BC63&amp;EI$1)</f>
        <v/>
      </c>
      <c r="EJ63" s="43" t="str">
        <f t="shared" ref="EJ63:EJ87" si="688">IF(BD63="","","|n"&amp;EJ$2&amp;"+"&amp;BD63&amp;EJ$1)</f>
        <v/>
      </c>
      <c r="EK63" s="43" t="str">
        <f t="shared" ref="EK63:EK87" si="689">IF(BE63="","","|n"&amp;EK$2&amp;"+"&amp;BE63&amp;EK$1)</f>
        <v/>
      </c>
      <c r="EL63" s="43" t="str">
        <f t="shared" ref="EL63:EL87" si="690">IF(BF63="","","|n"&amp;EL$2&amp;"+"&amp;BF63&amp;EL$1)</f>
        <v/>
      </c>
      <c r="EM63" s="43" t="str">
        <f t="shared" ref="EM63:EM87" si="691">IF(BG63="","","|n"&amp;EM$2&amp;"+"&amp;BG63&amp;EM$1)</f>
        <v/>
      </c>
      <c r="EN63" s="43" t="str">
        <f t="shared" ref="EN63:EN87" si="692">IF(BH63="","","|n"&amp;EN$2&amp;"+"&amp;BH63&amp;EN$1)</f>
        <v/>
      </c>
      <c r="EO63" s="43" t="str">
        <f t="shared" ref="EO63:EO87" si="693">IF(BI63="","","|n"&amp;EO$2&amp;"+"&amp;BI63&amp;EO$1)</f>
        <v/>
      </c>
      <c r="EP63" s="43" t="str">
        <f t="shared" ref="EP63:EP87" si="694">IF(BJ63="","","|n"&amp;EP$2&amp;"+"&amp;BJ63&amp;EP$1)</f>
        <v/>
      </c>
      <c r="EQ63" s="43" t="str">
        <f t="shared" ref="EQ63:EQ87" si="695">IF(BK63="","","|n"&amp;EQ$2&amp;"+"&amp;BK63&amp;EQ$1)</f>
        <v/>
      </c>
      <c r="ER63" s="43" t="str">
        <f t="shared" ref="ER63:ER87" si="696">IF(BL63="","","|n"&amp;ER$2&amp;"+"&amp;BL63&amp;ER$1)</f>
        <v/>
      </c>
      <c r="ES63" s="43" t="str">
        <f t="shared" ref="ES63:ES87" si="697">IF(BM63="","","|n"&amp;ES$2&amp;"+"&amp;BM63&amp;ES$1)</f>
        <v/>
      </c>
      <c r="ET63" s="43" t="str">
        <f t="shared" ref="ET63:ET87" si="698">IF(BN63="","","|n"&amp;ET$2&amp;"+"&amp;BN63&amp;ET$1)</f>
        <v/>
      </c>
      <c r="EU63" s="43" t="str">
        <f t="shared" ref="EU63:EU87" si="699">IF(BO63="","","|n"&amp;EU$2&amp;"+"&amp;BO63&amp;EU$1)</f>
        <v/>
      </c>
      <c r="EV63" s="43" t="str">
        <f t="shared" ref="EV63:EV87" si="700">IF(BP63="","","|n"&amp;EV$2&amp;"+"&amp;BP63&amp;EV$1)</f>
        <v/>
      </c>
      <c r="EW63" s="43" t="str">
        <f t="shared" ref="EW63:EW87" si="701">IF(BQ63="","","|n"&amp;EW$2&amp;"+"&amp;BQ63&amp;EW$1)</f>
        <v/>
      </c>
      <c r="EX63" s="43" t="str">
        <f t="shared" ref="EX63:EX87" si="702">IF(BR63="","","|n"&amp;EX$2&amp;"+"&amp;BR63&amp;EX$1)</f>
        <v/>
      </c>
      <c r="EY63" s="43" t="str">
        <f t="shared" ref="EY63:EY87" si="703">IF(BS63="","","|n"&amp;EY$2&amp;"+"&amp;BS63&amp;EY$1)</f>
        <v/>
      </c>
      <c r="EZ63" s="43" t="str">
        <f t="shared" ref="EZ63:EZ87" si="704">IF(BT63="","","|n"&amp;EZ$2&amp;"+"&amp;BT63&amp;EZ$1)</f>
        <v/>
      </c>
      <c r="FA63" s="43" t="str">
        <f t="shared" ref="FA63:FA87" si="705">IF(BU63="","","|n"&amp;FA$2&amp;"+"&amp;BU63&amp;FA$1)</f>
        <v/>
      </c>
      <c r="FB63" s="43" t="str">
        <f t="shared" ref="FB63:FB87" si="706">IF(BV63="","","|n"&amp;FB$2&amp;"+"&amp;BV63&amp;FB$1)</f>
        <v/>
      </c>
      <c r="FC63" s="43" t="str">
        <f t="shared" ref="FC63:FC87" si="707">IF(BW63="","","|n"&amp;FC$2&amp;"+"&amp;BW63&amp;FC$1)</f>
        <v/>
      </c>
      <c r="FD63" s="43" t="str">
        <f t="shared" ref="FD63:FD87" si="708">IF(BX63="","","|n"&amp;FD$2&amp;"+"&amp;BX63&amp;FD$1)</f>
        <v/>
      </c>
      <c r="FE63" s="43" t="str">
        <f t="shared" ref="FE63:FE87" si="709">IF(BY63="","","|n"&amp;FE$2&amp;"+"&amp;BY63&amp;FE$1)</f>
        <v/>
      </c>
      <c r="FF63" s="43" t="str">
        <f t="shared" ref="FF63:FF87" si="710">IF(BZ63="","","|n"&amp;FF$2&amp;"+"&amp;BZ63&amp;FF$1)</f>
        <v/>
      </c>
      <c r="FG63" s="43" t="str">
        <f t="shared" ref="FG63:FG87" si="711">IF(CA63="","","|n"&amp;FG$2&amp;"+"&amp;CA63&amp;FG$1)</f>
        <v/>
      </c>
      <c r="FH63" s="43" t="str">
        <f t="shared" ref="FH63:FH87" si="712">IF(CB63="","","|n"&amp;FH$2&amp;"+"&amp;CB63&amp;FH$1)</f>
        <v/>
      </c>
      <c r="FI63" s="43" t="str">
        <f t="shared" ref="FI63:FI87" si="713">IF(CC63="","","|n"&amp;FI$2&amp;"+"&amp;CC63&amp;FI$1)</f>
        <v/>
      </c>
      <c r="FJ63" s="43" t="str">
        <f t="shared" ref="FJ63:FJ87" si="714">IF(CD63="","","|n"&amp;FJ$2&amp;"+"&amp;CD63&amp;FJ$1)</f>
        <v/>
      </c>
      <c r="FK63" s="43" t="str">
        <f t="shared" ref="FK63:FK87" si="715">IF(CE63="","","|n"&amp;FK$2&amp;"+"&amp;CE63&amp;FK$1)</f>
        <v/>
      </c>
      <c r="FL63" s="43" t="str">
        <f t="shared" ref="FL63:FL87" si="716">IF(CF63="","","|n"&amp;FL$2&amp;"+"&amp;CF63&amp;FL$1)</f>
        <v/>
      </c>
      <c r="FM63" s="43" t="str">
        <f t="shared" ref="FM63:FM87" si="717">IF(CG63="","","|n"&amp;FM$2&amp;"+"&amp;CG63&amp;FM$1)</f>
        <v/>
      </c>
      <c r="FN63" s="43" t="str">
        <f t="shared" ref="FN63:FN87" si="718">IF(CH63="","","|n"&amp;FN$2&amp;"+"&amp;CH63&amp;FN$1)</f>
        <v/>
      </c>
      <c r="FO63" s="43" t="str">
        <f t="shared" ref="FO63:FO87" si="719">IF(CI63="","","|n"&amp;FO$2&amp;"+"&amp;CI63&amp;FO$1)</f>
        <v/>
      </c>
      <c r="FP63" s="43" t="str">
        <f t="shared" ref="FP63:FP87" si="720">IF(CJ63="","","|n"&amp;FP$2&amp;"+"&amp;CJ63&amp;FP$1)</f>
        <v/>
      </c>
      <c r="FQ63" s="43" t="str">
        <f t="shared" ref="FQ63:FQ87" si="721">IF(CK63="","","|n"&amp;FQ$2&amp;"+"&amp;CK63&amp;FQ$1)</f>
        <v/>
      </c>
      <c r="FR63" s="43" t="str">
        <f t="shared" ref="FR63:FR87" si="722">IF(CL63="","","|n"&amp;FR$2&amp;"+"&amp;CL63&amp;FR$1)</f>
        <v/>
      </c>
      <c r="FS63" s="43" t="str">
        <f t="shared" ref="FS63:FS87" si="723">IF(CM63="","","|n"&amp;FS$2&amp;"+"&amp;CM63&amp;FS$1)</f>
        <v/>
      </c>
    </row>
    <row r="64" s="6" customFormat="1" ht="15" spans="1:175">
      <c r="A64" s="10"/>
      <c r="B64" s="45" t="s">
        <v>308</v>
      </c>
      <c r="C64" s="10" t="s">
        <v>309</v>
      </c>
      <c r="D64" s="46"/>
      <c r="E64" s="47"/>
      <c r="F64" s="48">
        <v>3000</v>
      </c>
      <c r="G64" s="49">
        <v>80</v>
      </c>
      <c r="H64" s="49"/>
      <c r="I64" s="49" t="str">
        <f t="shared" si="441"/>
        <v>E213</v>
      </c>
      <c r="J64" s="49"/>
      <c r="K64" s="49"/>
      <c r="L64" s="49"/>
      <c r="M64" s="49"/>
      <c r="N64" s="49"/>
      <c r="O64" s="49"/>
      <c r="P64" s="54"/>
      <c r="Q64" s="54"/>
      <c r="R64" s="54"/>
      <c r="S64" s="61"/>
      <c r="T64" s="62"/>
      <c r="U64" s="59" t="s">
        <v>307</v>
      </c>
      <c r="V64" s="60"/>
      <c r="W64" s="60"/>
      <c r="X64" s="60">
        <v>580</v>
      </c>
      <c r="Y64" s="60"/>
      <c r="Z64" s="60">
        <v>52500</v>
      </c>
      <c r="AA64" s="60"/>
      <c r="AB64" s="60">
        <f t="shared" si="294"/>
        <v>1050</v>
      </c>
      <c r="AC64" s="60"/>
      <c r="AD64" s="60"/>
      <c r="AE64" s="60"/>
      <c r="AF64" s="60"/>
      <c r="AG64" s="64"/>
      <c r="AH64" s="60"/>
      <c r="AI64" s="60"/>
      <c r="AJ64" s="60"/>
      <c r="AK64" s="60"/>
      <c r="AL64" s="64"/>
      <c r="AM64" s="60"/>
      <c r="AN64" s="60"/>
      <c r="AO64" s="60"/>
      <c r="AP64" s="60"/>
      <c r="AQ64" s="60"/>
      <c r="AR64" s="66"/>
      <c r="AS64" s="66"/>
      <c r="AT64" s="60"/>
      <c r="AU64" s="60"/>
      <c r="AV64" s="60"/>
      <c r="AW64" s="60">
        <v>1</v>
      </c>
      <c r="AX64" s="60"/>
      <c r="AY64" s="60"/>
      <c r="AZ64" s="60"/>
      <c r="BA64" s="60"/>
      <c r="BB64" s="60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60"/>
      <c r="CF64" s="60"/>
      <c r="CG64" s="60"/>
      <c r="CH64" s="60"/>
      <c r="CI64" s="60"/>
      <c r="CJ64" s="60"/>
      <c r="CK64" s="60"/>
      <c r="CL64" s="60"/>
      <c r="CM64" s="60"/>
      <c r="CN64" s="69" t="str">
        <f t="shared" si="295"/>
        <v>InitUnitState('E212',,,580,,52500,,1050,,,)</v>
      </c>
      <c r="CO64" s="69" t="str">
        <f t="shared" si="296"/>
        <v>InitUnitNormal('E212',,,,,,,,,,)</v>
      </c>
      <c r="CP64" s="69" t="str">
        <f t="shared" si="297"/>
        <v>InitUnitMagic('E212',,,,,,,,1,,)</v>
      </c>
      <c r="CQ64" s="69" t="str">
        <f t="shared" si="298"/>
        <v>InitUnitAdd('E212',,,,,,,,,,)</v>
      </c>
      <c r="CR64" s="69" t="str">
        <f t="shared" si="653"/>
        <v>InitEquipData('E212',,"",,E213,3000,80,'','','','','','',"ReplaceableTextures\\CommandButtons\\BTNZ13.blp")</v>
      </c>
      <c r="CS64" s="69"/>
      <c r="CT64" s="69"/>
      <c r="CU64" s="71" t="str">
        <f t="shared" si="78"/>
        <v>|n护甲+580|n生命值+52500|n生命回复+1050|n生命恢复%+1|n</v>
      </c>
      <c r="CV64" s="5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|Cffbbbbbb属性：|r|n护甲+580|n生命值+52500|n生命回复+1050|n生命恢复%+1|n|n|Cff00ff7f点击消耗3000金币进行强化|n成功率80%</v>
      </c>
      <c r="DB64" s="43" t="str">
        <f t="shared" ref="DB64:DB65" si="724">IF(V64="","","|n"&amp;DB$2&amp;"+"&amp;V64&amp;DB$1)</f>
        <v/>
      </c>
      <c r="DC64" s="43" t="str">
        <f t="shared" ref="DC64:DC65" si="725">IF(W64="","","|n"&amp;DC$2&amp;"+"&amp;W64&amp;DC$1)</f>
        <v/>
      </c>
      <c r="DD64" s="43" t="str">
        <f t="shared" ref="DD64:DD65" si="726">IF(X64="","","|n"&amp;DD$2&amp;"+"&amp;X64&amp;DD$1)</f>
        <v>|n护甲+580</v>
      </c>
      <c r="DE64" s="43" t="str">
        <f t="shared" ref="DE64:DE65" si="727">IF(Y64="","","|n"&amp;DE$2&amp;"+"&amp;Y64&amp;DE$1)</f>
        <v/>
      </c>
      <c r="DF64" s="43" t="str">
        <f t="shared" ref="DF64:DF65" si="728">IF(Z64="","","|n"&amp;DF$2&amp;"+"&amp;Z64&amp;DF$1)</f>
        <v>|n生命值+52500</v>
      </c>
      <c r="DG64" s="43" t="str">
        <f t="shared" ref="DG64:DG65" si="729">IF(AA64="","","|n"&amp;DG$2&amp;"+"&amp;AA64&amp;DG$1)</f>
        <v/>
      </c>
      <c r="DH64" s="43" t="str">
        <f t="shared" ref="DH64:DH65" si="730">IF(AB64="","","|n"&amp;DH$2&amp;"+"&amp;AB64&amp;DH$1)</f>
        <v>|n生命回复+1050</v>
      </c>
      <c r="DI64" s="43" t="str">
        <f t="shared" ref="DI64:DI65" si="731">IF(AC64="","","|n"&amp;DI$2&amp;"+"&amp;AC64&amp;DI$1)</f>
        <v/>
      </c>
      <c r="DJ64" s="43" t="str">
        <f t="shared" ref="DJ64:DJ65" si="732">IF(AD64="","","|n"&amp;DJ$2&amp;"+"&amp;AD64&amp;DJ$1)</f>
        <v/>
      </c>
      <c r="DK64" s="43" t="str">
        <f t="shared" ref="DK64:DK65" si="733">IF(AE64="","","|n"&amp;DK$2&amp;"+"&amp;AE64&amp;DK$1)</f>
        <v/>
      </c>
      <c r="DL64" s="43" t="str">
        <f t="shared" ref="DL64:DL65" si="734">IF(AF64="","","|n"&amp;DL$2&amp;"+"&amp;AF64&amp;DL$1)</f>
        <v/>
      </c>
      <c r="DM64" s="43" t="str">
        <f t="shared" ref="DM64:DM65" si="735">IF(AG64="","","|n"&amp;DM$2&amp;"+"&amp;AG64&amp;DM$1)</f>
        <v/>
      </c>
      <c r="DN64" s="43" t="str">
        <f t="shared" ref="DN64:DN65" si="736">IF(AH64="","","|n"&amp;DN$2&amp;"+"&amp;AH64&amp;DN$1)</f>
        <v/>
      </c>
      <c r="DO64" s="43" t="str">
        <f t="shared" ref="DO64:DO65" si="737">IF(AI64="","","|n"&amp;DO$2&amp;"+"&amp;AI64&amp;DO$1)</f>
        <v/>
      </c>
      <c r="DP64" s="43" t="str">
        <f t="shared" ref="DP64:DP65" si="738">IF(AJ64="","","|n"&amp;DP$2&amp;"+"&amp;AJ64&amp;DP$1)</f>
        <v/>
      </c>
      <c r="DQ64" s="43" t="str">
        <f t="shared" ref="DQ64:DQ65" si="739">IF(AK64="","","|n"&amp;DQ$2&amp;"+"&amp;AK64&amp;DQ$1)</f>
        <v/>
      </c>
      <c r="DR64" s="43" t="str">
        <f t="shared" ref="DR64:DR65" si="740">IF(AL64="","","|n"&amp;DR$2&amp;"+"&amp;AL64&amp;DR$1)</f>
        <v/>
      </c>
      <c r="DS64" s="43" t="str">
        <f t="shared" ref="DS64:DS65" si="741">IF(AM64="","","|n"&amp;DS$2&amp;"+"&amp;AM64&amp;DS$1)</f>
        <v/>
      </c>
      <c r="DT64" s="43" t="str">
        <f t="shared" ref="DT64:DT65" si="742">IF(AN64="","","|n"&amp;DT$2&amp;"+"&amp;AN64&amp;DT$1)</f>
        <v/>
      </c>
      <c r="DU64" s="43" t="str">
        <f t="shared" ref="DU64:DU65" si="743">IF(AO64="","","|n"&amp;DU$2&amp;"+"&amp;AO64&amp;DU$1)</f>
        <v/>
      </c>
      <c r="DV64" s="43" t="str">
        <f t="shared" ref="DV64:DV65" si="744">IF(AP64="","","|n"&amp;DV$2&amp;"+"&amp;AP64&amp;DV$1)</f>
        <v/>
      </c>
      <c r="DW64" s="43" t="str">
        <f t="shared" ref="DW64:DW65" si="745">IF(AQ64="","","|n"&amp;DW$2&amp;"+"&amp;AQ64&amp;DW$1)</f>
        <v/>
      </c>
      <c r="DX64" s="43" t="str">
        <f t="shared" ref="DX64:DX65" si="746">IF(AR64="","","|n"&amp;DX$2&amp;"+"&amp;AR64&amp;DX$1)</f>
        <v/>
      </c>
      <c r="DY64" s="43" t="str">
        <f t="shared" ref="DY64:DY65" si="747">IF(AS64="","","|n"&amp;DY$2&amp;"+"&amp;AS64&amp;DY$1)</f>
        <v/>
      </c>
      <c r="DZ64" s="43" t="str">
        <f t="shared" ref="DZ64:DZ65" si="748">IF(AT64="","","|n"&amp;DZ$2&amp;"+"&amp;AT64&amp;DZ$1)</f>
        <v/>
      </c>
      <c r="EA64" s="43" t="str">
        <f t="shared" ref="EA64:EA65" si="749">IF(AU64="","","|n"&amp;EA$2&amp;"+"&amp;AU64&amp;EA$1)</f>
        <v/>
      </c>
      <c r="EB64" s="43" t="str">
        <f t="shared" ref="EB64:EB65" si="750">IF(AV64="","","|n"&amp;EB$2&amp;"+"&amp;AV64&amp;EB$1)</f>
        <v/>
      </c>
      <c r="EC64" s="43" t="str">
        <f t="shared" ref="EC64:EC65" si="751">IF(AW64="","","|n"&amp;EC$2&amp;"+"&amp;AW64&amp;EC$1)</f>
        <v>|n生命恢复%+1</v>
      </c>
      <c r="ED64" s="43" t="str">
        <f t="shared" ref="ED64:ED65" si="752">IF(AX64="","","|n"&amp;ED$2&amp;"+"&amp;AX64&amp;ED$1)</f>
        <v/>
      </c>
      <c r="EE64" s="43" t="str">
        <f t="shared" ref="EE64:EE65" si="753">IF(AY64="","","|n"&amp;EE$2&amp;"+"&amp;AY64&amp;EE$1)</f>
        <v/>
      </c>
      <c r="EF64" s="43" t="str">
        <f t="shared" ref="EF64:EF65" si="754">IF(AZ64="","","|n"&amp;EF$2&amp;"+"&amp;AZ64&amp;EF$1)</f>
        <v/>
      </c>
      <c r="EG64" s="43" t="str">
        <f t="shared" ref="EG64:EG65" si="755">IF(BA64="","","|n"&amp;EG$2&amp;"+"&amp;BA64&amp;EG$1)</f>
        <v/>
      </c>
      <c r="EH64" s="43" t="str">
        <f t="shared" ref="EH64:EH65" si="756">IF(BB64="","","|n"&amp;EH$2&amp;"+"&amp;BB64&amp;EH$1)</f>
        <v/>
      </c>
      <c r="EI64" s="43" t="str">
        <f t="shared" ref="EI64:EI65" si="757">IF(BC64="","","|n"&amp;EI$2&amp;"+"&amp;BC64&amp;EI$1)</f>
        <v/>
      </c>
      <c r="EJ64" s="43" t="str">
        <f t="shared" ref="EJ64:EJ65" si="758">IF(BD64="","","|n"&amp;EJ$2&amp;"+"&amp;BD64&amp;EJ$1)</f>
        <v/>
      </c>
      <c r="EK64" s="43" t="str">
        <f t="shared" ref="EK64:EK65" si="759">IF(BE64="","","|n"&amp;EK$2&amp;"+"&amp;BE64&amp;EK$1)</f>
        <v/>
      </c>
      <c r="EL64" s="43" t="str">
        <f t="shared" ref="EL64:EL65" si="760">IF(BF64="","","|n"&amp;EL$2&amp;"+"&amp;BF64&amp;EL$1)</f>
        <v/>
      </c>
      <c r="EM64" s="43" t="str">
        <f t="shared" ref="EM64:EM65" si="761">IF(BG64="","","|n"&amp;EM$2&amp;"+"&amp;BG64&amp;EM$1)</f>
        <v/>
      </c>
      <c r="EN64" s="43" t="str">
        <f t="shared" ref="EN64:EN65" si="762">IF(BH64="","","|n"&amp;EN$2&amp;"+"&amp;BH64&amp;EN$1)</f>
        <v/>
      </c>
      <c r="EO64" s="43" t="str">
        <f t="shared" ref="EO64:EO65" si="763">IF(BI64="","","|n"&amp;EO$2&amp;"+"&amp;BI64&amp;EO$1)</f>
        <v/>
      </c>
      <c r="EP64" s="43" t="str">
        <f t="shared" ref="EP64:EP65" si="764">IF(BJ64="","","|n"&amp;EP$2&amp;"+"&amp;BJ64&amp;EP$1)</f>
        <v/>
      </c>
      <c r="EQ64" s="43" t="str">
        <f t="shared" ref="EQ64:EQ65" si="765">IF(BK64="","","|n"&amp;EQ$2&amp;"+"&amp;BK64&amp;EQ$1)</f>
        <v/>
      </c>
      <c r="ER64" s="43" t="str">
        <f t="shared" ref="ER64:ER65" si="766">IF(BL64="","","|n"&amp;ER$2&amp;"+"&amp;BL64&amp;ER$1)</f>
        <v/>
      </c>
      <c r="ES64" s="43" t="str">
        <f t="shared" ref="ES64:ES65" si="767">IF(BM64="","","|n"&amp;ES$2&amp;"+"&amp;BM64&amp;ES$1)</f>
        <v/>
      </c>
      <c r="ET64" s="43" t="str">
        <f t="shared" ref="ET64:ET65" si="768">IF(BN64="","","|n"&amp;ET$2&amp;"+"&amp;BN64&amp;ET$1)</f>
        <v/>
      </c>
      <c r="EU64" s="43" t="str">
        <f t="shared" ref="EU64:EU65" si="769">IF(BO64="","","|n"&amp;EU$2&amp;"+"&amp;BO64&amp;EU$1)</f>
        <v/>
      </c>
      <c r="EV64" s="43" t="str">
        <f t="shared" ref="EV64:EV65" si="770">IF(BP64="","","|n"&amp;EV$2&amp;"+"&amp;BP64&amp;EV$1)</f>
        <v/>
      </c>
      <c r="EW64" s="43" t="str">
        <f t="shared" ref="EW64:EW65" si="771">IF(BQ64="","","|n"&amp;EW$2&amp;"+"&amp;BQ64&amp;EW$1)</f>
        <v/>
      </c>
      <c r="EX64" s="43" t="str">
        <f t="shared" ref="EX64:EX65" si="772">IF(BR64="","","|n"&amp;EX$2&amp;"+"&amp;BR64&amp;EX$1)</f>
        <v/>
      </c>
      <c r="EY64" s="43" t="str">
        <f t="shared" ref="EY64:EY65" si="773">IF(BS64="","","|n"&amp;EY$2&amp;"+"&amp;BS64&amp;EY$1)</f>
        <v/>
      </c>
      <c r="EZ64" s="43" t="str">
        <f t="shared" ref="EZ64:EZ65" si="774">IF(BT64="","","|n"&amp;EZ$2&amp;"+"&amp;BT64&amp;EZ$1)</f>
        <v/>
      </c>
      <c r="FA64" s="43" t="str">
        <f t="shared" ref="FA64:FA65" si="775">IF(BU64="","","|n"&amp;FA$2&amp;"+"&amp;BU64&amp;FA$1)</f>
        <v/>
      </c>
      <c r="FB64" s="43" t="str">
        <f t="shared" ref="FB64:FB65" si="776">IF(BV64="","","|n"&amp;FB$2&amp;"+"&amp;BV64&amp;FB$1)</f>
        <v/>
      </c>
      <c r="FC64" s="43" t="str">
        <f t="shared" ref="FC64:FC65" si="777">IF(BW64="","","|n"&amp;FC$2&amp;"+"&amp;BW64&amp;FC$1)</f>
        <v/>
      </c>
      <c r="FD64" s="43" t="str">
        <f t="shared" ref="FD64:FD65" si="778">IF(BX64="","","|n"&amp;FD$2&amp;"+"&amp;BX64&amp;FD$1)</f>
        <v/>
      </c>
      <c r="FE64" s="43" t="str">
        <f t="shared" ref="FE64:FE65" si="779">IF(BY64="","","|n"&amp;FE$2&amp;"+"&amp;BY64&amp;FE$1)</f>
        <v/>
      </c>
      <c r="FF64" s="43" t="str">
        <f t="shared" ref="FF64:FF65" si="780">IF(BZ64="","","|n"&amp;FF$2&amp;"+"&amp;BZ64&amp;FF$1)</f>
        <v/>
      </c>
      <c r="FG64" s="43" t="str">
        <f t="shared" ref="FG64:FG65" si="781">IF(CA64="","","|n"&amp;FG$2&amp;"+"&amp;CA64&amp;FG$1)</f>
        <v/>
      </c>
      <c r="FH64" s="43" t="str">
        <f t="shared" ref="FH64:FH65" si="782">IF(CB64="","","|n"&amp;FH$2&amp;"+"&amp;CB64&amp;FH$1)</f>
        <v/>
      </c>
      <c r="FI64" s="43" t="str">
        <f t="shared" ref="FI64:FI65" si="783">IF(CC64="","","|n"&amp;FI$2&amp;"+"&amp;CC64&amp;FI$1)</f>
        <v/>
      </c>
      <c r="FJ64" s="43" t="str">
        <f t="shared" ref="FJ64:FJ65" si="784">IF(CD64="","","|n"&amp;FJ$2&amp;"+"&amp;CD64&amp;FJ$1)</f>
        <v/>
      </c>
      <c r="FK64" s="43" t="str">
        <f t="shared" ref="FK64:FK65" si="785">IF(CE64="","","|n"&amp;FK$2&amp;"+"&amp;CE64&amp;FK$1)</f>
        <v/>
      </c>
      <c r="FL64" s="43" t="str">
        <f t="shared" ref="FL64:FL65" si="786">IF(CF64="","","|n"&amp;FL$2&amp;"+"&amp;CF64&amp;FL$1)</f>
        <v/>
      </c>
      <c r="FM64" s="43" t="str">
        <f t="shared" ref="FM64:FM65" si="787">IF(CG64="","","|n"&amp;FM$2&amp;"+"&amp;CG64&amp;FM$1)</f>
        <v/>
      </c>
      <c r="FN64" s="43" t="str">
        <f t="shared" ref="FN64:FN65" si="788">IF(CH64="","","|n"&amp;FN$2&amp;"+"&amp;CH64&amp;FN$1)</f>
        <v/>
      </c>
      <c r="FO64" s="43" t="str">
        <f t="shared" ref="FO64:FO65" si="789">IF(CI64="","","|n"&amp;FO$2&amp;"+"&amp;CI64&amp;FO$1)</f>
        <v/>
      </c>
      <c r="FP64" s="43" t="str">
        <f t="shared" ref="FP64:FP65" si="790">IF(CJ64="","","|n"&amp;FP$2&amp;"+"&amp;CJ64&amp;FP$1)</f>
        <v/>
      </c>
      <c r="FQ64" s="43" t="str">
        <f t="shared" ref="FQ64:FQ65" si="791">IF(CK64="","","|n"&amp;FQ$2&amp;"+"&amp;CK64&amp;FQ$1)</f>
        <v/>
      </c>
      <c r="FR64" s="43" t="str">
        <f t="shared" ref="FR64:FR65" si="792">IF(CL64="","","|n"&amp;FR$2&amp;"+"&amp;CL64&amp;FR$1)</f>
        <v/>
      </c>
      <c r="FS64" s="43" t="str">
        <f t="shared" ref="FS64:FS65" si="793">IF(CM64="","","|n"&amp;FS$2&amp;"+"&amp;CM64&amp;FS$1)</f>
        <v/>
      </c>
    </row>
    <row r="65" s="6" customFormat="1" ht="15" spans="1:175">
      <c r="A65" s="10"/>
      <c r="B65" s="45" t="s">
        <v>310</v>
      </c>
      <c r="C65" s="10" t="s">
        <v>311</v>
      </c>
      <c r="D65" s="46"/>
      <c r="E65" s="47"/>
      <c r="F65" s="48">
        <v>3000</v>
      </c>
      <c r="G65" s="49">
        <v>80</v>
      </c>
      <c r="H65" s="49"/>
      <c r="I65" s="49" t="str">
        <f t="shared" si="441"/>
        <v>E214</v>
      </c>
      <c r="J65" s="49"/>
      <c r="K65" s="49"/>
      <c r="L65" s="49"/>
      <c r="M65" s="49"/>
      <c r="N65" s="49"/>
      <c r="O65" s="49"/>
      <c r="P65" s="54"/>
      <c r="Q65" s="54"/>
      <c r="R65" s="54"/>
      <c r="S65" s="61"/>
      <c r="T65" s="62"/>
      <c r="U65" s="59" t="s">
        <v>307</v>
      </c>
      <c r="V65" s="60"/>
      <c r="W65" s="60"/>
      <c r="X65" s="60">
        <v>660</v>
      </c>
      <c r="Y65" s="60"/>
      <c r="Z65" s="60">
        <v>67500</v>
      </c>
      <c r="AA65" s="60"/>
      <c r="AB65" s="60">
        <f t="shared" si="294"/>
        <v>1350</v>
      </c>
      <c r="AC65" s="60"/>
      <c r="AD65" s="60"/>
      <c r="AE65" s="60"/>
      <c r="AF65" s="60"/>
      <c r="AG65" s="64"/>
      <c r="AH65" s="60"/>
      <c r="AI65" s="60"/>
      <c r="AJ65" s="60"/>
      <c r="AK65" s="60"/>
      <c r="AL65" s="64"/>
      <c r="AM65" s="60"/>
      <c r="AN65" s="60"/>
      <c r="AO65" s="60"/>
      <c r="AP65" s="60"/>
      <c r="AQ65" s="60"/>
      <c r="AR65" s="66"/>
      <c r="AS65" s="66"/>
      <c r="AT65" s="60"/>
      <c r="AU65" s="60"/>
      <c r="AV65" s="60"/>
      <c r="AW65" s="60">
        <v>1</v>
      </c>
      <c r="AX65" s="60"/>
      <c r="AY65" s="60"/>
      <c r="AZ65" s="60"/>
      <c r="BA65" s="60"/>
      <c r="BB65" s="60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60"/>
      <c r="CF65" s="60"/>
      <c r="CG65" s="60"/>
      <c r="CH65" s="60"/>
      <c r="CI65" s="60"/>
      <c r="CJ65" s="60"/>
      <c r="CK65" s="60"/>
      <c r="CL65" s="60"/>
      <c r="CM65" s="60"/>
      <c r="CN65" s="69" t="str">
        <f t="shared" si="295"/>
        <v>InitUnitState('E213',,,660,,67500,,1350,,,)</v>
      </c>
      <c r="CO65" s="69" t="str">
        <f t="shared" si="296"/>
        <v>InitUnitNormal('E213',,,,,,,,,,)</v>
      </c>
      <c r="CP65" s="69" t="str">
        <f t="shared" si="297"/>
        <v>InitUnitMagic('E213',,,,,,,,1,,)</v>
      </c>
      <c r="CQ65" s="69" t="str">
        <f t="shared" si="298"/>
        <v>InitUnitAdd('E213',,,,,,,,,,)</v>
      </c>
      <c r="CR65" s="69" t="str">
        <f t="shared" si="653"/>
        <v>InitEquipData('E213',,"",,E214,3000,80,'','','','','','',"ReplaceableTextures\\CommandButtons\\BTNZ13.blp")</v>
      </c>
      <c r="CS65" s="69"/>
      <c r="CT65" s="69"/>
      <c r="CU65" s="71" t="str">
        <f t="shared" si="78"/>
        <v>|n护甲+660|n生命值+67500|n生命回复+1350|n生命恢复%+1|n</v>
      </c>
      <c r="CV65" s="5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|Cffbbbbbb属性：|r|n护甲+660|n生命值+67500|n生命回复+1350|n生命恢复%+1|n|n|Cff00ff7f点击消耗3000金币进行强化|n成功率80%</v>
      </c>
      <c r="DB65" s="43" t="str">
        <f t="shared" si="724"/>
        <v/>
      </c>
      <c r="DC65" s="43" t="str">
        <f t="shared" si="725"/>
        <v/>
      </c>
      <c r="DD65" s="43" t="str">
        <f t="shared" si="726"/>
        <v>|n护甲+660</v>
      </c>
      <c r="DE65" s="43" t="str">
        <f t="shared" si="727"/>
        <v/>
      </c>
      <c r="DF65" s="43" t="str">
        <f t="shared" si="728"/>
        <v>|n生命值+67500</v>
      </c>
      <c r="DG65" s="43" t="str">
        <f t="shared" si="729"/>
        <v/>
      </c>
      <c r="DH65" s="43" t="str">
        <f t="shared" si="730"/>
        <v>|n生命回复+1350</v>
      </c>
      <c r="DI65" s="43" t="str">
        <f t="shared" si="731"/>
        <v/>
      </c>
      <c r="DJ65" s="43" t="str">
        <f t="shared" si="732"/>
        <v/>
      </c>
      <c r="DK65" s="43" t="str">
        <f t="shared" si="733"/>
        <v/>
      </c>
      <c r="DL65" s="43" t="str">
        <f t="shared" si="734"/>
        <v/>
      </c>
      <c r="DM65" s="43" t="str">
        <f t="shared" si="735"/>
        <v/>
      </c>
      <c r="DN65" s="43" t="str">
        <f t="shared" si="736"/>
        <v/>
      </c>
      <c r="DO65" s="43" t="str">
        <f t="shared" si="737"/>
        <v/>
      </c>
      <c r="DP65" s="43" t="str">
        <f t="shared" si="738"/>
        <v/>
      </c>
      <c r="DQ65" s="43" t="str">
        <f t="shared" si="739"/>
        <v/>
      </c>
      <c r="DR65" s="43" t="str">
        <f t="shared" si="740"/>
        <v/>
      </c>
      <c r="DS65" s="43" t="str">
        <f t="shared" si="741"/>
        <v/>
      </c>
      <c r="DT65" s="43" t="str">
        <f t="shared" si="742"/>
        <v/>
      </c>
      <c r="DU65" s="43" t="str">
        <f t="shared" si="743"/>
        <v/>
      </c>
      <c r="DV65" s="43" t="str">
        <f t="shared" si="744"/>
        <v/>
      </c>
      <c r="DW65" s="43" t="str">
        <f t="shared" si="745"/>
        <v/>
      </c>
      <c r="DX65" s="43" t="str">
        <f t="shared" si="746"/>
        <v/>
      </c>
      <c r="DY65" s="43" t="str">
        <f t="shared" si="747"/>
        <v/>
      </c>
      <c r="DZ65" s="43" t="str">
        <f t="shared" si="748"/>
        <v/>
      </c>
      <c r="EA65" s="43" t="str">
        <f t="shared" si="749"/>
        <v/>
      </c>
      <c r="EB65" s="43" t="str">
        <f t="shared" si="750"/>
        <v/>
      </c>
      <c r="EC65" s="43" t="str">
        <f t="shared" si="751"/>
        <v>|n生命恢复%+1</v>
      </c>
      <c r="ED65" s="43" t="str">
        <f t="shared" si="752"/>
        <v/>
      </c>
      <c r="EE65" s="43" t="str">
        <f t="shared" si="753"/>
        <v/>
      </c>
      <c r="EF65" s="43" t="str">
        <f t="shared" si="754"/>
        <v/>
      </c>
      <c r="EG65" s="43" t="str">
        <f t="shared" si="755"/>
        <v/>
      </c>
      <c r="EH65" s="43" t="str">
        <f t="shared" si="756"/>
        <v/>
      </c>
      <c r="EI65" s="43" t="str">
        <f t="shared" si="757"/>
        <v/>
      </c>
      <c r="EJ65" s="43" t="str">
        <f t="shared" si="758"/>
        <v/>
      </c>
      <c r="EK65" s="43" t="str">
        <f t="shared" si="759"/>
        <v/>
      </c>
      <c r="EL65" s="43" t="str">
        <f t="shared" si="760"/>
        <v/>
      </c>
      <c r="EM65" s="43" t="str">
        <f t="shared" si="761"/>
        <v/>
      </c>
      <c r="EN65" s="43" t="str">
        <f t="shared" si="762"/>
        <v/>
      </c>
      <c r="EO65" s="43" t="str">
        <f t="shared" si="763"/>
        <v/>
      </c>
      <c r="EP65" s="43" t="str">
        <f t="shared" si="764"/>
        <v/>
      </c>
      <c r="EQ65" s="43" t="str">
        <f t="shared" si="765"/>
        <v/>
      </c>
      <c r="ER65" s="43" t="str">
        <f t="shared" si="766"/>
        <v/>
      </c>
      <c r="ES65" s="43" t="str">
        <f t="shared" si="767"/>
        <v/>
      </c>
      <c r="ET65" s="43" t="str">
        <f t="shared" si="768"/>
        <v/>
      </c>
      <c r="EU65" s="43" t="str">
        <f t="shared" si="769"/>
        <v/>
      </c>
      <c r="EV65" s="43" t="str">
        <f t="shared" si="770"/>
        <v/>
      </c>
      <c r="EW65" s="43" t="str">
        <f t="shared" si="771"/>
        <v/>
      </c>
      <c r="EX65" s="43" t="str">
        <f t="shared" si="772"/>
        <v/>
      </c>
      <c r="EY65" s="43" t="str">
        <f t="shared" si="773"/>
        <v/>
      </c>
      <c r="EZ65" s="43" t="str">
        <f t="shared" si="774"/>
        <v/>
      </c>
      <c r="FA65" s="43" t="str">
        <f t="shared" si="775"/>
        <v/>
      </c>
      <c r="FB65" s="43" t="str">
        <f t="shared" si="776"/>
        <v/>
      </c>
      <c r="FC65" s="43" t="str">
        <f t="shared" si="777"/>
        <v/>
      </c>
      <c r="FD65" s="43" t="str">
        <f t="shared" si="778"/>
        <v/>
      </c>
      <c r="FE65" s="43" t="str">
        <f t="shared" si="779"/>
        <v/>
      </c>
      <c r="FF65" s="43" t="str">
        <f t="shared" si="780"/>
        <v/>
      </c>
      <c r="FG65" s="43" t="str">
        <f t="shared" si="781"/>
        <v/>
      </c>
      <c r="FH65" s="43" t="str">
        <f t="shared" si="782"/>
        <v/>
      </c>
      <c r="FI65" s="43" t="str">
        <f t="shared" si="783"/>
        <v/>
      </c>
      <c r="FJ65" s="43" t="str">
        <f t="shared" si="784"/>
        <v/>
      </c>
      <c r="FK65" s="43" t="str">
        <f t="shared" si="785"/>
        <v/>
      </c>
      <c r="FL65" s="43" t="str">
        <f t="shared" si="786"/>
        <v/>
      </c>
      <c r="FM65" s="43" t="str">
        <f t="shared" si="787"/>
        <v/>
      </c>
      <c r="FN65" s="43" t="str">
        <f t="shared" si="788"/>
        <v/>
      </c>
      <c r="FO65" s="43" t="str">
        <f t="shared" si="789"/>
        <v/>
      </c>
      <c r="FP65" s="43" t="str">
        <f t="shared" si="790"/>
        <v/>
      </c>
      <c r="FQ65" s="43" t="str">
        <f t="shared" si="791"/>
        <v/>
      </c>
      <c r="FR65" s="43" t="str">
        <f t="shared" si="792"/>
        <v/>
      </c>
      <c r="FS65" s="43" t="str">
        <f t="shared" si="793"/>
        <v/>
      </c>
    </row>
    <row r="66" s="6" customFormat="1" ht="15" spans="1:175">
      <c r="A66" s="10"/>
      <c r="B66" s="45" t="s">
        <v>312</v>
      </c>
      <c r="C66" s="10" t="s">
        <v>313</v>
      </c>
      <c r="D66" s="46"/>
      <c r="E66" s="47"/>
      <c r="F66" s="48">
        <v>3000</v>
      </c>
      <c r="G66" s="49">
        <v>80</v>
      </c>
      <c r="H66" s="49"/>
      <c r="I66" s="49" t="str">
        <f t="shared" si="441"/>
        <v>E215</v>
      </c>
      <c r="J66" s="49"/>
      <c r="K66" s="49"/>
      <c r="L66" s="49"/>
      <c r="M66" s="49"/>
      <c r="N66" s="49"/>
      <c r="O66" s="49"/>
      <c r="P66" s="54"/>
      <c r="Q66" s="54"/>
      <c r="R66" s="54"/>
      <c r="S66" s="61"/>
      <c r="T66" s="62"/>
      <c r="U66" s="59" t="s">
        <v>307</v>
      </c>
      <c r="V66" s="60"/>
      <c r="W66" s="60"/>
      <c r="X66" s="60">
        <v>740</v>
      </c>
      <c r="Y66" s="60"/>
      <c r="Z66" s="60">
        <v>82500</v>
      </c>
      <c r="AA66" s="60"/>
      <c r="AB66" s="60">
        <f t="shared" si="294"/>
        <v>1650</v>
      </c>
      <c r="AC66" s="60"/>
      <c r="AD66" s="60"/>
      <c r="AE66" s="60"/>
      <c r="AF66" s="60"/>
      <c r="AG66" s="64"/>
      <c r="AH66" s="60"/>
      <c r="AI66" s="60"/>
      <c r="AJ66" s="60"/>
      <c r="AK66" s="60"/>
      <c r="AL66" s="64"/>
      <c r="AM66" s="60"/>
      <c r="AN66" s="60"/>
      <c r="AO66" s="60"/>
      <c r="AP66" s="60"/>
      <c r="AQ66" s="60"/>
      <c r="AR66" s="66"/>
      <c r="AS66" s="66"/>
      <c r="AT66" s="60"/>
      <c r="AU66" s="60"/>
      <c r="AV66" s="60"/>
      <c r="AW66" s="60">
        <v>1</v>
      </c>
      <c r="AX66" s="60"/>
      <c r="AY66" s="60"/>
      <c r="AZ66" s="60"/>
      <c r="BA66" s="60"/>
      <c r="BB66" s="60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60"/>
      <c r="CF66" s="60"/>
      <c r="CG66" s="60"/>
      <c r="CH66" s="60"/>
      <c r="CI66" s="60"/>
      <c r="CJ66" s="60"/>
      <c r="CK66" s="60"/>
      <c r="CL66" s="60"/>
      <c r="CM66" s="60"/>
      <c r="CN66" s="69" t="str">
        <f t="shared" si="295"/>
        <v>InitUnitState('E214',,,740,,82500,,1650,,,)</v>
      </c>
      <c r="CO66" s="69" t="str">
        <f t="shared" si="296"/>
        <v>InitUnitNormal('E214',,,,,,,,,,)</v>
      </c>
      <c r="CP66" s="69" t="str">
        <f t="shared" si="297"/>
        <v>InitUnitMagic('E214',,,,,,,,1,,)</v>
      </c>
      <c r="CQ66" s="69" t="str">
        <f t="shared" si="298"/>
        <v>InitUnitAdd('E214',,,,,,,,,,)</v>
      </c>
      <c r="CR66" s="69" t="str">
        <f t="shared" si="653"/>
        <v>InitEquipData('E214',,"",,E215,3000,80,'','','','','','',"ReplaceableTextures\\CommandButtons\\BTNZ13.blp")</v>
      </c>
      <c r="CS66" s="69"/>
      <c r="CT66" s="69"/>
      <c r="CU66" s="71" t="str">
        <f t="shared" si="78"/>
        <v>|n护甲+740|n生命值+82500|n生命回复+1650|n生命恢复%+1|n</v>
      </c>
      <c r="CV66" s="5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|Cffbbbbbb属性：|r|n护甲+740|n生命值+82500|n生命回复+1650|n生命恢复%+1|n|n|Cff00ff7f点击消耗3000金币进行强化|n成功率80%</v>
      </c>
      <c r="DB66" s="43" t="str">
        <f t="shared" ref="DB66:DB69" si="794">IF(V66="","","|n"&amp;DB$2&amp;"+"&amp;V66&amp;DB$1)</f>
        <v/>
      </c>
      <c r="DC66" s="43" t="str">
        <f t="shared" ref="DC66:DC69" si="795">IF(W66="","","|n"&amp;DC$2&amp;"+"&amp;W66&amp;DC$1)</f>
        <v/>
      </c>
      <c r="DD66" s="43" t="str">
        <f t="shared" ref="DD66:DD69" si="796">IF(X66="","","|n"&amp;DD$2&amp;"+"&amp;X66&amp;DD$1)</f>
        <v>|n护甲+740</v>
      </c>
      <c r="DE66" s="43" t="str">
        <f t="shared" ref="DE66:DE69" si="797">IF(Y66="","","|n"&amp;DE$2&amp;"+"&amp;Y66&amp;DE$1)</f>
        <v/>
      </c>
      <c r="DF66" s="43" t="str">
        <f t="shared" ref="DF66:DF69" si="798">IF(Z66="","","|n"&amp;DF$2&amp;"+"&amp;Z66&amp;DF$1)</f>
        <v>|n生命值+82500</v>
      </c>
      <c r="DG66" s="43" t="str">
        <f t="shared" ref="DG66:DG69" si="799">IF(AA66="","","|n"&amp;DG$2&amp;"+"&amp;AA66&amp;DG$1)</f>
        <v/>
      </c>
      <c r="DH66" s="43" t="str">
        <f t="shared" ref="DH66:DH69" si="800">IF(AB66="","","|n"&amp;DH$2&amp;"+"&amp;AB66&amp;DH$1)</f>
        <v>|n生命回复+1650</v>
      </c>
      <c r="DI66" s="43" t="str">
        <f t="shared" ref="DI66:DI69" si="801">IF(AC66="","","|n"&amp;DI$2&amp;"+"&amp;AC66&amp;DI$1)</f>
        <v/>
      </c>
      <c r="DJ66" s="43" t="str">
        <f t="shared" ref="DJ66:DJ69" si="802">IF(AD66="","","|n"&amp;DJ$2&amp;"+"&amp;AD66&amp;DJ$1)</f>
        <v/>
      </c>
      <c r="DK66" s="43" t="str">
        <f t="shared" ref="DK66:DK69" si="803">IF(AE66="","","|n"&amp;DK$2&amp;"+"&amp;AE66&amp;DK$1)</f>
        <v/>
      </c>
      <c r="DL66" s="43" t="str">
        <f t="shared" ref="DL66:DL69" si="804">IF(AF66="","","|n"&amp;DL$2&amp;"+"&amp;AF66&amp;DL$1)</f>
        <v/>
      </c>
      <c r="DM66" s="43" t="str">
        <f t="shared" ref="DM66:DM69" si="805">IF(AG66="","","|n"&amp;DM$2&amp;"+"&amp;AG66&amp;DM$1)</f>
        <v/>
      </c>
      <c r="DN66" s="43" t="str">
        <f t="shared" ref="DN66:DN69" si="806">IF(AH66="","","|n"&amp;DN$2&amp;"+"&amp;AH66&amp;DN$1)</f>
        <v/>
      </c>
      <c r="DO66" s="43" t="str">
        <f t="shared" ref="DO66:DO69" si="807">IF(AI66="","","|n"&amp;DO$2&amp;"+"&amp;AI66&amp;DO$1)</f>
        <v/>
      </c>
      <c r="DP66" s="43" t="str">
        <f t="shared" ref="DP66:DP69" si="808">IF(AJ66="","","|n"&amp;DP$2&amp;"+"&amp;AJ66&amp;DP$1)</f>
        <v/>
      </c>
      <c r="DQ66" s="43" t="str">
        <f t="shared" ref="DQ66:DQ69" si="809">IF(AK66="","","|n"&amp;DQ$2&amp;"+"&amp;AK66&amp;DQ$1)</f>
        <v/>
      </c>
      <c r="DR66" s="43" t="str">
        <f t="shared" ref="DR66:DR69" si="810">IF(AL66="","","|n"&amp;DR$2&amp;"+"&amp;AL66&amp;DR$1)</f>
        <v/>
      </c>
      <c r="DS66" s="43" t="str">
        <f t="shared" ref="DS66:DS69" si="811">IF(AM66="","","|n"&amp;DS$2&amp;"+"&amp;AM66&amp;DS$1)</f>
        <v/>
      </c>
      <c r="DT66" s="43" t="str">
        <f t="shared" ref="DT66:DT69" si="812">IF(AN66="","","|n"&amp;DT$2&amp;"+"&amp;AN66&amp;DT$1)</f>
        <v/>
      </c>
      <c r="DU66" s="43" t="str">
        <f t="shared" ref="DU66:DU69" si="813">IF(AO66="","","|n"&amp;DU$2&amp;"+"&amp;AO66&amp;DU$1)</f>
        <v/>
      </c>
      <c r="DV66" s="43" t="str">
        <f t="shared" ref="DV66:DV69" si="814">IF(AP66="","","|n"&amp;DV$2&amp;"+"&amp;AP66&amp;DV$1)</f>
        <v/>
      </c>
      <c r="DW66" s="43" t="str">
        <f t="shared" ref="DW66:DW69" si="815">IF(AQ66="","","|n"&amp;DW$2&amp;"+"&amp;AQ66&amp;DW$1)</f>
        <v/>
      </c>
      <c r="DX66" s="43" t="str">
        <f t="shared" ref="DX66:DX69" si="816">IF(AR66="","","|n"&amp;DX$2&amp;"+"&amp;AR66&amp;DX$1)</f>
        <v/>
      </c>
      <c r="DY66" s="43" t="str">
        <f t="shared" ref="DY66:DY69" si="817">IF(AS66="","","|n"&amp;DY$2&amp;"+"&amp;AS66&amp;DY$1)</f>
        <v/>
      </c>
      <c r="DZ66" s="43" t="str">
        <f t="shared" ref="DZ66:DZ69" si="818">IF(AT66="","","|n"&amp;DZ$2&amp;"+"&amp;AT66&amp;DZ$1)</f>
        <v/>
      </c>
      <c r="EA66" s="43" t="str">
        <f t="shared" ref="EA66:EA69" si="819">IF(AU66="","","|n"&amp;EA$2&amp;"+"&amp;AU66&amp;EA$1)</f>
        <v/>
      </c>
      <c r="EB66" s="43" t="str">
        <f t="shared" ref="EB66:EB69" si="820">IF(AV66="","","|n"&amp;EB$2&amp;"+"&amp;AV66&amp;EB$1)</f>
        <v/>
      </c>
      <c r="EC66" s="43" t="str">
        <f t="shared" ref="EC66:EC69" si="821">IF(AW66="","","|n"&amp;EC$2&amp;"+"&amp;AW66&amp;EC$1)</f>
        <v>|n生命恢复%+1</v>
      </c>
      <c r="ED66" s="43" t="str">
        <f t="shared" ref="ED66:ED69" si="822">IF(AX66="","","|n"&amp;ED$2&amp;"+"&amp;AX66&amp;ED$1)</f>
        <v/>
      </c>
      <c r="EE66" s="43" t="str">
        <f t="shared" ref="EE66:EE69" si="823">IF(AY66="","","|n"&amp;EE$2&amp;"+"&amp;AY66&amp;EE$1)</f>
        <v/>
      </c>
      <c r="EF66" s="43" t="str">
        <f t="shared" ref="EF66:EF69" si="824">IF(AZ66="","","|n"&amp;EF$2&amp;"+"&amp;AZ66&amp;EF$1)</f>
        <v/>
      </c>
      <c r="EG66" s="43" t="str">
        <f t="shared" ref="EG66:EG69" si="825">IF(BA66="","","|n"&amp;EG$2&amp;"+"&amp;BA66&amp;EG$1)</f>
        <v/>
      </c>
      <c r="EH66" s="43" t="str">
        <f t="shared" ref="EH66:EH69" si="826">IF(BB66="","","|n"&amp;EH$2&amp;"+"&amp;BB66&amp;EH$1)</f>
        <v/>
      </c>
      <c r="EI66" s="43" t="str">
        <f t="shared" ref="EI66:EI69" si="827">IF(BC66="","","|n"&amp;EI$2&amp;"+"&amp;BC66&amp;EI$1)</f>
        <v/>
      </c>
      <c r="EJ66" s="43" t="str">
        <f t="shared" ref="EJ66:EJ69" si="828">IF(BD66="","","|n"&amp;EJ$2&amp;"+"&amp;BD66&amp;EJ$1)</f>
        <v/>
      </c>
      <c r="EK66" s="43" t="str">
        <f t="shared" ref="EK66:EK69" si="829">IF(BE66="","","|n"&amp;EK$2&amp;"+"&amp;BE66&amp;EK$1)</f>
        <v/>
      </c>
      <c r="EL66" s="43" t="str">
        <f t="shared" ref="EL66:EL69" si="830">IF(BF66="","","|n"&amp;EL$2&amp;"+"&amp;BF66&amp;EL$1)</f>
        <v/>
      </c>
      <c r="EM66" s="43" t="str">
        <f t="shared" ref="EM66:EM69" si="831">IF(BG66="","","|n"&amp;EM$2&amp;"+"&amp;BG66&amp;EM$1)</f>
        <v/>
      </c>
      <c r="EN66" s="43" t="str">
        <f t="shared" ref="EN66:EN69" si="832">IF(BH66="","","|n"&amp;EN$2&amp;"+"&amp;BH66&amp;EN$1)</f>
        <v/>
      </c>
      <c r="EO66" s="43" t="str">
        <f t="shared" ref="EO66:EO69" si="833">IF(BI66="","","|n"&amp;EO$2&amp;"+"&amp;BI66&amp;EO$1)</f>
        <v/>
      </c>
      <c r="EP66" s="43" t="str">
        <f t="shared" ref="EP66:EP69" si="834">IF(BJ66="","","|n"&amp;EP$2&amp;"+"&amp;BJ66&amp;EP$1)</f>
        <v/>
      </c>
      <c r="EQ66" s="43" t="str">
        <f t="shared" ref="EQ66:EQ69" si="835">IF(BK66="","","|n"&amp;EQ$2&amp;"+"&amp;BK66&amp;EQ$1)</f>
        <v/>
      </c>
      <c r="ER66" s="43" t="str">
        <f t="shared" ref="ER66:ER69" si="836">IF(BL66="","","|n"&amp;ER$2&amp;"+"&amp;BL66&amp;ER$1)</f>
        <v/>
      </c>
      <c r="ES66" s="43" t="str">
        <f t="shared" ref="ES66:ES69" si="837">IF(BM66="","","|n"&amp;ES$2&amp;"+"&amp;BM66&amp;ES$1)</f>
        <v/>
      </c>
      <c r="ET66" s="43" t="str">
        <f t="shared" ref="ET66:ET69" si="838">IF(BN66="","","|n"&amp;ET$2&amp;"+"&amp;BN66&amp;ET$1)</f>
        <v/>
      </c>
      <c r="EU66" s="43" t="str">
        <f t="shared" ref="EU66:EU69" si="839">IF(BO66="","","|n"&amp;EU$2&amp;"+"&amp;BO66&amp;EU$1)</f>
        <v/>
      </c>
      <c r="EV66" s="43" t="str">
        <f t="shared" ref="EV66:EV69" si="840">IF(BP66="","","|n"&amp;EV$2&amp;"+"&amp;BP66&amp;EV$1)</f>
        <v/>
      </c>
      <c r="EW66" s="43" t="str">
        <f t="shared" ref="EW66:EW69" si="841">IF(BQ66="","","|n"&amp;EW$2&amp;"+"&amp;BQ66&amp;EW$1)</f>
        <v/>
      </c>
      <c r="EX66" s="43" t="str">
        <f t="shared" ref="EX66:EX69" si="842">IF(BR66="","","|n"&amp;EX$2&amp;"+"&amp;BR66&amp;EX$1)</f>
        <v/>
      </c>
      <c r="EY66" s="43" t="str">
        <f t="shared" ref="EY66:EY69" si="843">IF(BS66="","","|n"&amp;EY$2&amp;"+"&amp;BS66&amp;EY$1)</f>
        <v/>
      </c>
      <c r="EZ66" s="43" t="str">
        <f t="shared" ref="EZ66:EZ69" si="844">IF(BT66="","","|n"&amp;EZ$2&amp;"+"&amp;BT66&amp;EZ$1)</f>
        <v/>
      </c>
      <c r="FA66" s="43" t="str">
        <f t="shared" ref="FA66:FA69" si="845">IF(BU66="","","|n"&amp;FA$2&amp;"+"&amp;BU66&amp;FA$1)</f>
        <v/>
      </c>
      <c r="FB66" s="43" t="str">
        <f t="shared" ref="FB66:FB69" si="846">IF(BV66="","","|n"&amp;FB$2&amp;"+"&amp;BV66&amp;FB$1)</f>
        <v/>
      </c>
      <c r="FC66" s="43" t="str">
        <f t="shared" ref="FC66:FC69" si="847">IF(BW66="","","|n"&amp;FC$2&amp;"+"&amp;BW66&amp;FC$1)</f>
        <v/>
      </c>
      <c r="FD66" s="43" t="str">
        <f t="shared" ref="FD66:FD69" si="848">IF(BX66="","","|n"&amp;FD$2&amp;"+"&amp;BX66&amp;FD$1)</f>
        <v/>
      </c>
      <c r="FE66" s="43" t="str">
        <f t="shared" ref="FE66:FE69" si="849">IF(BY66="","","|n"&amp;FE$2&amp;"+"&amp;BY66&amp;FE$1)</f>
        <v/>
      </c>
      <c r="FF66" s="43" t="str">
        <f t="shared" ref="FF66:FF69" si="850">IF(BZ66="","","|n"&amp;FF$2&amp;"+"&amp;BZ66&amp;FF$1)</f>
        <v/>
      </c>
      <c r="FG66" s="43" t="str">
        <f t="shared" ref="FG66:FG69" si="851">IF(CA66="","","|n"&amp;FG$2&amp;"+"&amp;CA66&amp;FG$1)</f>
        <v/>
      </c>
      <c r="FH66" s="43" t="str">
        <f t="shared" ref="FH66:FH69" si="852">IF(CB66="","","|n"&amp;FH$2&amp;"+"&amp;CB66&amp;FH$1)</f>
        <v/>
      </c>
      <c r="FI66" s="43" t="str">
        <f t="shared" ref="FI66:FI69" si="853">IF(CC66="","","|n"&amp;FI$2&amp;"+"&amp;CC66&amp;FI$1)</f>
        <v/>
      </c>
      <c r="FJ66" s="43" t="str">
        <f t="shared" ref="FJ66:FJ69" si="854">IF(CD66="","","|n"&amp;FJ$2&amp;"+"&amp;CD66&amp;FJ$1)</f>
        <v/>
      </c>
      <c r="FK66" s="43" t="str">
        <f t="shared" ref="FK66:FK69" si="855">IF(CE66="","","|n"&amp;FK$2&amp;"+"&amp;CE66&amp;FK$1)</f>
        <v/>
      </c>
      <c r="FL66" s="43" t="str">
        <f t="shared" ref="FL66:FL69" si="856">IF(CF66="","","|n"&amp;FL$2&amp;"+"&amp;CF66&amp;FL$1)</f>
        <v/>
      </c>
      <c r="FM66" s="43" t="str">
        <f t="shared" ref="FM66:FM69" si="857">IF(CG66="","","|n"&amp;FM$2&amp;"+"&amp;CG66&amp;FM$1)</f>
        <v/>
      </c>
      <c r="FN66" s="43" t="str">
        <f t="shared" ref="FN66:FN69" si="858">IF(CH66="","","|n"&amp;FN$2&amp;"+"&amp;CH66&amp;FN$1)</f>
        <v/>
      </c>
      <c r="FO66" s="43" t="str">
        <f t="shared" ref="FO66:FO69" si="859">IF(CI66="","","|n"&amp;FO$2&amp;"+"&amp;CI66&amp;FO$1)</f>
        <v/>
      </c>
      <c r="FP66" s="43" t="str">
        <f t="shared" ref="FP66:FP69" si="860">IF(CJ66="","","|n"&amp;FP$2&amp;"+"&amp;CJ66&amp;FP$1)</f>
        <v/>
      </c>
      <c r="FQ66" s="43" t="str">
        <f t="shared" ref="FQ66:FQ69" si="861">IF(CK66="","","|n"&amp;FQ$2&amp;"+"&amp;CK66&amp;FQ$1)</f>
        <v/>
      </c>
      <c r="FR66" s="43" t="str">
        <f t="shared" ref="FR66:FR69" si="862">IF(CL66="","","|n"&amp;FR$2&amp;"+"&amp;CL66&amp;FR$1)</f>
        <v/>
      </c>
      <c r="FS66" s="43" t="str">
        <f t="shared" ref="FS66:FS69" si="863">IF(CM66="","","|n"&amp;FS$2&amp;"+"&amp;CM66&amp;FS$1)</f>
        <v/>
      </c>
    </row>
    <row r="67" s="6" customFormat="1" ht="15" spans="1:175">
      <c r="A67" s="10"/>
      <c r="B67" s="45" t="s">
        <v>314</v>
      </c>
      <c r="C67" s="10" t="s">
        <v>315</v>
      </c>
      <c r="D67" s="46"/>
      <c r="E67" s="47"/>
      <c r="F67" s="48">
        <v>15000</v>
      </c>
      <c r="G67" s="49">
        <v>100</v>
      </c>
      <c r="H67" s="50" t="s">
        <v>316</v>
      </c>
      <c r="I67" s="49" t="str">
        <f t="shared" si="441"/>
        <v>E216</v>
      </c>
      <c r="J67" s="49"/>
      <c r="K67" s="49"/>
      <c r="L67" s="49"/>
      <c r="M67" s="49"/>
      <c r="N67" s="49"/>
      <c r="O67" s="49"/>
      <c r="P67" s="54"/>
      <c r="Q67" s="54"/>
      <c r="R67" s="54"/>
      <c r="S67" s="61"/>
      <c r="T67" s="62"/>
      <c r="U67" s="59" t="s">
        <v>307</v>
      </c>
      <c r="V67" s="60"/>
      <c r="W67" s="60"/>
      <c r="X67" s="60">
        <v>820</v>
      </c>
      <c r="Y67" s="60"/>
      <c r="Z67" s="60">
        <v>97500</v>
      </c>
      <c r="AA67" s="60"/>
      <c r="AB67" s="60">
        <f t="shared" si="294"/>
        <v>1950</v>
      </c>
      <c r="AC67" s="60"/>
      <c r="AD67" s="60"/>
      <c r="AE67" s="60"/>
      <c r="AF67" s="60"/>
      <c r="AG67" s="64"/>
      <c r="AH67" s="60"/>
      <c r="AI67" s="60"/>
      <c r="AJ67" s="60"/>
      <c r="AK67" s="60"/>
      <c r="AL67" s="64"/>
      <c r="AM67" s="60"/>
      <c r="AN67" s="60"/>
      <c r="AO67" s="60"/>
      <c r="AP67" s="60"/>
      <c r="AQ67" s="60"/>
      <c r="AR67" s="66"/>
      <c r="AS67" s="66"/>
      <c r="AT67" s="60"/>
      <c r="AU67" s="60"/>
      <c r="AV67" s="60"/>
      <c r="AW67" s="60">
        <v>1</v>
      </c>
      <c r="AX67" s="60"/>
      <c r="AY67" s="60"/>
      <c r="AZ67" s="60"/>
      <c r="BA67" s="60"/>
      <c r="BB67" s="60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60"/>
      <c r="CF67" s="60"/>
      <c r="CG67" s="60"/>
      <c r="CH67" s="60"/>
      <c r="CI67" s="60"/>
      <c r="CJ67" s="60"/>
      <c r="CK67" s="60"/>
      <c r="CL67" s="60"/>
      <c r="CM67" s="60"/>
      <c r="CN67" s="69" t="str">
        <f t="shared" ref="CN67:CN77" si="864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9" t="str">
        <f t="shared" ref="CO67:CO77" si="865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9" t="str">
        <f t="shared" ref="CP67:CP78" si="866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9" t="str">
        <f t="shared" ref="CQ67:CQ78" si="867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9" t="str">
        <f t="shared" si="653"/>
        <v>InitEquipData('E215',,"",,E216,15000,100,'','','','','','',"ReplaceableTextures\\CommandButtons\\BTNZ14.blp")</v>
      </c>
      <c r="CS67" s="69"/>
      <c r="CT67" s="69"/>
      <c r="CU67" s="71" t="str">
        <f t="shared" si="78"/>
        <v>|n护甲+820|n生命值+97500|n生命回复+1950|n生命恢复%+1|n</v>
      </c>
      <c r="CV67" s="5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|Cffbbbbbb属性：|r|n护甲+820|n生命值+97500|n生命回复+1950|n生命恢复%+1|n|n|Cff00ff7f点击消耗15000金币进行晋阶挑战</v>
      </c>
      <c r="DB67" s="43" t="str">
        <f t="shared" si="794"/>
        <v/>
      </c>
      <c r="DC67" s="43" t="str">
        <f t="shared" si="795"/>
        <v/>
      </c>
      <c r="DD67" s="43" t="str">
        <f t="shared" si="796"/>
        <v>|n护甲+820</v>
      </c>
      <c r="DE67" s="43" t="str">
        <f t="shared" si="797"/>
        <v/>
      </c>
      <c r="DF67" s="43" t="str">
        <f t="shared" si="798"/>
        <v>|n生命值+97500</v>
      </c>
      <c r="DG67" s="43" t="str">
        <f t="shared" si="799"/>
        <v/>
      </c>
      <c r="DH67" s="43" t="str">
        <f t="shared" si="800"/>
        <v>|n生命回复+1950</v>
      </c>
      <c r="DI67" s="43" t="str">
        <f t="shared" si="801"/>
        <v/>
      </c>
      <c r="DJ67" s="43" t="str">
        <f t="shared" si="802"/>
        <v/>
      </c>
      <c r="DK67" s="43" t="str">
        <f t="shared" si="803"/>
        <v/>
      </c>
      <c r="DL67" s="43" t="str">
        <f t="shared" si="804"/>
        <v/>
      </c>
      <c r="DM67" s="43" t="str">
        <f t="shared" si="805"/>
        <v/>
      </c>
      <c r="DN67" s="43" t="str">
        <f t="shared" si="806"/>
        <v/>
      </c>
      <c r="DO67" s="43" t="str">
        <f t="shared" si="807"/>
        <v/>
      </c>
      <c r="DP67" s="43" t="str">
        <f t="shared" si="808"/>
        <v/>
      </c>
      <c r="DQ67" s="43" t="str">
        <f t="shared" si="809"/>
        <v/>
      </c>
      <c r="DR67" s="43" t="str">
        <f t="shared" si="810"/>
        <v/>
      </c>
      <c r="DS67" s="43" t="str">
        <f t="shared" si="811"/>
        <v/>
      </c>
      <c r="DT67" s="43" t="str">
        <f t="shared" si="812"/>
        <v/>
      </c>
      <c r="DU67" s="43" t="str">
        <f t="shared" si="813"/>
        <v/>
      </c>
      <c r="DV67" s="43" t="str">
        <f t="shared" si="814"/>
        <v/>
      </c>
      <c r="DW67" s="43" t="str">
        <f t="shared" si="815"/>
        <v/>
      </c>
      <c r="DX67" s="43" t="str">
        <f t="shared" si="816"/>
        <v/>
      </c>
      <c r="DY67" s="43" t="str">
        <f t="shared" si="817"/>
        <v/>
      </c>
      <c r="DZ67" s="43" t="str">
        <f t="shared" si="818"/>
        <v/>
      </c>
      <c r="EA67" s="43" t="str">
        <f t="shared" si="819"/>
        <v/>
      </c>
      <c r="EB67" s="43" t="str">
        <f t="shared" si="820"/>
        <v/>
      </c>
      <c r="EC67" s="43" t="str">
        <f t="shared" si="821"/>
        <v>|n生命恢复%+1</v>
      </c>
      <c r="ED67" s="43" t="str">
        <f t="shared" si="822"/>
        <v/>
      </c>
      <c r="EE67" s="43" t="str">
        <f t="shared" si="823"/>
        <v/>
      </c>
      <c r="EF67" s="43" t="str">
        <f t="shared" si="824"/>
        <v/>
      </c>
      <c r="EG67" s="43" t="str">
        <f t="shared" si="825"/>
        <v/>
      </c>
      <c r="EH67" s="43" t="str">
        <f t="shared" si="826"/>
        <v/>
      </c>
      <c r="EI67" s="43" t="str">
        <f t="shared" si="827"/>
        <v/>
      </c>
      <c r="EJ67" s="43" t="str">
        <f t="shared" si="828"/>
        <v/>
      </c>
      <c r="EK67" s="43" t="str">
        <f t="shared" si="829"/>
        <v/>
      </c>
      <c r="EL67" s="43" t="str">
        <f t="shared" si="830"/>
        <v/>
      </c>
      <c r="EM67" s="43" t="str">
        <f t="shared" si="831"/>
        <v/>
      </c>
      <c r="EN67" s="43" t="str">
        <f t="shared" si="832"/>
        <v/>
      </c>
      <c r="EO67" s="43" t="str">
        <f t="shared" si="833"/>
        <v/>
      </c>
      <c r="EP67" s="43" t="str">
        <f t="shared" si="834"/>
        <v/>
      </c>
      <c r="EQ67" s="43" t="str">
        <f t="shared" si="835"/>
        <v/>
      </c>
      <c r="ER67" s="43" t="str">
        <f t="shared" si="836"/>
        <v/>
      </c>
      <c r="ES67" s="43" t="str">
        <f t="shared" si="837"/>
        <v/>
      </c>
      <c r="ET67" s="43" t="str">
        <f t="shared" si="838"/>
        <v/>
      </c>
      <c r="EU67" s="43" t="str">
        <f t="shared" si="839"/>
        <v/>
      </c>
      <c r="EV67" s="43" t="str">
        <f t="shared" si="840"/>
        <v/>
      </c>
      <c r="EW67" s="43" t="str">
        <f t="shared" si="841"/>
        <v/>
      </c>
      <c r="EX67" s="43" t="str">
        <f t="shared" si="842"/>
        <v/>
      </c>
      <c r="EY67" s="43" t="str">
        <f t="shared" si="843"/>
        <v/>
      </c>
      <c r="EZ67" s="43" t="str">
        <f t="shared" si="844"/>
        <v/>
      </c>
      <c r="FA67" s="43" t="str">
        <f t="shared" si="845"/>
        <v/>
      </c>
      <c r="FB67" s="43" t="str">
        <f t="shared" si="846"/>
        <v/>
      </c>
      <c r="FC67" s="43" t="str">
        <f t="shared" si="847"/>
        <v/>
      </c>
      <c r="FD67" s="43" t="str">
        <f t="shared" si="848"/>
        <v/>
      </c>
      <c r="FE67" s="43" t="str">
        <f t="shared" si="849"/>
        <v/>
      </c>
      <c r="FF67" s="43" t="str">
        <f t="shared" si="850"/>
        <v/>
      </c>
      <c r="FG67" s="43" t="str">
        <f t="shared" si="851"/>
        <v/>
      </c>
      <c r="FH67" s="43" t="str">
        <f t="shared" si="852"/>
        <v/>
      </c>
      <c r="FI67" s="43" t="str">
        <f t="shared" si="853"/>
        <v/>
      </c>
      <c r="FJ67" s="43" t="str">
        <f t="shared" si="854"/>
        <v/>
      </c>
      <c r="FK67" s="43" t="str">
        <f t="shared" si="855"/>
        <v/>
      </c>
      <c r="FL67" s="43" t="str">
        <f t="shared" si="856"/>
        <v/>
      </c>
      <c r="FM67" s="43" t="str">
        <f t="shared" si="857"/>
        <v/>
      </c>
      <c r="FN67" s="43" t="str">
        <f t="shared" si="858"/>
        <v/>
      </c>
      <c r="FO67" s="43" t="str">
        <f t="shared" si="859"/>
        <v/>
      </c>
      <c r="FP67" s="43" t="str">
        <f t="shared" si="860"/>
        <v/>
      </c>
      <c r="FQ67" s="43" t="str">
        <f t="shared" si="861"/>
        <v/>
      </c>
      <c r="FR67" s="43" t="str">
        <f t="shared" si="862"/>
        <v/>
      </c>
      <c r="FS67" s="43" t="str">
        <f t="shared" si="863"/>
        <v/>
      </c>
    </row>
    <row r="68" s="6" customFormat="1" ht="15" spans="1:175">
      <c r="A68" s="10"/>
      <c r="B68" s="45" t="s">
        <v>317</v>
      </c>
      <c r="C68" s="10" t="s">
        <v>318</v>
      </c>
      <c r="D68" s="46"/>
      <c r="E68" s="47"/>
      <c r="F68" s="48">
        <v>10000</v>
      </c>
      <c r="G68" s="49">
        <v>70</v>
      </c>
      <c r="H68" s="49"/>
      <c r="I68" s="49" t="str">
        <f t="shared" si="441"/>
        <v>E217</v>
      </c>
      <c r="J68" s="49"/>
      <c r="K68" s="49"/>
      <c r="L68" s="49"/>
      <c r="M68" s="49"/>
      <c r="N68" s="49"/>
      <c r="O68" s="49"/>
      <c r="P68" s="54"/>
      <c r="Q68" s="54"/>
      <c r="R68" s="54"/>
      <c r="S68" s="61"/>
      <c r="T68" s="62"/>
      <c r="U68" s="59" t="s">
        <v>319</v>
      </c>
      <c r="V68" s="60"/>
      <c r="W68" s="60"/>
      <c r="X68" s="60">
        <v>1000</v>
      </c>
      <c r="Y68" s="60"/>
      <c r="Z68" s="60">
        <v>150000</v>
      </c>
      <c r="AA68" s="60"/>
      <c r="AB68" s="60">
        <f t="shared" si="294"/>
        <v>3000</v>
      </c>
      <c r="AC68" s="60"/>
      <c r="AD68" s="60"/>
      <c r="AE68" s="60"/>
      <c r="AF68" s="60"/>
      <c r="AG68" s="64"/>
      <c r="AH68" s="60"/>
      <c r="AI68" s="60"/>
      <c r="AJ68" s="60"/>
      <c r="AK68" s="60"/>
      <c r="AL68" s="64"/>
      <c r="AM68" s="60"/>
      <c r="AN68" s="60"/>
      <c r="AO68" s="60"/>
      <c r="AP68" s="60"/>
      <c r="AQ68" s="60"/>
      <c r="AR68" s="66"/>
      <c r="AS68" s="66"/>
      <c r="AT68" s="60"/>
      <c r="AU68" s="60"/>
      <c r="AV68" s="60"/>
      <c r="AW68" s="60">
        <f t="shared" ref="AW68:AW76" si="868">AW63+1</f>
        <v>2</v>
      </c>
      <c r="AX68" s="60"/>
      <c r="AY68" s="60"/>
      <c r="AZ68" s="60"/>
      <c r="BA68" s="60"/>
      <c r="BB68" s="60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60"/>
      <c r="CF68" s="60"/>
      <c r="CG68" s="60"/>
      <c r="CH68" s="60"/>
      <c r="CI68" s="60"/>
      <c r="CJ68" s="60"/>
      <c r="CK68" s="60"/>
      <c r="CL68" s="60"/>
      <c r="CM68" s="60"/>
      <c r="CN68" s="69" t="str">
        <f t="shared" si="864"/>
        <v>InitUnitState('E216',,,1000,,150000,,3000,,,)</v>
      </c>
      <c r="CO68" s="69" t="str">
        <f t="shared" si="865"/>
        <v>InitUnitNormal('E216',,,,,,,,,,)</v>
      </c>
      <c r="CP68" s="69" t="str">
        <f t="shared" si="866"/>
        <v>InitUnitMagic('E216',,,,,,,,2,,)</v>
      </c>
      <c r="CQ68" s="69" t="str">
        <f t="shared" si="867"/>
        <v>InitUnitAdd('E216',,,,,,,,,,)</v>
      </c>
      <c r="CR68" s="69" t="str">
        <f t="shared" si="653"/>
        <v>InitEquipData('E216',,"",,E217,10000,70,'','','','','','',"ReplaceableTextures\\CommandButtons\\BTNZ14.blp")</v>
      </c>
      <c r="CS68" s="69"/>
      <c r="CT68" s="69"/>
      <c r="CU68" s="71" t="str">
        <f t="shared" ref="CU68:CU87" si="869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5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|Cffbbbbbb属性：|r|n护甲+1000|n生命值+150000|n生命回复+3000|n生命恢复%+2|n|n|Cff00ff7f点击消耗10000金币进行强化|n成功率70%</v>
      </c>
      <c r="DB68" s="43" t="str">
        <f t="shared" si="794"/>
        <v/>
      </c>
      <c r="DC68" s="43" t="str">
        <f t="shared" si="795"/>
        <v/>
      </c>
      <c r="DD68" s="43" t="str">
        <f t="shared" si="796"/>
        <v>|n护甲+1000</v>
      </c>
      <c r="DE68" s="43" t="str">
        <f t="shared" si="797"/>
        <v/>
      </c>
      <c r="DF68" s="43" t="str">
        <f t="shared" si="798"/>
        <v>|n生命值+150000</v>
      </c>
      <c r="DG68" s="43" t="str">
        <f t="shared" si="799"/>
        <v/>
      </c>
      <c r="DH68" s="43" t="str">
        <f t="shared" si="800"/>
        <v>|n生命回复+3000</v>
      </c>
      <c r="DI68" s="43" t="str">
        <f t="shared" si="801"/>
        <v/>
      </c>
      <c r="DJ68" s="43" t="str">
        <f t="shared" si="802"/>
        <v/>
      </c>
      <c r="DK68" s="43" t="str">
        <f t="shared" si="803"/>
        <v/>
      </c>
      <c r="DL68" s="43" t="str">
        <f t="shared" si="804"/>
        <v/>
      </c>
      <c r="DM68" s="43" t="str">
        <f t="shared" si="805"/>
        <v/>
      </c>
      <c r="DN68" s="43" t="str">
        <f t="shared" si="806"/>
        <v/>
      </c>
      <c r="DO68" s="43" t="str">
        <f t="shared" si="807"/>
        <v/>
      </c>
      <c r="DP68" s="43" t="str">
        <f t="shared" si="808"/>
        <v/>
      </c>
      <c r="DQ68" s="43" t="str">
        <f t="shared" si="809"/>
        <v/>
      </c>
      <c r="DR68" s="43" t="str">
        <f t="shared" si="810"/>
        <v/>
      </c>
      <c r="DS68" s="43" t="str">
        <f t="shared" si="811"/>
        <v/>
      </c>
      <c r="DT68" s="43" t="str">
        <f t="shared" si="812"/>
        <v/>
      </c>
      <c r="DU68" s="43" t="str">
        <f t="shared" si="813"/>
        <v/>
      </c>
      <c r="DV68" s="43" t="str">
        <f t="shared" si="814"/>
        <v/>
      </c>
      <c r="DW68" s="43" t="str">
        <f t="shared" si="815"/>
        <v/>
      </c>
      <c r="DX68" s="43" t="str">
        <f t="shared" si="816"/>
        <v/>
      </c>
      <c r="DY68" s="43" t="str">
        <f t="shared" si="817"/>
        <v/>
      </c>
      <c r="DZ68" s="43" t="str">
        <f t="shared" si="818"/>
        <v/>
      </c>
      <c r="EA68" s="43" t="str">
        <f t="shared" si="819"/>
        <v/>
      </c>
      <c r="EB68" s="43" t="str">
        <f t="shared" si="820"/>
        <v/>
      </c>
      <c r="EC68" s="43" t="str">
        <f t="shared" si="821"/>
        <v>|n生命恢复%+2</v>
      </c>
      <c r="ED68" s="43" t="str">
        <f t="shared" si="822"/>
        <v/>
      </c>
      <c r="EE68" s="43" t="str">
        <f t="shared" si="823"/>
        <v/>
      </c>
      <c r="EF68" s="43" t="str">
        <f t="shared" si="824"/>
        <v/>
      </c>
      <c r="EG68" s="43" t="str">
        <f t="shared" si="825"/>
        <v/>
      </c>
      <c r="EH68" s="43" t="str">
        <f t="shared" si="826"/>
        <v/>
      </c>
      <c r="EI68" s="43" t="str">
        <f t="shared" si="827"/>
        <v/>
      </c>
      <c r="EJ68" s="43" t="str">
        <f t="shared" si="828"/>
        <v/>
      </c>
      <c r="EK68" s="43" t="str">
        <f t="shared" si="829"/>
        <v/>
      </c>
      <c r="EL68" s="43" t="str">
        <f t="shared" si="830"/>
        <v/>
      </c>
      <c r="EM68" s="43" t="str">
        <f t="shared" si="831"/>
        <v/>
      </c>
      <c r="EN68" s="43" t="str">
        <f t="shared" si="832"/>
        <v/>
      </c>
      <c r="EO68" s="43" t="str">
        <f t="shared" si="833"/>
        <v/>
      </c>
      <c r="EP68" s="43" t="str">
        <f t="shared" si="834"/>
        <v/>
      </c>
      <c r="EQ68" s="43" t="str">
        <f t="shared" si="835"/>
        <v/>
      </c>
      <c r="ER68" s="43" t="str">
        <f t="shared" si="836"/>
        <v/>
      </c>
      <c r="ES68" s="43" t="str">
        <f t="shared" si="837"/>
        <v/>
      </c>
      <c r="ET68" s="43" t="str">
        <f t="shared" si="838"/>
        <v/>
      </c>
      <c r="EU68" s="43" t="str">
        <f t="shared" si="839"/>
        <v/>
      </c>
      <c r="EV68" s="43" t="str">
        <f t="shared" si="840"/>
        <v/>
      </c>
      <c r="EW68" s="43" t="str">
        <f t="shared" si="841"/>
        <v/>
      </c>
      <c r="EX68" s="43" t="str">
        <f t="shared" si="842"/>
        <v/>
      </c>
      <c r="EY68" s="43" t="str">
        <f t="shared" si="843"/>
        <v/>
      </c>
      <c r="EZ68" s="43" t="str">
        <f t="shared" si="844"/>
        <v/>
      </c>
      <c r="FA68" s="43" t="str">
        <f t="shared" si="845"/>
        <v/>
      </c>
      <c r="FB68" s="43" t="str">
        <f t="shared" si="846"/>
        <v/>
      </c>
      <c r="FC68" s="43" t="str">
        <f t="shared" si="847"/>
        <v/>
      </c>
      <c r="FD68" s="43" t="str">
        <f t="shared" si="848"/>
        <v/>
      </c>
      <c r="FE68" s="43" t="str">
        <f t="shared" si="849"/>
        <v/>
      </c>
      <c r="FF68" s="43" t="str">
        <f t="shared" si="850"/>
        <v/>
      </c>
      <c r="FG68" s="43" t="str">
        <f t="shared" si="851"/>
        <v/>
      </c>
      <c r="FH68" s="43" t="str">
        <f t="shared" si="852"/>
        <v/>
      </c>
      <c r="FI68" s="43" t="str">
        <f t="shared" si="853"/>
        <v/>
      </c>
      <c r="FJ68" s="43" t="str">
        <f t="shared" si="854"/>
        <v/>
      </c>
      <c r="FK68" s="43" t="str">
        <f t="shared" si="855"/>
        <v/>
      </c>
      <c r="FL68" s="43" t="str">
        <f t="shared" si="856"/>
        <v/>
      </c>
      <c r="FM68" s="43" t="str">
        <f t="shared" si="857"/>
        <v/>
      </c>
      <c r="FN68" s="43" t="str">
        <f t="shared" si="858"/>
        <v/>
      </c>
      <c r="FO68" s="43" t="str">
        <f t="shared" si="859"/>
        <v/>
      </c>
      <c r="FP68" s="43" t="str">
        <f t="shared" si="860"/>
        <v/>
      </c>
      <c r="FQ68" s="43" t="str">
        <f t="shared" si="861"/>
        <v/>
      </c>
      <c r="FR68" s="43" t="str">
        <f t="shared" si="862"/>
        <v/>
      </c>
      <c r="FS68" s="43" t="str">
        <f t="shared" si="863"/>
        <v/>
      </c>
    </row>
    <row r="69" s="6" customFormat="1" ht="15" spans="1:175">
      <c r="A69" s="10"/>
      <c r="B69" s="45" t="s">
        <v>320</v>
      </c>
      <c r="C69" s="10" t="s">
        <v>321</v>
      </c>
      <c r="D69" s="46"/>
      <c r="E69" s="47"/>
      <c r="F69" s="48">
        <v>10000</v>
      </c>
      <c r="G69" s="49">
        <v>70</v>
      </c>
      <c r="H69" s="49"/>
      <c r="I69" s="49" t="str">
        <f t="shared" si="441"/>
        <v>E218</v>
      </c>
      <c r="J69" s="49"/>
      <c r="K69" s="49"/>
      <c r="L69" s="49"/>
      <c r="M69" s="49"/>
      <c r="N69" s="49"/>
      <c r="O69" s="49"/>
      <c r="P69" s="54"/>
      <c r="Q69" s="54"/>
      <c r="R69" s="54"/>
      <c r="S69" s="61"/>
      <c r="T69" s="62"/>
      <c r="U69" s="59" t="s">
        <v>319</v>
      </c>
      <c r="V69" s="60"/>
      <c r="W69" s="60"/>
      <c r="X69" s="60">
        <v>1100</v>
      </c>
      <c r="Y69" s="60"/>
      <c r="Z69" s="60">
        <v>225000</v>
      </c>
      <c r="AA69" s="60"/>
      <c r="AB69" s="60">
        <f t="shared" si="294"/>
        <v>4500</v>
      </c>
      <c r="AC69" s="60"/>
      <c r="AD69" s="60"/>
      <c r="AE69" s="60"/>
      <c r="AF69" s="60"/>
      <c r="AG69" s="64"/>
      <c r="AH69" s="60"/>
      <c r="AI69" s="60"/>
      <c r="AJ69" s="60"/>
      <c r="AK69" s="60"/>
      <c r="AL69" s="64"/>
      <c r="AM69" s="60"/>
      <c r="AN69" s="60"/>
      <c r="AO69" s="60"/>
      <c r="AP69" s="60"/>
      <c r="AQ69" s="60"/>
      <c r="AR69" s="66"/>
      <c r="AS69" s="66"/>
      <c r="AT69" s="60"/>
      <c r="AU69" s="60"/>
      <c r="AV69" s="60"/>
      <c r="AW69" s="60">
        <f t="shared" si="868"/>
        <v>2</v>
      </c>
      <c r="AX69" s="60"/>
      <c r="AY69" s="60"/>
      <c r="AZ69" s="60"/>
      <c r="BA69" s="60"/>
      <c r="BB69" s="60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60"/>
      <c r="CF69" s="60"/>
      <c r="CG69" s="60"/>
      <c r="CH69" s="60"/>
      <c r="CI69" s="60"/>
      <c r="CJ69" s="60"/>
      <c r="CK69" s="60"/>
      <c r="CL69" s="60"/>
      <c r="CM69" s="60"/>
      <c r="CN69" s="69" t="str">
        <f t="shared" si="864"/>
        <v>InitUnitState('E217',,,1100,,225000,,4500,,,)</v>
      </c>
      <c r="CO69" s="69" t="str">
        <f t="shared" si="865"/>
        <v>InitUnitNormal('E217',,,,,,,,,,)</v>
      </c>
      <c r="CP69" s="69" t="str">
        <f t="shared" si="866"/>
        <v>InitUnitMagic('E217',,,,,,,,2,,)</v>
      </c>
      <c r="CQ69" s="69" t="str">
        <f t="shared" si="867"/>
        <v>InitUnitAdd('E217',,,,,,,,,,)</v>
      </c>
      <c r="CR69" s="69" t="str">
        <f t="shared" si="653"/>
        <v>InitEquipData('E217',,"",,E218,10000,70,'','','','','','',"ReplaceableTextures\\CommandButtons\\BTNZ14.blp")</v>
      </c>
      <c r="CS69" s="69"/>
      <c r="CT69" s="69"/>
      <c r="CU69" s="71" t="str">
        <f t="shared" si="869"/>
        <v>|n护甲+1100|n生命值+225000|n生命回复+4500|n生命恢复%+2|n</v>
      </c>
      <c r="CV69" s="5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|Cffbbbbbb属性：|r|n护甲+1100|n生命值+225000|n生命回复+4500|n生命恢复%+2|n|n|Cff00ff7f点击消耗10000金币进行强化|n成功率70%</v>
      </c>
      <c r="DB69" s="43" t="str">
        <f t="shared" si="794"/>
        <v/>
      </c>
      <c r="DC69" s="43" t="str">
        <f t="shared" si="795"/>
        <v/>
      </c>
      <c r="DD69" s="43" t="str">
        <f t="shared" si="796"/>
        <v>|n护甲+1100</v>
      </c>
      <c r="DE69" s="43" t="str">
        <f t="shared" si="797"/>
        <v/>
      </c>
      <c r="DF69" s="43" t="str">
        <f t="shared" si="798"/>
        <v>|n生命值+225000</v>
      </c>
      <c r="DG69" s="43" t="str">
        <f t="shared" si="799"/>
        <v/>
      </c>
      <c r="DH69" s="43" t="str">
        <f t="shared" si="800"/>
        <v>|n生命回复+4500</v>
      </c>
      <c r="DI69" s="43" t="str">
        <f t="shared" si="801"/>
        <v/>
      </c>
      <c r="DJ69" s="43" t="str">
        <f t="shared" si="802"/>
        <v/>
      </c>
      <c r="DK69" s="43" t="str">
        <f t="shared" si="803"/>
        <v/>
      </c>
      <c r="DL69" s="43" t="str">
        <f t="shared" si="804"/>
        <v/>
      </c>
      <c r="DM69" s="43" t="str">
        <f t="shared" si="805"/>
        <v/>
      </c>
      <c r="DN69" s="43" t="str">
        <f t="shared" si="806"/>
        <v/>
      </c>
      <c r="DO69" s="43" t="str">
        <f t="shared" si="807"/>
        <v/>
      </c>
      <c r="DP69" s="43" t="str">
        <f t="shared" si="808"/>
        <v/>
      </c>
      <c r="DQ69" s="43" t="str">
        <f t="shared" si="809"/>
        <v/>
      </c>
      <c r="DR69" s="43" t="str">
        <f t="shared" si="810"/>
        <v/>
      </c>
      <c r="DS69" s="43" t="str">
        <f t="shared" si="811"/>
        <v/>
      </c>
      <c r="DT69" s="43" t="str">
        <f t="shared" si="812"/>
        <v/>
      </c>
      <c r="DU69" s="43" t="str">
        <f t="shared" si="813"/>
        <v/>
      </c>
      <c r="DV69" s="43" t="str">
        <f t="shared" si="814"/>
        <v/>
      </c>
      <c r="DW69" s="43" t="str">
        <f t="shared" si="815"/>
        <v/>
      </c>
      <c r="DX69" s="43" t="str">
        <f t="shared" si="816"/>
        <v/>
      </c>
      <c r="DY69" s="43" t="str">
        <f t="shared" si="817"/>
        <v/>
      </c>
      <c r="DZ69" s="43" t="str">
        <f t="shared" si="818"/>
        <v/>
      </c>
      <c r="EA69" s="43" t="str">
        <f t="shared" si="819"/>
        <v/>
      </c>
      <c r="EB69" s="43" t="str">
        <f t="shared" si="820"/>
        <v/>
      </c>
      <c r="EC69" s="43" t="str">
        <f t="shared" si="821"/>
        <v>|n生命恢复%+2</v>
      </c>
      <c r="ED69" s="43" t="str">
        <f t="shared" si="822"/>
        <v/>
      </c>
      <c r="EE69" s="43" t="str">
        <f t="shared" si="823"/>
        <v/>
      </c>
      <c r="EF69" s="43" t="str">
        <f t="shared" si="824"/>
        <v/>
      </c>
      <c r="EG69" s="43" t="str">
        <f t="shared" si="825"/>
        <v/>
      </c>
      <c r="EH69" s="43" t="str">
        <f t="shared" si="826"/>
        <v/>
      </c>
      <c r="EI69" s="43" t="str">
        <f t="shared" si="827"/>
        <v/>
      </c>
      <c r="EJ69" s="43" t="str">
        <f t="shared" si="828"/>
        <v/>
      </c>
      <c r="EK69" s="43" t="str">
        <f t="shared" si="829"/>
        <v/>
      </c>
      <c r="EL69" s="43" t="str">
        <f t="shared" si="830"/>
        <v/>
      </c>
      <c r="EM69" s="43" t="str">
        <f t="shared" si="831"/>
        <v/>
      </c>
      <c r="EN69" s="43" t="str">
        <f t="shared" si="832"/>
        <v/>
      </c>
      <c r="EO69" s="43" t="str">
        <f t="shared" si="833"/>
        <v/>
      </c>
      <c r="EP69" s="43" t="str">
        <f t="shared" si="834"/>
        <v/>
      </c>
      <c r="EQ69" s="43" t="str">
        <f t="shared" si="835"/>
        <v/>
      </c>
      <c r="ER69" s="43" t="str">
        <f t="shared" si="836"/>
        <v/>
      </c>
      <c r="ES69" s="43" t="str">
        <f t="shared" si="837"/>
        <v/>
      </c>
      <c r="ET69" s="43" t="str">
        <f t="shared" si="838"/>
        <v/>
      </c>
      <c r="EU69" s="43" t="str">
        <f t="shared" si="839"/>
        <v/>
      </c>
      <c r="EV69" s="43" t="str">
        <f t="shared" si="840"/>
        <v/>
      </c>
      <c r="EW69" s="43" t="str">
        <f t="shared" si="841"/>
        <v/>
      </c>
      <c r="EX69" s="43" t="str">
        <f t="shared" si="842"/>
        <v/>
      </c>
      <c r="EY69" s="43" t="str">
        <f t="shared" si="843"/>
        <v/>
      </c>
      <c r="EZ69" s="43" t="str">
        <f t="shared" si="844"/>
        <v/>
      </c>
      <c r="FA69" s="43" t="str">
        <f t="shared" si="845"/>
        <v/>
      </c>
      <c r="FB69" s="43" t="str">
        <f t="shared" si="846"/>
        <v/>
      </c>
      <c r="FC69" s="43" t="str">
        <f t="shared" si="847"/>
        <v/>
      </c>
      <c r="FD69" s="43" t="str">
        <f t="shared" si="848"/>
        <v/>
      </c>
      <c r="FE69" s="43" t="str">
        <f t="shared" si="849"/>
        <v/>
      </c>
      <c r="FF69" s="43" t="str">
        <f t="shared" si="850"/>
        <v/>
      </c>
      <c r="FG69" s="43" t="str">
        <f t="shared" si="851"/>
        <v/>
      </c>
      <c r="FH69" s="43" t="str">
        <f t="shared" si="852"/>
        <v/>
      </c>
      <c r="FI69" s="43" t="str">
        <f t="shared" si="853"/>
        <v/>
      </c>
      <c r="FJ69" s="43" t="str">
        <f t="shared" si="854"/>
        <v/>
      </c>
      <c r="FK69" s="43" t="str">
        <f t="shared" si="855"/>
        <v/>
      </c>
      <c r="FL69" s="43" t="str">
        <f t="shared" si="856"/>
        <v/>
      </c>
      <c r="FM69" s="43" t="str">
        <f t="shared" si="857"/>
        <v/>
      </c>
      <c r="FN69" s="43" t="str">
        <f t="shared" si="858"/>
        <v/>
      </c>
      <c r="FO69" s="43" t="str">
        <f t="shared" si="859"/>
        <v/>
      </c>
      <c r="FP69" s="43" t="str">
        <f t="shared" si="860"/>
        <v/>
      </c>
      <c r="FQ69" s="43" t="str">
        <f t="shared" si="861"/>
        <v/>
      </c>
      <c r="FR69" s="43" t="str">
        <f t="shared" si="862"/>
        <v/>
      </c>
      <c r="FS69" s="43" t="str">
        <f t="shared" si="863"/>
        <v/>
      </c>
    </row>
    <row r="70" s="6" customFormat="1" ht="15" spans="1:175">
      <c r="A70" s="10"/>
      <c r="B70" s="45" t="s">
        <v>322</v>
      </c>
      <c r="C70" s="10" t="s">
        <v>323</v>
      </c>
      <c r="D70" s="46"/>
      <c r="E70" s="47"/>
      <c r="F70" s="48">
        <v>10000</v>
      </c>
      <c r="G70" s="49">
        <v>70</v>
      </c>
      <c r="H70" s="49"/>
      <c r="I70" s="49" t="str">
        <f t="shared" si="441"/>
        <v>E219</v>
      </c>
      <c r="J70" s="49"/>
      <c r="K70" s="49"/>
      <c r="L70" s="49"/>
      <c r="M70" s="49"/>
      <c r="N70" s="49"/>
      <c r="O70" s="49"/>
      <c r="P70" s="54"/>
      <c r="Q70" s="54"/>
      <c r="R70" s="54"/>
      <c r="S70" s="61"/>
      <c r="T70" s="62"/>
      <c r="U70" s="59" t="s">
        <v>319</v>
      </c>
      <c r="V70" s="60"/>
      <c r="W70" s="60"/>
      <c r="X70" s="60">
        <v>1200</v>
      </c>
      <c r="Y70" s="60"/>
      <c r="Z70" s="60">
        <v>300000</v>
      </c>
      <c r="AA70" s="60"/>
      <c r="AB70" s="60">
        <f t="shared" si="294"/>
        <v>6000</v>
      </c>
      <c r="AC70" s="60"/>
      <c r="AD70" s="60"/>
      <c r="AE70" s="60"/>
      <c r="AF70" s="60"/>
      <c r="AG70" s="64"/>
      <c r="AH70" s="60"/>
      <c r="AI70" s="60"/>
      <c r="AJ70" s="60"/>
      <c r="AK70" s="60"/>
      <c r="AL70" s="64"/>
      <c r="AM70" s="60"/>
      <c r="AN70" s="60"/>
      <c r="AO70" s="60"/>
      <c r="AP70" s="60"/>
      <c r="AQ70" s="60"/>
      <c r="AR70" s="66"/>
      <c r="AS70" s="66"/>
      <c r="AT70" s="60"/>
      <c r="AU70" s="60"/>
      <c r="AV70" s="60"/>
      <c r="AW70" s="60">
        <f t="shared" si="868"/>
        <v>2</v>
      </c>
      <c r="AX70" s="60"/>
      <c r="AY70" s="60"/>
      <c r="AZ70" s="60"/>
      <c r="BA70" s="60"/>
      <c r="BB70" s="6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60"/>
      <c r="CF70" s="60"/>
      <c r="CG70" s="60"/>
      <c r="CH70" s="60"/>
      <c r="CI70" s="60"/>
      <c r="CJ70" s="60"/>
      <c r="CK70" s="60"/>
      <c r="CL70" s="60"/>
      <c r="CM70" s="60"/>
      <c r="CN70" s="69" t="str">
        <f t="shared" si="864"/>
        <v>InitUnitState('E218',,,1200,,300000,,6000,,,)</v>
      </c>
      <c r="CO70" s="69" t="str">
        <f t="shared" si="865"/>
        <v>InitUnitNormal('E218',,,,,,,,,,)</v>
      </c>
      <c r="CP70" s="69" t="str">
        <f t="shared" si="866"/>
        <v>InitUnitMagic('E218',,,,,,,,2,,)</v>
      </c>
      <c r="CQ70" s="69" t="str">
        <f t="shared" si="867"/>
        <v>InitUnitAdd('E218',,,,,,,,,,)</v>
      </c>
      <c r="CR70" s="69" t="str">
        <f t="shared" si="653"/>
        <v>InitEquipData('E218',,"",,E219,10000,70,'','','','','','',"ReplaceableTextures\\CommandButtons\\BTNZ14.blp")</v>
      </c>
      <c r="CS70" s="69"/>
      <c r="CT70" s="69"/>
      <c r="CU70" s="71" t="str">
        <f t="shared" si="869"/>
        <v>|n护甲+1200|n生命值+300000|n生命回复+6000|n生命恢复%+2|n</v>
      </c>
      <c r="CV70" s="5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|Cffbbbbbb属性：|r|n护甲+1200|n生命值+300000|n生命回复+6000|n生命恢复%+2|n|n|Cff00ff7f点击消耗10000金币进行强化|n成功率70%</v>
      </c>
      <c r="DB70" s="43" t="str">
        <f t="shared" ref="DB70:DB77" si="870">IF(V70="","","|n"&amp;DB$2&amp;"+"&amp;V70&amp;DB$1)</f>
        <v/>
      </c>
      <c r="DC70" s="43" t="str">
        <f t="shared" ref="DC70:DC77" si="871">IF(W70="","","|n"&amp;DC$2&amp;"+"&amp;W70&amp;DC$1)</f>
        <v/>
      </c>
      <c r="DD70" s="43" t="str">
        <f t="shared" ref="DD70:DD77" si="872">IF(X70="","","|n"&amp;DD$2&amp;"+"&amp;X70&amp;DD$1)</f>
        <v>|n护甲+1200</v>
      </c>
      <c r="DE70" s="43" t="str">
        <f t="shared" ref="DE70:DE77" si="873">IF(Y70="","","|n"&amp;DE$2&amp;"+"&amp;Y70&amp;DE$1)</f>
        <v/>
      </c>
      <c r="DF70" s="43" t="str">
        <f t="shared" ref="DF70:DF77" si="874">IF(Z70="","","|n"&amp;DF$2&amp;"+"&amp;Z70&amp;DF$1)</f>
        <v>|n生命值+300000</v>
      </c>
      <c r="DG70" s="43" t="str">
        <f t="shared" ref="DG70:DG77" si="875">IF(AA70="","","|n"&amp;DG$2&amp;"+"&amp;AA70&amp;DG$1)</f>
        <v/>
      </c>
      <c r="DH70" s="43" t="str">
        <f t="shared" ref="DH70:DH77" si="876">IF(AB70="","","|n"&amp;DH$2&amp;"+"&amp;AB70&amp;DH$1)</f>
        <v>|n生命回复+6000</v>
      </c>
      <c r="DI70" s="43" t="str">
        <f t="shared" ref="DI70:DI77" si="877">IF(AC70="","","|n"&amp;DI$2&amp;"+"&amp;AC70&amp;DI$1)</f>
        <v/>
      </c>
      <c r="DJ70" s="43" t="str">
        <f t="shared" ref="DJ70:DJ77" si="878">IF(AD70="","","|n"&amp;DJ$2&amp;"+"&amp;AD70&amp;DJ$1)</f>
        <v/>
      </c>
      <c r="DK70" s="43" t="str">
        <f t="shared" ref="DK70:DK77" si="879">IF(AE70="","","|n"&amp;DK$2&amp;"+"&amp;AE70&amp;DK$1)</f>
        <v/>
      </c>
      <c r="DL70" s="43" t="str">
        <f t="shared" ref="DL70:DL77" si="880">IF(AF70="","","|n"&amp;DL$2&amp;"+"&amp;AF70&amp;DL$1)</f>
        <v/>
      </c>
      <c r="DM70" s="43" t="str">
        <f t="shared" ref="DM70:DM77" si="881">IF(AG70="","","|n"&amp;DM$2&amp;"+"&amp;AG70&amp;DM$1)</f>
        <v/>
      </c>
      <c r="DN70" s="43" t="str">
        <f t="shared" ref="DN70:DN77" si="882">IF(AH70="","","|n"&amp;DN$2&amp;"+"&amp;AH70&amp;DN$1)</f>
        <v/>
      </c>
      <c r="DO70" s="43" t="str">
        <f t="shared" ref="DO70:DO77" si="883">IF(AI70="","","|n"&amp;DO$2&amp;"+"&amp;AI70&amp;DO$1)</f>
        <v/>
      </c>
      <c r="DP70" s="43" t="str">
        <f t="shared" ref="DP70:DP77" si="884">IF(AJ70="","","|n"&amp;DP$2&amp;"+"&amp;AJ70&amp;DP$1)</f>
        <v/>
      </c>
      <c r="DQ70" s="43" t="str">
        <f t="shared" ref="DQ70:DQ77" si="885">IF(AK70="","","|n"&amp;DQ$2&amp;"+"&amp;AK70&amp;DQ$1)</f>
        <v/>
      </c>
      <c r="DR70" s="43" t="str">
        <f t="shared" ref="DR70:DR77" si="886">IF(AL70="","","|n"&amp;DR$2&amp;"+"&amp;AL70&amp;DR$1)</f>
        <v/>
      </c>
      <c r="DS70" s="43" t="str">
        <f t="shared" ref="DS70:DS77" si="887">IF(AM70="","","|n"&amp;DS$2&amp;"+"&amp;AM70&amp;DS$1)</f>
        <v/>
      </c>
      <c r="DT70" s="43" t="str">
        <f t="shared" ref="DT70:DT77" si="888">IF(AN70="","","|n"&amp;DT$2&amp;"+"&amp;AN70&amp;DT$1)</f>
        <v/>
      </c>
      <c r="DU70" s="43" t="str">
        <f t="shared" ref="DU70:DU77" si="889">IF(AO70="","","|n"&amp;DU$2&amp;"+"&amp;AO70&amp;DU$1)</f>
        <v/>
      </c>
      <c r="DV70" s="43" t="str">
        <f t="shared" ref="DV70:DV77" si="890">IF(AP70="","","|n"&amp;DV$2&amp;"+"&amp;AP70&amp;DV$1)</f>
        <v/>
      </c>
      <c r="DW70" s="43" t="str">
        <f t="shared" ref="DW70:DW77" si="891">IF(AQ70="","","|n"&amp;DW$2&amp;"+"&amp;AQ70&amp;DW$1)</f>
        <v/>
      </c>
      <c r="DX70" s="43" t="str">
        <f t="shared" ref="DX70:DX77" si="892">IF(AR70="","","|n"&amp;DX$2&amp;"+"&amp;AR70&amp;DX$1)</f>
        <v/>
      </c>
      <c r="DY70" s="43" t="str">
        <f t="shared" ref="DY70:DY77" si="893">IF(AS70="","","|n"&amp;DY$2&amp;"+"&amp;AS70&amp;DY$1)</f>
        <v/>
      </c>
      <c r="DZ70" s="43" t="str">
        <f t="shared" ref="DZ70:DZ77" si="894">IF(AT70="","","|n"&amp;DZ$2&amp;"+"&amp;AT70&amp;DZ$1)</f>
        <v/>
      </c>
      <c r="EA70" s="43" t="str">
        <f t="shared" ref="EA70:EA77" si="895">IF(AU70="","","|n"&amp;EA$2&amp;"+"&amp;AU70&amp;EA$1)</f>
        <v/>
      </c>
      <c r="EB70" s="43" t="str">
        <f t="shared" ref="EB70:EB77" si="896">IF(AV70="","","|n"&amp;EB$2&amp;"+"&amp;AV70&amp;EB$1)</f>
        <v/>
      </c>
      <c r="EC70" s="43" t="str">
        <f t="shared" ref="EC70:EC77" si="897">IF(AW70="","","|n"&amp;EC$2&amp;"+"&amp;AW70&amp;EC$1)</f>
        <v>|n生命恢复%+2</v>
      </c>
      <c r="ED70" s="43" t="str">
        <f t="shared" ref="ED70:ED77" si="898">IF(AX70="","","|n"&amp;ED$2&amp;"+"&amp;AX70&amp;ED$1)</f>
        <v/>
      </c>
      <c r="EE70" s="43" t="str">
        <f t="shared" ref="EE70:EE77" si="899">IF(AY70="","","|n"&amp;EE$2&amp;"+"&amp;AY70&amp;EE$1)</f>
        <v/>
      </c>
      <c r="EF70" s="43" t="str">
        <f t="shared" ref="EF70:EF77" si="900">IF(AZ70="","","|n"&amp;EF$2&amp;"+"&amp;AZ70&amp;EF$1)</f>
        <v/>
      </c>
      <c r="EG70" s="43" t="str">
        <f t="shared" ref="EG70:EG77" si="901">IF(BA70="","","|n"&amp;EG$2&amp;"+"&amp;BA70&amp;EG$1)</f>
        <v/>
      </c>
      <c r="EH70" s="43" t="str">
        <f t="shared" ref="EH70:EH77" si="902">IF(BB70="","","|n"&amp;EH$2&amp;"+"&amp;BB70&amp;EH$1)</f>
        <v/>
      </c>
      <c r="EI70" s="43" t="str">
        <f t="shared" ref="EI70:EI77" si="903">IF(BC70="","","|n"&amp;EI$2&amp;"+"&amp;BC70&amp;EI$1)</f>
        <v/>
      </c>
      <c r="EJ70" s="43" t="str">
        <f t="shared" ref="EJ70:EJ77" si="904">IF(BD70="","","|n"&amp;EJ$2&amp;"+"&amp;BD70&amp;EJ$1)</f>
        <v/>
      </c>
      <c r="EK70" s="43" t="str">
        <f t="shared" ref="EK70:EK77" si="905">IF(BE70="","","|n"&amp;EK$2&amp;"+"&amp;BE70&amp;EK$1)</f>
        <v/>
      </c>
      <c r="EL70" s="43" t="str">
        <f t="shared" ref="EL70:EL77" si="906">IF(BF70="","","|n"&amp;EL$2&amp;"+"&amp;BF70&amp;EL$1)</f>
        <v/>
      </c>
      <c r="EM70" s="43" t="str">
        <f t="shared" ref="EM70:EM77" si="907">IF(BG70="","","|n"&amp;EM$2&amp;"+"&amp;BG70&amp;EM$1)</f>
        <v/>
      </c>
      <c r="EN70" s="43" t="str">
        <f t="shared" ref="EN70:EN77" si="908">IF(BH70="","","|n"&amp;EN$2&amp;"+"&amp;BH70&amp;EN$1)</f>
        <v/>
      </c>
      <c r="EO70" s="43" t="str">
        <f t="shared" ref="EO70:EO77" si="909">IF(BI70="","","|n"&amp;EO$2&amp;"+"&amp;BI70&amp;EO$1)</f>
        <v/>
      </c>
      <c r="EP70" s="43" t="str">
        <f t="shared" ref="EP70:EP77" si="910">IF(BJ70="","","|n"&amp;EP$2&amp;"+"&amp;BJ70&amp;EP$1)</f>
        <v/>
      </c>
      <c r="EQ70" s="43" t="str">
        <f t="shared" ref="EQ70:EQ77" si="911">IF(BK70="","","|n"&amp;EQ$2&amp;"+"&amp;BK70&amp;EQ$1)</f>
        <v/>
      </c>
      <c r="ER70" s="43" t="str">
        <f t="shared" ref="ER70:ER77" si="912">IF(BL70="","","|n"&amp;ER$2&amp;"+"&amp;BL70&amp;ER$1)</f>
        <v/>
      </c>
      <c r="ES70" s="43" t="str">
        <f t="shared" ref="ES70:ES77" si="913">IF(BM70="","","|n"&amp;ES$2&amp;"+"&amp;BM70&amp;ES$1)</f>
        <v/>
      </c>
      <c r="ET70" s="43" t="str">
        <f t="shared" ref="ET70:ET77" si="914">IF(BN70="","","|n"&amp;ET$2&amp;"+"&amp;BN70&amp;ET$1)</f>
        <v/>
      </c>
      <c r="EU70" s="43" t="str">
        <f t="shared" ref="EU70:EU77" si="915">IF(BO70="","","|n"&amp;EU$2&amp;"+"&amp;BO70&amp;EU$1)</f>
        <v/>
      </c>
      <c r="EV70" s="43" t="str">
        <f t="shared" ref="EV70:EV77" si="916">IF(BP70="","","|n"&amp;EV$2&amp;"+"&amp;BP70&amp;EV$1)</f>
        <v/>
      </c>
      <c r="EW70" s="43" t="str">
        <f t="shared" ref="EW70:EW77" si="917">IF(BQ70="","","|n"&amp;EW$2&amp;"+"&amp;BQ70&amp;EW$1)</f>
        <v/>
      </c>
      <c r="EX70" s="43" t="str">
        <f t="shared" ref="EX70:EX77" si="918">IF(BR70="","","|n"&amp;EX$2&amp;"+"&amp;BR70&amp;EX$1)</f>
        <v/>
      </c>
      <c r="EY70" s="43" t="str">
        <f t="shared" ref="EY70:EY77" si="919">IF(BS70="","","|n"&amp;EY$2&amp;"+"&amp;BS70&amp;EY$1)</f>
        <v/>
      </c>
      <c r="EZ70" s="43" t="str">
        <f t="shared" ref="EZ70:EZ77" si="920">IF(BT70="","","|n"&amp;EZ$2&amp;"+"&amp;BT70&amp;EZ$1)</f>
        <v/>
      </c>
      <c r="FA70" s="43" t="str">
        <f t="shared" ref="FA70:FA77" si="921">IF(BU70="","","|n"&amp;FA$2&amp;"+"&amp;BU70&amp;FA$1)</f>
        <v/>
      </c>
      <c r="FB70" s="43" t="str">
        <f t="shared" ref="FB70:FB77" si="922">IF(BV70="","","|n"&amp;FB$2&amp;"+"&amp;BV70&amp;FB$1)</f>
        <v/>
      </c>
      <c r="FC70" s="43" t="str">
        <f t="shared" ref="FC70:FC77" si="923">IF(BW70="","","|n"&amp;FC$2&amp;"+"&amp;BW70&amp;FC$1)</f>
        <v/>
      </c>
      <c r="FD70" s="43" t="str">
        <f t="shared" ref="FD70:FD77" si="924">IF(BX70="","","|n"&amp;FD$2&amp;"+"&amp;BX70&amp;FD$1)</f>
        <v/>
      </c>
      <c r="FE70" s="43" t="str">
        <f t="shared" ref="FE70:FE77" si="925">IF(BY70="","","|n"&amp;FE$2&amp;"+"&amp;BY70&amp;FE$1)</f>
        <v/>
      </c>
      <c r="FF70" s="43" t="str">
        <f t="shared" ref="FF70:FF77" si="926">IF(BZ70="","","|n"&amp;FF$2&amp;"+"&amp;BZ70&amp;FF$1)</f>
        <v/>
      </c>
      <c r="FG70" s="43" t="str">
        <f t="shared" ref="FG70:FG77" si="927">IF(CA70="","","|n"&amp;FG$2&amp;"+"&amp;CA70&amp;FG$1)</f>
        <v/>
      </c>
      <c r="FH70" s="43" t="str">
        <f t="shared" ref="FH70:FH77" si="928">IF(CB70="","","|n"&amp;FH$2&amp;"+"&amp;CB70&amp;FH$1)</f>
        <v/>
      </c>
      <c r="FI70" s="43" t="str">
        <f t="shared" ref="FI70:FI77" si="929">IF(CC70="","","|n"&amp;FI$2&amp;"+"&amp;CC70&amp;FI$1)</f>
        <v/>
      </c>
      <c r="FJ70" s="43" t="str">
        <f t="shared" ref="FJ70:FJ77" si="930">IF(CD70="","","|n"&amp;FJ$2&amp;"+"&amp;CD70&amp;FJ$1)</f>
        <v/>
      </c>
      <c r="FK70" s="43" t="str">
        <f t="shared" ref="FK70:FK77" si="931">IF(CE70="","","|n"&amp;FK$2&amp;"+"&amp;CE70&amp;FK$1)</f>
        <v/>
      </c>
      <c r="FL70" s="43" t="str">
        <f t="shared" ref="FL70:FL77" si="932">IF(CF70="","","|n"&amp;FL$2&amp;"+"&amp;CF70&amp;FL$1)</f>
        <v/>
      </c>
      <c r="FM70" s="43" t="str">
        <f t="shared" ref="FM70:FM77" si="933">IF(CG70="","","|n"&amp;FM$2&amp;"+"&amp;CG70&amp;FM$1)</f>
        <v/>
      </c>
      <c r="FN70" s="43" t="str">
        <f t="shared" ref="FN70:FN77" si="934">IF(CH70="","","|n"&amp;FN$2&amp;"+"&amp;CH70&amp;FN$1)</f>
        <v/>
      </c>
      <c r="FO70" s="43" t="str">
        <f t="shared" ref="FO70:FO77" si="935">IF(CI70="","","|n"&amp;FO$2&amp;"+"&amp;CI70&amp;FO$1)</f>
        <v/>
      </c>
      <c r="FP70" s="43" t="str">
        <f t="shared" ref="FP70:FP77" si="936">IF(CJ70="","","|n"&amp;FP$2&amp;"+"&amp;CJ70&amp;FP$1)</f>
        <v/>
      </c>
      <c r="FQ70" s="43" t="str">
        <f t="shared" ref="FQ70:FQ77" si="937">IF(CK70="","","|n"&amp;FQ$2&amp;"+"&amp;CK70&amp;FQ$1)</f>
        <v/>
      </c>
      <c r="FR70" s="43" t="str">
        <f t="shared" ref="FR70:FR77" si="938">IF(CL70="","","|n"&amp;FR$2&amp;"+"&amp;CL70&amp;FR$1)</f>
        <v/>
      </c>
      <c r="FS70" s="43" t="str">
        <f t="shared" ref="FS70:FS77" si="939">IF(CM70="","","|n"&amp;FS$2&amp;"+"&amp;CM70&amp;FS$1)</f>
        <v/>
      </c>
    </row>
    <row r="71" s="6" customFormat="1" ht="15" spans="1:175">
      <c r="A71" s="10"/>
      <c r="B71" s="45" t="s">
        <v>324</v>
      </c>
      <c r="C71" s="10" t="s">
        <v>325</v>
      </c>
      <c r="D71" s="46"/>
      <c r="E71" s="47"/>
      <c r="F71" s="48">
        <v>10000</v>
      </c>
      <c r="G71" s="49">
        <v>70</v>
      </c>
      <c r="H71" s="49"/>
      <c r="I71" s="49" t="str">
        <f t="shared" si="441"/>
        <v>E220</v>
      </c>
      <c r="J71" s="49"/>
      <c r="K71" s="49"/>
      <c r="L71" s="49"/>
      <c r="M71" s="49"/>
      <c r="N71" s="49"/>
      <c r="O71" s="49"/>
      <c r="P71" s="54"/>
      <c r="Q71" s="54"/>
      <c r="R71" s="54"/>
      <c r="S71" s="61"/>
      <c r="T71" s="62"/>
      <c r="U71" s="59" t="s">
        <v>319</v>
      </c>
      <c r="V71" s="60"/>
      <c r="W71" s="60"/>
      <c r="X71" s="60">
        <v>1300</v>
      </c>
      <c r="Y71" s="60"/>
      <c r="Z71" s="60">
        <v>375000</v>
      </c>
      <c r="AA71" s="60"/>
      <c r="AB71" s="60">
        <f t="shared" si="294"/>
        <v>7500</v>
      </c>
      <c r="AC71" s="60"/>
      <c r="AD71" s="60"/>
      <c r="AE71" s="60"/>
      <c r="AF71" s="60"/>
      <c r="AG71" s="64"/>
      <c r="AH71" s="60"/>
      <c r="AI71" s="60"/>
      <c r="AJ71" s="60"/>
      <c r="AK71" s="60"/>
      <c r="AL71" s="64"/>
      <c r="AM71" s="60"/>
      <c r="AN71" s="60"/>
      <c r="AO71" s="60"/>
      <c r="AP71" s="60"/>
      <c r="AQ71" s="60"/>
      <c r="AR71" s="66"/>
      <c r="AS71" s="66"/>
      <c r="AT71" s="60"/>
      <c r="AU71" s="60"/>
      <c r="AV71" s="60"/>
      <c r="AW71" s="60">
        <f t="shared" si="868"/>
        <v>2</v>
      </c>
      <c r="AX71" s="60"/>
      <c r="AY71" s="60"/>
      <c r="AZ71" s="60"/>
      <c r="BA71" s="60"/>
      <c r="BB71" s="60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60"/>
      <c r="CF71" s="60"/>
      <c r="CG71" s="60"/>
      <c r="CH71" s="60"/>
      <c r="CI71" s="60"/>
      <c r="CJ71" s="60"/>
      <c r="CK71" s="60"/>
      <c r="CL71" s="60"/>
      <c r="CM71" s="60"/>
      <c r="CN71" s="69" t="str">
        <f t="shared" si="864"/>
        <v>InitUnitState('E219',,,1300,,375000,,7500,,,)</v>
      </c>
      <c r="CO71" s="69" t="str">
        <f t="shared" si="865"/>
        <v>InitUnitNormal('E219',,,,,,,,,,)</v>
      </c>
      <c r="CP71" s="69" t="str">
        <f t="shared" si="866"/>
        <v>InitUnitMagic('E219',,,,,,,,2,,)</v>
      </c>
      <c r="CQ71" s="69" t="str">
        <f t="shared" si="867"/>
        <v>InitUnitAdd('E219',,,,,,,,,,)</v>
      </c>
      <c r="CR71" s="69" t="str">
        <f t="shared" si="653"/>
        <v>InitEquipData('E219',,"",,E220,10000,70,'','','','','','',"ReplaceableTextures\\CommandButtons\\BTNZ14.blp")</v>
      </c>
      <c r="CS71" s="69"/>
      <c r="CT71" s="69"/>
      <c r="CU71" s="71" t="str">
        <f t="shared" si="869"/>
        <v>|n护甲+1300|n生命值+375000|n生命回复+7500|n生命恢复%+2|n</v>
      </c>
      <c r="CV71" s="5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|Cffbbbbbb属性：|r|n护甲+1300|n生命值+375000|n生命回复+7500|n生命恢复%+2|n|n|Cff00ff7f点击消耗10000金币进行强化|n成功率70%</v>
      </c>
      <c r="DB71" s="43" t="str">
        <f t="shared" si="870"/>
        <v/>
      </c>
      <c r="DC71" s="43" t="str">
        <f t="shared" si="871"/>
        <v/>
      </c>
      <c r="DD71" s="43" t="str">
        <f t="shared" si="872"/>
        <v>|n护甲+1300</v>
      </c>
      <c r="DE71" s="43" t="str">
        <f t="shared" si="873"/>
        <v/>
      </c>
      <c r="DF71" s="43" t="str">
        <f t="shared" si="874"/>
        <v>|n生命值+375000</v>
      </c>
      <c r="DG71" s="43" t="str">
        <f t="shared" si="875"/>
        <v/>
      </c>
      <c r="DH71" s="43" t="str">
        <f t="shared" si="876"/>
        <v>|n生命回复+7500</v>
      </c>
      <c r="DI71" s="43" t="str">
        <f t="shared" si="877"/>
        <v/>
      </c>
      <c r="DJ71" s="43" t="str">
        <f t="shared" si="878"/>
        <v/>
      </c>
      <c r="DK71" s="43" t="str">
        <f t="shared" si="879"/>
        <v/>
      </c>
      <c r="DL71" s="43" t="str">
        <f t="shared" si="880"/>
        <v/>
      </c>
      <c r="DM71" s="43" t="str">
        <f t="shared" si="881"/>
        <v/>
      </c>
      <c r="DN71" s="43" t="str">
        <f t="shared" si="882"/>
        <v/>
      </c>
      <c r="DO71" s="43" t="str">
        <f t="shared" si="883"/>
        <v/>
      </c>
      <c r="DP71" s="43" t="str">
        <f t="shared" si="884"/>
        <v/>
      </c>
      <c r="DQ71" s="43" t="str">
        <f t="shared" si="885"/>
        <v/>
      </c>
      <c r="DR71" s="43" t="str">
        <f t="shared" si="886"/>
        <v/>
      </c>
      <c r="DS71" s="43" t="str">
        <f t="shared" si="887"/>
        <v/>
      </c>
      <c r="DT71" s="43" t="str">
        <f t="shared" si="888"/>
        <v/>
      </c>
      <c r="DU71" s="43" t="str">
        <f t="shared" si="889"/>
        <v/>
      </c>
      <c r="DV71" s="43" t="str">
        <f t="shared" si="890"/>
        <v/>
      </c>
      <c r="DW71" s="43" t="str">
        <f t="shared" si="891"/>
        <v/>
      </c>
      <c r="DX71" s="43" t="str">
        <f t="shared" si="892"/>
        <v/>
      </c>
      <c r="DY71" s="43" t="str">
        <f t="shared" si="893"/>
        <v/>
      </c>
      <c r="DZ71" s="43" t="str">
        <f t="shared" si="894"/>
        <v/>
      </c>
      <c r="EA71" s="43" t="str">
        <f t="shared" si="895"/>
        <v/>
      </c>
      <c r="EB71" s="43" t="str">
        <f t="shared" si="896"/>
        <v/>
      </c>
      <c r="EC71" s="43" t="str">
        <f t="shared" si="897"/>
        <v>|n生命恢复%+2</v>
      </c>
      <c r="ED71" s="43" t="str">
        <f t="shared" si="898"/>
        <v/>
      </c>
      <c r="EE71" s="43" t="str">
        <f t="shared" si="899"/>
        <v/>
      </c>
      <c r="EF71" s="43" t="str">
        <f t="shared" si="900"/>
        <v/>
      </c>
      <c r="EG71" s="43" t="str">
        <f t="shared" si="901"/>
        <v/>
      </c>
      <c r="EH71" s="43" t="str">
        <f t="shared" si="902"/>
        <v/>
      </c>
      <c r="EI71" s="43" t="str">
        <f t="shared" si="903"/>
        <v/>
      </c>
      <c r="EJ71" s="43" t="str">
        <f t="shared" si="904"/>
        <v/>
      </c>
      <c r="EK71" s="43" t="str">
        <f t="shared" si="905"/>
        <v/>
      </c>
      <c r="EL71" s="43" t="str">
        <f t="shared" si="906"/>
        <v/>
      </c>
      <c r="EM71" s="43" t="str">
        <f t="shared" si="907"/>
        <v/>
      </c>
      <c r="EN71" s="43" t="str">
        <f t="shared" si="908"/>
        <v/>
      </c>
      <c r="EO71" s="43" t="str">
        <f t="shared" si="909"/>
        <v/>
      </c>
      <c r="EP71" s="43" t="str">
        <f t="shared" si="910"/>
        <v/>
      </c>
      <c r="EQ71" s="43" t="str">
        <f t="shared" si="911"/>
        <v/>
      </c>
      <c r="ER71" s="43" t="str">
        <f t="shared" si="912"/>
        <v/>
      </c>
      <c r="ES71" s="43" t="str">
        <f t="shared" si="913"/>
        <v/>
      </c>
      <c r="ET71" s="43" t="str">
        <f t="shared" si="914"/>
        <v/>
      </c>
      <c r="EU71" s="43" t="str">
        <f t="shared" si="915"/>
        <v/>
      </c>
      <c r="EV71" s="43" t="str">
        <f t="shared" si="916"/>
        <v/>
      </c>
      <c r="EW71" s="43" t="str">
        <f t="shared" si="917"/>
        <v/>
      </c>
      <c r="EX71" s="43" t="str">
        <f t="shared" si="918"/>
        <v/>
      </c>
      <c r="EY71" s="43" t="str">
        <f t="shared" si="919"/>
        <v/>
      </c>
      <c r="EZ71" s="43" t="str">
        <f t="shared" si="920"/>
        <v/>
      </c>
      <c r="FA71" s="43" t="str">
        <f t="shared" si="921"/>
        <v/>
      </c>
      <c r="FB71" s="43" t="str">
        <f t="shared" si="922"/>
        <v/>
      </c>
      <c r="FC71" s="43" t="str">
        <f t="shared" si="923"/>
        <v/>
      </c>
      <c r="FD71" s="43" t="str">
        <f t="shared" si="924"/>
        <v/>
      </c>
      <c r="FE71" s="43" t="str">
        <f t="shared" si="925"/>
        <v/>
      </c>
      <c r="FF71" s="43" t="str">
        <f t="shared" si="926"/>
        <v/>
      </c>
      <c r="FG71" s="43" t="str">
        <f t="shared" si="927"/>
        <v/>
      </c>
      <c r="FH71" s="43" t="str">
        <f t="shared" si="928"/>
        <v/>
      </c>
      <c r="FI71" s="43" t="str">
        <f t="shared" si="929"/>
        <v/>
      </c>
      <c r="FJ71" s="43" t="str">
        <f t="shared" si="930"/>
        <v/>
      </c>
      <c r="FK71" s="43" t="str">
        <f t="shared" si="931"/>
        <v/>
      </c>
      <c r="FL71" s="43" t="str">
        <f t="shared" si="932"/>
        <v/>
      </c>
      <c r="FM71" s="43" t="str">
        <f t="shared" si="933"/>
        <v/>
      </c>
      <c r="FN71" s="43" t="str">
        <f t="shared" si="934"/>
        <v/>
      </c>
      <c r="FO71" s="43" t="str">
        <f t="shared" si="935"/>
        <v/>
      </c>
      <c r="FP71" s="43" t="str">
        <f t="shared" si="936"/>
        <v/>
      </c>
      <c r="FQ71" s="43" t="str">
        <f t="shared" si="937"/>
        <v/>
      </c>
      <c r="FR71" s="43" t="str">
        <f t="shared" si="938"/>
        <v/>
      </c>
      <c r="FS71" s="43" t="str">
        <f t="shared" si="939"/>
        <v/>
      </c>
    </row>
    <row r="72" s="6" customFormat="1" ht="15" spans="1:175">
      <c r="A72" s="10"/>
      <c r="B72" s="45" t="s">
        <v>326</v>
      </c>
      <c r="C72" s="10" t="s">
        <v>327</v>
      </c>
      <c r="D72" s="46"/>
      <c r="E72" s="47"/>
      <c r="F72" s="48">
        <v>30000</v>
      </c>
      <c r="G72" s="49">
        <v>100</v>
      </c>
      <c r="H72" s="50" t="s">
        <v>328</v>
      </c>
      <c r="I72" s="49" t="str">
        <f t="shared" si="441"/>
        <v>E221</v>
      </c>
      <c r="J72" s="49"/>
      <c r="K72" s="49"/>
      <c r="L72" s="49"/>
      <c r="M72" s="49"/>
      <c r="N72" s="49"/>
      <c r="O72" s="49"/>
      <c r="P72" s="54"/>
      <c r="Q72" s="54"/>
      <c r="R72" s="54"/>
      <c r="S72" s="61"/>
      <c r="T72" s="62"/>
      <c r="U72" s="59" t="s">
        <v>319</v>
      </c>
      <c r="V72" s="60"/>
      <c r="W72" s="60"/>
      <c r="X72" s="60">
        <v>1400</v>
      </c>
      <c r="Y72" s="60"/>
      <c r="Z72" s="60">
        <v>450000</v>
      </c>
      <c r="AA72" s="60"/>
      <c r="AB72" s="60">
        <f t="shared" si="294"/>
        <v>9000</v>
      </c>
      <c r="AC72" s="60"/>
      <c r="AD72" s="60"/>
      <c r="AE72" s="60"/>
      <c r="AF72" s="60"/>
      <c r="AG72" s="64"/>
      <c r="AH72" s="60"/>
      <c r="AI72" s="60"/>
      <c r="AJ72" s="60"/>
      <c r="AK72" s="60"/>
      <c r="AL72" s="64"/>
      <c r="AM72" s="60"/>
      <c r="AN72" s="60"/>
      <c r="AO72" s="60"/>
      <c r="AP72" s="60"/>
      <c r="AQ72" s="60"/>
      <c r="AR72" s="66"/>
      <c r="AS72" s="66"/>
      <c r="AT72" s="60"/>
      <c r="AU72" s="60"/>
      <c r="AV72" s="60"/>
      <c r="AW72" s="60">
        <f t="shared" si="868"/>
        <v>2</v>
      </c>
      <c r="AX72" s="60"/>
      <c r="AY72" s="60"/>
      <c r="AZ72" s="60"/>
      <c r="BA72" s="60"/>
      <c r="BB72" s="60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60"/>
      <c r="CF72" s="60"/>
      <c r="CG72" s="60"/>
      <c r="CH72" s="60"/>
      <c r="CI72" s="60"/>
      <c r="CJ72" s="60"/>
      <c r="CK72" s="60"/>
      <c r="CL72" s="60"/>
      <c r="CM72" s="60"/>
      <c r="CN72" s="69" t="str">
        <f t="shared" si="864"/>
        <v>InitUnitState('E220',,,1400,,450000,,9000,,,)</v>
      </c>
      <c r="CO72" s="69" t="str">
        <f t="shared" si="865"/>
        <v>InitUnitNormal('E220',,,,,,,,,,)</v>
      </c>
      <c r="CP72" s="69" t="str">
        <f t="shared" si="866"/>
        <v>InitUnitMagic('E220',,,,,,,,2,,)</v>
      </c>
      <c r="CQ72" s="69" t="str">
        <f t="shared" si="867"/>
        <v>InitUnitAdd('E220',,,,,,,,,,)</v>
      </c>
      <c r="CR72" s="69" t="str">
        <f t="shared" si="653"/>
        <v>InitEquipData('E220',,"",,E221,30000,100,'','','','','','',"ReplaceableTextures\\CommandButtons\\BTNZ15.blp")</v>
      </c>
      <c r="CS72" s="69"/>
      <c r="CT72" s="69"/>
      <c r="CU72" s="71" t="str">
        <f t="shared" si="869"/>
        <v>|n护甲+1400|n生命值+450000|n生命回复+9000|n生命恢复%+2|n</v>
      </c>
      <c r="CV72" s="5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|Cffbbbbbb属性：|r|n护甲+1400|n生命值+450000|n生命回复+9000|n生命恢复%+2|n|n|Cff00ff7f点击消耗30000金币进行晋阶挑战</v>
      </c>
      <c r="DB72" s="43" t="str">
        <f t="shared" si="870"/>
        <v/>
      </c>
      <c r="DC72" s="43" t="str">
        <f t="shared" si="871"/>
        <v/>
      </c>
      <c r="DD72" s="43" t="str">
        <f t="shared" si="872"/>
        <v>|n护甲+1400</v>
      </c>
      <c r="DE72" s="43" t="str">
        <f t="shared" si="873"/>
        <v/>
      </c>
      <c r="DF72" s="43" t="str">
        <f t="shared" si="874"/>
        <v>|n生命值+450000</v>
      </c>
      <c r="DG72" s="43" t="str">
        <f t="shared" si="875"/>
        <v/>
      </c>
      <c r="DH72" s="43" t="str">
        <f t="shared" si="876"/>
        <v>|n生命回复+9000</v>
      </c>
      <c r="DI72" s="43" t="str">
        <f t="shared" si="877"/>
        <v/>
      </c>
      <c r="DJ72" s="43" t="str">
        <f t="shared" si="878"/>
        <v/>
      </c>
      <c r="DK72" s="43" t="str">
        <f t="shared" si="879"/>
        <v/>
      </c>
      <c r="DL72" s="43" t="str">
        <f t="shared" si="880"/>
        <v/>
      </c>
      <c r="DM72" s="43" t="str">
        <f t="shared" si="881"/>
        <v/>
      </c>
      <c r="DN72" s="43" t="str">
        <f t="shared" si="882"/>
        <v/>
      </c>
      <c r="DO72" s="43" t="str">
        <f t="shared" si="883"/>
        <v/>
      </c>
      <c r="DP72" s="43" t="str">
        <f t="shared" si="884"/>
        <v/>
      </c>
      <c r="DQ72" s="43" t="str">
        <f t="shared" si="885"/>
        <v/>
      </c>
      <c r="DR72" s="43" t="str">
        <f t="shared" si="886"/>
        <v/>
      </c>
      <c r="DS72" s="43" t="str">
        <f t="shared" si="887"/>
        <v/>
      </c>
      <c r="DT72" s="43" t="str">
        <f t="shared" si="888"/>
        <v/>
      </c>
      <c r="DU72" s="43" t="str">
        <f t="shared" si="889"/>
        <v/>
      </c>
      <c r="DV72" s="43" t="str">
        <f t="shared" si="890"/>
        <v/>
      </c>
      <c r="DW72" s="43" t="str">
        <f t="shared" si="891"/>
        <v/>
      </c>
      <c r="DX72" s="43" t="str">
        <f t="shared" si="892"/>
        <v/>
      </c>
      <c r="DY72" s="43" t="str">
        <f t="shared" si="893"/>
        <v/>
      </c>
      <c r="DZ72" s="43" t="str">
        <f t="shared" si="894"/>
        <v/>
      </c>
      <c r="EA72" s="43" t="str">
        <f t="shared" si="895"/>
        <v/>
      </c>
      <c r="EB72" s="43" t="str">
        <f t="shared" si="896"/>
        <v/>
      </c>
      <c r="EC72" s="43" t="str">
        <f t="shared" si="897"/>
        <v>|n生命恢复%+2</v>
      </c>
      <c r="ED72" s="43" t="str">
        <f t="shared" si="898"/>
        <v/>
      </c>
      <c r="EE72" s="43" t="str">
        <f t="shared" si="899"/>
        <v/>
      </c>
      <c r="EF72" s="43" t="str">
        <f t="shared" si="900"/>
        <v/>
      </c>
      <c r="EG72" s="43" t="str">
        <f t="shared" si="901"/>
        <v/>
      </c>
      <c r="EH72" s="43" t="str">
        <f t="shared" si="902"/>
        <v/>
      </c>
      <c r="EI72" s="43" t="str">
        <f t="shared" si="903"/>
        <v/>
      </c>
      <c r="EJ72" s="43" t="str">
        <f t="shared" si="904"/>
        <v/>
      </c>
      <c r="EK72" s="43" t="str">
        <f t="shared" si="905"/>
        <v/>
      </c>
      <c r="EL72" s="43" t="str">
        <f t="shared" si="906"/>
        <v/>
      </c>
      <c r="EM72" s="43" t="str">
        <f t="shared" si="907"/>
        <v/>
      </c>
      <c r="EN72" s="43" t="str">
        <f t="shared" si="908"/>
        <v/>
      </c>
      <c r="EO72" s="43" t="str">
        <f t="shared" si="909"/>
        <v/>
      </c>
      <c r="EP72" s="43" t="str">
        <f t="shared" si="910"/>
        <v/>
      </c>
      <c r="EQ72" s="43" t="str">
        <f t="shared" si="911"/>
        <v/>
      </c>
      <c r="ER72" s="43" t="str">
        <f t="shared" si="912"/>
        <v/>
      </c>
      <c r="ES72" s="43" t="str">
        <f t="shared" si="913"/>
        <v/>
      </c>
      <c r="ET72" s="43" t="str">
        <f t="shared" si="914"/>
        <v/>
      </c>
      <c r="EU72" s="43" t="str">
        <f t="shared" si="915"/>
        <v/>
      </c>
      <c r="EV72" s="43" t="str">
        <f t="shared" si="916"/>
        <v/>
      </c>
      <c r="EW72" s="43" t="str">
        <f t="shared" si="917"/>
        <v/>
      </c>
      <c r="EX72" s="43" t="str">
        <f t="shared" si="918"/>
        <v/>
      </c>
      <c r="EY72" s="43" t="str">
        <f t="shared" si="919"/>
        <v/>
      </c>
      <c r="EZ72" s="43" t="str">
        <f t="shared" si="920"/>
        <v/>
      </c>
      <c r="FA72" s="43" t="str">
        <f t="shared" si="921"/>
        <v/>
      </c>
      <c r="FB72" s="43" t="str">
        <f t="shared" si="922"/>
        <v/>
      </c>
      <c r="FC72" s="43" t="str">
        <f t="shared" si="923"/>
        <v/>
      </c>
      <c r="FD72" s="43" t="str">
        <f t="shared" si="924"/>
        <v/>
      </c>
      <c r="FE72" s="43" t="str">
        <f t="shared" si="925"/>
        <v/>
      </c>
      <c r="FF72" s="43" t="str">
        <f t="shared" si="926"/>
        <v/>
      </c>
      <c r="FG72" s="43" t="str">
        <f t="shared" si="927"/>
        <v/>
      </c>
      <c r="FH72" s="43" t="str">
        <f t="shared" si="928"/>
        <v/>
      </c>
      <c r="FI72" s="43" t="str">
        <f t="shared" si="929"/>
        <v/>
      </c>
      <c r="FJ72" s="43" t="str">
        <f t="shared" si="930"/>
        <v/>
      </c>
      <c r="FK72" s="43" t="str">
        <f t="shared" si="931"/>
        <v/>
      </c>
      <c r="FL72" s="43" t="str">
        <f t="shared" si="932"/>
        <v/>
      </c>
      <c r="FM72" s="43" t="str">
        <f t="shared" si="933"/>
        <v/>
      </c>
      <c r="FN72" s="43" t="str">
        <f t="shared" si="934"/>
        <v/>
      </c>
      <c r="FO72" s="43" t="str">
        <f t="shared" si="935"/>
        <v/>
      </c>
      <c r="FP72" s="43" t="str">
        <f t="shared" si="936"/>
        <v/>
      </c>
      <c r="FQ72" s="43" t="str">
        <f t="shared" si="937"/>
        <v/>
      </c>
      <c r="FR72" s="43" t="str">
        <f t="shared" si="938"/>
        <v/>
      </c>
      <c r="FS72" s="43" t="str">
        <f t="shared" si="939"/>
        <v/>
      </c>
    </row>
    <row r="73" s="6" customFormat="1" ht="15" spans="1:175">
      <c r="A73" s="10"/>
      <c r="B73" s="45" t="s">
        <v>329</v>
      </c>
      <c r="C73" s="10" t="s">
        <v>330</v>
      </c>
      <c r="D73" s="46"/>
      <c r="E73" s="47"/>
      <c r="F73" s="48">
        <v>20000</v>
      </c>
      <c r="G73" s="49">
        <v>50</v>
      </c>
      <c r="H73" s="49"/>
      <c r="I73" s="49" t="str">
        <f t="shared" si="441"/>
        <v>E222</v>
      </c>
      <c r="J73" s="49"/>
      <c r="K73" s="49"/>
      <c r="L73" s="49"/>
      <c r="M73" s="49"/>
      <c r="N73" s="49"/>
      <c r="O73" s="49"/>
      <c r="P73" s="54"/>
      <c r="Q73" s="54"/>
      <c r="R73" s="54"/>
      <c r="S73" s="61"/>
      <c r="T73" s="62"/>
      <c r="U73" s="59" t="s">
        <v>331</v>
      </c>
      <c r="V73" s="60"/>
      <c r="W73" s="60"/>
      <c r="X73" s="60">
        <v>2000</v>
      </c>
      <c r="Y73" s="60"/>
      <c r="Z73" s="60">
        <v>750000</v>
      </c>
      <c r="AA73" s="60"/>
      <c r="AB73" s="60">
        <f t="shared" si="294"/>
        <v>15000</v>
      </c>
      <c r="AC73" s="60"/>
      <c r="AD73" s="60"/>
      <c r="AE73" s="60"/>
      <c r="AF73" s="60"/>
      <c r="AG73" s="64"/>
      <c r="AH73" s="60"/>
      <c r="AI73" s="60"/>
      <c r="AJ73" s="60"/>
      <c r="AK73" s="60"/>
      <c r="AL73" s="64"/>
      <c r="AM73" s="60"/>
      <c r="AN73" s="60"/>
      <c r="AO73" s="60"/>
      <c r="AP73" s="60"/>
      <c r="AQ73" s="60"/>
      <c r="AR73" s="66"/>
      <c r="AS73" s="66"/>
      <c r="AT73" s="60"/>
      <c r="AU73" s="60"/>
      <c r="AV73" s="60"/>
      <c r="AW73" s="60">
        <f t="shared" si="868"/>
        <v>3</v>
      </c>
      <c r="AX73" s="60"/>
      <c r="AY73" s="60"/>
      <c r="AZ73" s="60"/>
      <c r="BA73" s="60"/>
      <c r="BB73" s="60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60"/>
      <c r="CF73" s="60"/>
      <c r="CG73" s="60"/>
      <c r="CH73" s="60"/>
      <c r="CI73" s="60"/>
      <c r="CJ73" s="60"/>
      <c r="CK73" s="60"/>
      <c r="CL73" s="60"/>
      <c r="CM73" s="60"/>
      <c r="CN73" s="69" t="str">
        <f t="shared" si="864"/>
        <v>InitUnitState('E221',,,2000,,750000,,15000,,,)</v>
      </c>
      <c r="CO73" s="69" t="str">
        <f t="shared" si="865"/>
        <v>InitUnitNormal('E221',,,,,,,,,,)</v>
      </c>
      <c r="CP73" s="69" t="str">
        <f t="shared" si="866"/>
        <v>InitUnitMagic('E221',,,,,,,,3,,)</v>
      </c>
      <c r="CQ73" s="69" t="str">
        <f t="shared" si="867"/>
        <v>InitUnitAdd('E221',,,,,,,,,,)</v>
      </c>
      <c r="CR73" s="69" t="str">
        <f t="shared" si="653"/>
        <v>InitEquipData('E221',,"",,E222,20000,50,'','','','','','',"ReplaceableTextures\\CommandButtons\\BTNZ15.blp")</v>
      </c>
      <c r="CS73" s="69"/>
      <c r="CT73" s="69"/>
      <c r="CU73" s="71" t="str">
        <f t="shared" si="869"/>
        <v>|n护甲+2000|n生命值+750000|n生命回复+15000|n生命恢复%+3|n</v>
      </c>
      <c r="CV73" s="5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|Cffbbbbbb属性：|r|n护甲+2000|n生命值+750000|n生命回复+15000|n生命恢复%+3|n|n|Cff00ff7f点击消耗20000金币进行强化|n成功率50%</v>
      </c>
      <c r="DB73" s="43" t="str">
        <f t="shared" si="870"/>
        <v/>
      </c>
      <c r="DC73" s="43" t="str">
        <f t="shared" si="871"/>
        <v/>
      </c>
      <c r="DD73" s="43" t="str">
        <f t="shared" si="872"/>
        <v>|n护甲+2000</v>
      </c>
      <c r="DE73" s="43" t="str">
        <f t="shared" si="873"/>
        <v/>
      </c>
      <c r="DF73" s="43" t="str">
        <f t="shared" si="874"/>
        <v>|n生命值+750000</v>
      </c>
      <c r="DG73" s="43" t="str">
        <f t="shared" si="875"/>
        <v/>
      </c>
      <c r="DH73" s="43" t="str">
        <f t="shared" si="876"/>
        <v>|n生命回复+15000</v>
      </c>
      <c r="DI73" s="43" t="str">
        <f t="shared" si="877"/>
        <v/>
      </c>
      <c r="DJ73" s="43" t="str">
        <f t="shared" si="878"/>
        <v/>
      </c>
      <c r="DK73" s="43" t="str">
        <f t="shared" si="879"/>
        <v/>
      </c>
      <c r="DL73" s="43" t="str">
        <f t="shared" si="880"/>
        <v/>
      </c>
      <c r="DM73" s="43" t="str">
        <f t="shared" si="881"/>
        <v/>
      </c>
      <c r="DN73" s="43" t="str">
        <f t="shared" si="882"/>
        <v/>
      </c>
      <c r="DO73" s="43" t="str">
        <f t="shared" si="883"/>
        <v/>
      </c>
      <c r="DP73" s="43" t="str">
        <f t="shared" si="884"/>
        <v/>
      </c>
      <c r="DQ73" s="43" t="str">
        <f t="shared" si="885"/>
        <v/>
      </c>
      <c r="DR73" s="43" t="str">
        <f t="shared" si="886"/>
        <v/>
      </c>
      <c r="DS73" s="43" t="str">
        <f t="shared" si="887"/>
        <v/>
      </c>
      <c r="DT73" s="43" t="str">
        <f t="shared" si="888"/>
        <v/>
      </c>
      <c r="DU73" s="43" t="str">
        <f t="shared" si="889"/>
        <v/>
      </c>
      <c r="DV73" s="43" t="str">
        <f t="shared" si="890"/>
        <v/>
      </c>
      <c r="DW73" s="43" t="str">
        <f t="shared" si="891"/>
        <v/>
      </c>
      <c r="DX73" s="43" t="str">
        <f t="shared" si="892"/>
        <v/>
      </c>
      <c r="DY73" s="43" t="str">
        <f t="shared" si="893"/>
        <v/>
      </c>
      <c r="DZ73" s="43" t="str">
        <f t="shared" si="894"/>
        <v/>
      </c>
      <c r="EA73" s="43" t="str">
        <f t="shared" si="895"/>
        <v/>
      </c>
      <c r="EB73" s="43" t="str">
        <f t="shared" si="896"/>
        <v/>
      </c>
      <c r="EC73" s="43" t="str">
        <f t="shared" si="897"/>
        <v>|n生命恢复%+3</v>
      </c>
      <c r="ED73" s="43" t="str">
        <f t="shared" si="898"/>
        <v/>
      </c>
      <c r="EE73" s="43" t="str">
        <f t="shared" si="899"/>
        <v/>
      </c>
      <c r="EF73" s="43" t="str">
        <f t="shared" si="900"/>
        <v/>
      </c>
      <c r="EG73" s="43" t="str">
        <f t="shared" si="901"/>
        <v/>
      </c>
      <c r="EH73" s="43" t="str">
        <f t="shared" si="902"/>
        <v/>
      </c>
      <c r="EI73" s="43" t="str">
        <f t="shared" si="903"/>
        <v/>
      </c>
      <c r="EJ73" s="43" t="str">
        <f t="shared" si="904"/>
        <v/>
      </c>
      <c r="EK73" s="43" t="str">
        <f t="shared" si="905"/>
        <v/>
      </c>
      <c r="EL73" s="43" t="str">
        <f t="shared" si="906"/>
        <v/>
      </c>
      <c r="EM73" s="43" t="str">
        <f t="shared" si="907"/>
        <v/>
      </c>
      <c r="EN73" s="43" t="str">
        <f t="shared" si="908"/>
        <v/>
      </c>
      <c r="EO73" s="43" t="str">
        <f t="shared" si="909"/>
        <v/>
      </c>
      <c r="EP73" s="43" t="str">
        <f t="shared" si="910"/>
        <v/>
      </c>
      <c r="EQ73" s="43" t="str">
        <f t="shared" si="911"/>
        <v/>
      </c>
      <c r="ER73" s="43" t="str">
        <f t="shared" si="912"/>
        <v/>
      </c>
      <c r="ES73" s="43" t="str">
        <f t="shared" si="913"/>
        <v/>
      </c>
      <c r="ET73" s="43" t="str">
        <f t="shared" si="914"/>
        <v/>
      </c>
      <c r="EU73" s="43" t="str">
        <f t="shared" si="915"/>
        <v/>
      </c>
      <c r="EV73" s="43" t="str">
        <f t="shared" si="916"/>
        <v/>
      </c>
      <c r="EW73" s="43" t="str">
        <f t="shared" si="917"/>
        <v/>
      </c>
      <c r="EX73" s="43" t="str">
        <f t="shared" si="918"/>
        <v/>
      </c>
      <c r="EY73" s="43" t="str">
        <f t="shared" si="919"/>
        <v/>
      </c>
      <c r="EZ73" s="43" t="str">
        <f t="shared" si="920"/>
        <v/>
      </c>
      <c r="FA73" s="43" t="str">
        <f t="shared" si="921"/>
        <v/>
      </c>
      <c r="FB73" s="43" t="str">
        <f t="shared" si="922"/>
        <v/>
      </c>
      <c r="FC73" s="43" t="str">
        <f t="shared" si="923"/>
        <v/>
      </c>
      <c r="FD73" s="43" t="str">
        <f t="shared" si="924"/>
        <v/>
      </c>
      <c r="FE73" s="43" t="str">
        <f t="shared" si="925"/>
        <v/>
      </c>
      <c r="FF73" s="43" t="str">
        <f t="shared" si="926"/>
        <v/>
      </c>
      <c r="FG73" s="43" t="str">
        <f t="shared" si="927"/>
        <v/>
      </c>
      <c r="FH73" s="43" t="str">
        <f t="shared" si="928"/>
        <v/>
      </c>
      <c r="FI73" s="43" t="str">
        <f t="shared" si="929"/>
        <v/>
      </c>
      <c r="FJ73" s="43" t="str">
        <f t="shared" si="930"/>
        <v/>
      </c>
      <c r="FK73" s="43" t="str">
        <f t="shared" si="931"/>
        <v/>
      </c>
      <c r="FL73" s="43" t="str">
        <f t="shared" si="932"/>
        <v/>
      </c>
      <c r="FM73" s="43" t="str">
        <f t="shared" si="933"/>
        <v/>
      </c>
      <c r="FN73" s="43" t="str">
        <f t="shared" si="934"/>
        <v/>
      </c>
      <c r="FO73" s="43" t="str">
        <f t="shared" si="935"/>
        <v/>
      </c>
      <c r="FP73" s="43" t="str">
        <f t="shared" si="936"/>
        <v/>
      </c>
      <c r="FQ73" s="43" t="str">
        <f t="shared" si="937"/>
        <v/>
      </c>
      <c r="FR73" s="43" t="str">
        <f t="shared" si="938"/>
        <v/>
      </c>
      <c r="FS73" s="43" t="str">
        <f t="shared" si="939"/>
        <v/>
      </c>
    </row>
    <row r="74" s="6" customFormat="1" ht="15" spans="1:175">
      <c r="A74" s="10"/>
      <c r="B74" s="45" t="s">
        <v>332</v>
      </c>
      <c r="C74" s="10" t="s">
        <v>333</v>
      </c>
      <c r="D74" s="46"/>
      <c r="E74" s="47"/>
      <c r="F74" s="48">
        <v>20000</v>
      </c>
      <c r="G74" s="49">
        <v>50</v>
      </c>
      <c r="H74" s="49"/>
      <c r="I74" s="49" t="str">
        <f t="shared" si="441"/>
        <v>E223</v>
      </c>
      <c r="J74" s="49"/>
      <c r="K74" s="49"/>
      <c r="L74" s="49"/>
      <c r="M74" s="49"/>
      <c r="N74" s="49"/>
      <c r="O74" s="49"/>
      <c r="P74" s="54"/>
      <c r="Q74" s="54"/>
      <c r="R74" s="54"/>
      <c r="S74" s="61"/>
      <c r="T74" s="62"/>
      <c r="U74" s="59" t="s">
        <v>331</v>
      </c>
      <c r="V74" s="60"/>
      <c r="W74" s="60"/>
      <c r="X74" s="60">
        <v>2200</v>
      </c>
      <c r="Y74" s="60"/>
      <c r="Z74" s="60">
        <v>1200000</v>
      </c>
      <c r="AA74" s="60"/>
      <c r="AB74" s="60">
        <f t="shared" si="294"/>
        <v>24000</v>
      </c>
      <c r="AC74" s="60"/>
      <c r="AD74" s="60"/>
      <c r="AE74" s="60"/>
      <c r="AF74" s="60"/>
      <c r="AG74" s="64"/>
      <c r="AH74" s="60"/>
      <c r="AI74" s="60"/>
      <c r="AJ74" s="60"/>
      <c r="AK74" s="60"/>
      <c r="AL74" s="64"/>
      <c r="AM74" s="60"/>
      <c r="AN74" s="60"/>
      <c r="AO74" s="60"/>
      <c r="AP74" s="60"/>
      <c r="AQ74" s="60"/>
      <c r="AR74" s="66"/>
      <c r="AS74" s="66"/>
      <c r="AT74" s="60"/>
      <c r="AU74" s="60"/>
      <c r="AV74" s="60"/>
      <c r="AW74" s="60">
        <f t="shared" si="868"/>
        <v>3</v>
      </c>
      <c r="AX74" s="60"/>
      <c r="AY74" s="60"/>
      <c r="AZ74" s="60"/>
      <c r="BA74" s="60"/>
      <c r="BB74" s="60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60"/>
      <c r="CF74" s="60"/>
      <c r="CG74" s="60"/>
      <c r="CH74" s="60"/>
      <c r="CI74" s="60"/>
      <c r="CJ74" s="60"/>
      <c r="CK74" s="60"/>
      <c r="CL74" s="60"/>
      <c r="CM74" s="60"/>
      <c r="CN74" s="69" t="str">
        <f t="shared" si="864"/>
        <v>InitUnitState('E222',,,2200,,1200000,,24000,,,)</v>
      </c>
      <c r="CO74" s="69" t="str">
        <f t="shared" si="865"/>
        <v>InitUnitNormal('E222',,,,,,,,,,)</v>
      </c>
      <c r="CP74" s="69" t="str">
        <f t="shared" si="866"/>
        <v>InitUnitMagic('E222',,,,,,,,3,,)</v>
      </c>
      <c r="CQ74" s="69" t="str">
        <f t="shared" si="867"/>
        <v>InitUnitAdd('E222',,,,,,,,,,)</v>
      </c>
      <c r="CR74" s="69" t="str">
        <f t="shared" si="653"/>
        <v>InitEquipData('E222',,"",,E223,20000,50,'','','','','','',"ReplaceableTextures\\CommandButtons\\BTNZ15.blp")</v>
      </c>
      <c r="CS74" s="69"/>
      <c r="CT74" s="69"/>
      <c r="CU74" s="71" t="str">
        <f t="shared" si="869"/>
        <v>|n护甲+2200|n生命值+1200000|n生命回复+24000|n生命恢复%+3|n</v>
      </c>
      <c r="CV74" s="5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|Cffbbbbbb属性：|r|n护甲+2200|n生命值+1200000|n生命回复+24000|n生命恢复%+3|n|n|Cff00ff7f点击消耗20000金币进行强化|n成功率50%</v>
      </c>
      <c r="DB74" s="43" t="str">
        <f t="shared" si="870"/>
        <v/>
      </c>
      <c r="DC74" s="43" t="str">
        <f t="shared" si="871"/>
        <v/>
      </c>
      <c r="DD74" s="43" t="str">
        <f t="shared" si="872"/>
        <v>|n护甲+2200</v>
      </c>
      <c r="DE74" s="43" t="str">
        <f t="shared" si="873"/>
        <v/>
      </c>
      <c r="DF74" s="43" t="str">
        <f t="shared" si="874"/>
        <v>|n生命值+1200000</v>
      </c>
      <c r="DG74" s="43" t="str">
        <f t="shared" si="875"/>
        <v/>
      </c>
      <c r="DH74" s="43" t="str">
        <f t="shared" si="876"/>
        <v>|n生命回复+24000</v>
      </c>
      <c r="DI74" s="43" t="str">
        <f t="shared" si="877"/>
        <v/>
      </c>
      <c r="DJ74" s="43" t="str">
        <f t="shared" si="878"/>
        <v/>
      </c>
      <c r="DK74" s="43" t="str">
        <f t="shared" si="879"/>
        <v/>
      </c>
      <c r="DL74" s="43" t="str">
        <f t="shared" si="880"/>
        <v/>
      </c>
      <c r="DM74" s="43" t="str">
        <f t="shared" si="881"/>
        <v/>
      </c>
      <c r="DN74" s="43" t="str">
        <f t="shared" si="882"/>
        <v/>
      </c>
      <c r="DO74" s="43" t="str">
        <f t="shared" si="883"/>
        <v/>
      </c>
      <c r="DP74" s="43" t="str">
        <f t="shared" si="884"/>
        <v/>
      </c>
      <c r="DQ74" s="43" t="str">
        <f t="shared" si="885"/>
        <v/>
      </c>
      <c r="DR74" s="43" t="str">
        <f t="shared" si="886"/>
        <v/>
      </c>
      <c r="DS74" s="43" t="str">
        <f t="shared" si="887"/>
        <v/>
      </c>
      <c r="DT74" s="43" t="str">
        <f t="shared" si="888"/>
        <v/>
      </c>
      <c r="DU74" s="43" t="str">
        <f t="shared" si="889"/>
        <v/>
      </c>
      <c r="DV74" s="43" t="str">
        <f t="shared" si="890"/>
        <v/>
      </c>
      <c r="DW74" s="43" t="str">
        <f t="shared" si="891"/>
        <v/>
      </c>
      <c r="DX74" s="43" t="str">
        <f t="shared" si="892"/>
        <v/>
      </c>
      <c r="DY74" s="43" t="str">
        <f t="shared" si="893"/>
        <v/>
      </c>
      <c r="DZ74" s="43" t="str">
        <f t="shared" si="894"/>
        <v/>
      </c>
      <c r="EA74" s="43" t="str">
        <f t="shared" si="895"/>
        <v/>
      </c>
      <c r="EB74" s="43" t="str">
        <f t="shared" si="896"/>
        <v/>
      </c>
      <c r="EC74" s="43" t="str">
        <f t="shared" si="897"/>
        <v>|n生命恢复%+3</v>
      </c>
      <c r="ED74" s="43" t="str">
        <f t="shared" si="898"/>
        <v/>
      </c>
      <c r="EE74" s="43" t="str">
        <f t="shared" si="899"/>
        <v/>
      </c>
      <c r="EF74" s="43" t="str">
        <f t="shared" si="900"/>
        <v/>
      </c>
      <c r="EG74" s="43" t="str">
        <f t="shared" si="901"/>
        <v/>
      </c>
      <c r="EH74" s="43" t="str">
        <f t="shared" si="902"/>
        <v/>
      </c>
      <c r="EI74" s="43" t="str">
        <f t="shared" si="903"/>
        <v/>
      </c>
      <c r="EJ74" s="43" t="str">
        <f t="shared" si="904"/>
        <v/>
      </c>
      <c r="EK74" s="43" t="str">
        <f t="shared" si="905"/>
        <v/>
      </c>
      <c r="EL74" s="43" t="str">
        <f t="shared" si="906"/>
        <v/>
      </c>
      <c r="EM74" s="43" t="str">
        <f t="shared" si="907"/>
        <v/>
      </c>
      <c r="EN74" s="43" t="str">
        <f t="shared" si="908"/>
        <v/>
      </c>
      <c r="EO74" s="43" t="str">
        <f t="shared" si="909"/>
        <v/>
      </c>
      <c r="EP74" s="43" t="str">
        <f t="shared" si="910"/>
        <v/>
      </c>
      <c r="EQ74" s="43" t="str">
        <f t="shared" si="911"/>
        <v/>
      </c>
      <c r="ER74" s="43" t="str">
        <f t="shared" si="912"/>
        <v/>
      </c>
      <c r="ES74" s="43" t="str">
        <f t="shared" si="913"/>
        <v/>
      </c>
      <c r="ET74" s="43" t="str">
        <f t="shared" si="914"/>
        <v/>
      </c>
      <c r="EU74" s="43" t="str">
        <f t="shared" si="915"/>
        <v/>
      </c>
      <c r="EV74" s="43" t="str">
        <f t="shared" si="916"/>
        <v/>
      </c>
      <c r="EW74" s="43" t="str">
        <f t="shared" si="917"/>
        <v/>
      </c>
      <c r="EX74" s="43" t="str">
        <f t="shared" si="918"/>
        <v/>
      </c>
      <c r="EY74" s="43" t="str">
        <f t="shared" si="919"/>
        <v/>
      </c>
      <c r="EZ74" s="43" t="str">
        <f t="shared" si="920"/>
        <v/>
      </c>
      <c r="FA74" s="43" t="str">
        <f t="shared" si="921"/>
        <v/>
      </c>
      <c r="FB74" s="43" t="str">
        <f t="shared" si="922"/>
        <v/>
      </c>
      <c r="FC74" s="43" t="str">
        <f t="shared" si="923"/>
        <v/>
      </c>
      <c r="FD74" s="43" t="str">
        <f t="shared" si="924"/>
        <v/>
      </c>
      <c r="FE74" s="43" t="str">
        <f t="shared" si="925"/>
        <v/>
      </c>
      <c r="FF74" s="43" t="str">
        <f t="shared" si="926"/>
        <v/>
      </c>
      <c r="FG74" s="43" t="str">
        <f t="shared" si="927"/>
        <v/>
      </c>
      <c r="FH74" s="43" t="str">
        <f t="shared" si="928"/>
        <v/>
      </c>
      <c r="FI74" s="43" t="str">
        <f t="shared" si="929"/>
        <v/>
      </c>
      <c r="FJ74" s="43" t="str">
        <f t="shared" si="930"/>
        <v/>
      </c>
      <c r="FK74" s="43" t="str">
        <f t="shared" si="931"/>
        <v/>
      </c>
      <c r="FL74" s="43" t="str">
        <f t="shared" si="932"/>
        <v/>
      </c>
      <c r="FM74" s="43" t="str">
        <f t="shared" si="933"/>
        <v/>
      </c>
      <c r="FN74" s="43" t="str">
        <f t="shared" si="934"/>
        <v/>
      </c>
      <c r="FO74" s="43" t="str">
        <f t="shared" si="935"/>
        <v/>
      </c>
      <c r="FP74" s="43" t="str">
        <f t="shared" si="936"/>
        <v/>
      </c>
      <c r="FQ74" s="43" t="str">
        <f t="shared" si="937"/>
        <v/>
      </c>
      <c r="FR74" s="43" t="str">
        <f t="shared" si="938"/>
        <v/>
      </c>
      <c r="FS74" s="43" t="str">
        <f t="shared" si="939"/>
        <v/>
      </c>
    </row>
    <row r="75" s="6" customFormat="1" ht="15" spans="1:175">
      <c r="A75" s="10"/>
      <c r="B75" s="45" t="s">
        <v>334</v>
      </c>
      <c r="C75" s="10" t="s">
        <v>335</v>
      </c>
      <c r="D75" s="46"/>
      <c r="E75" s="47"/>
      <c r="F75" s="48">
        <v>20000</v>
      </c>
      <c r="G75" s="49">
        <v>50</v>
      </c>
      <c r="H75" s="49"/>
      <c r="I75" s="49" t="str">
        <f t="shared" si="441"/>
        <v>E224</v>
      </c>
      <c r="J75" s="49"/>
      <c r="K75" s="49"/>
      <c r="L75" s="49"/>
      <c r="M75" s="49"/>
      <c r="N75" s="49"/>
      <c r="O75" s="49"/>
      <c r="P75" s="54"/>
      <c r="Q75" s="54"/>
      <c r="R75" s="54"/>
      <c r="S75" s="61"/>
      <c r="T75" s="62"/>
      <c r="U75" s="59" t="s">
        <v>331</v>
      </c>
      <c r="V75" s="60"/>
      <c r="W75" s="60"/>
      <c r="X75" s="60">
        <v>2400</v>
      </c>
      <c r="Y75" s="60"/>
      <c r="Z75" s="60">
        <v>1650000</v>
      </c>
      <c r="AA75" s="60"/>
      <c r="AB75" s="60">
        <f t="shared" si="294"/>
        <v>33000</v>
      </c>
      <c r="AC75" s="60"/>
      <c r="AD75" s="60"/>
      <c r="AE75" s="60"/>
      <c r="AF75" s="60"/>
      <c r="AG75" s="64"/>
      <c r="AH75" s="60"/>
      <c r="AI75" s="60"/>
      <c r="AJ75" s="60"/>
      <c r="AK75" s="60"/>
      <c r="AL75" s="64"/>
      <c r="AM75" s="60"/>
      <c r="AN75" s="60"/>
      <c r="AO75" s="60"/>
      <c r="AP75" s="60"/>
      <c r="AQ75" s="60"/>
      <c r="AR75" s="66"/>
      <c r="AS75" s="66"/>
      <c r="AT75" s="60"/>
      <c r="AU75" s="60"/>
      <c r="AV75" s="60"/>
      <c r="AW75" s="60">
        <f t="shared" si="868"/>
        <v>3</v>
      </c>
      <c r="AX75" s="60"/>
      <c r="AY75" s="60"/>
      <c r="AZ75" s="60"/>
      <c r="BA75" s="60"/>
      <c r="BB75" s="60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60"/>
      <c r="CF75" s="60"/>
      <c r="CG75" s="60"/>
      <c r="CH75" s="60"/>
      <c r="CI75" s="60"/>
      <c r="CJ75" s="60"/>
      <c r="CK75" s="60"/>
      <c r="CL75" s="60"/>
      <c r="CM75" s="60"/>
      <c r="CN75" s="69" t="str">
        <f t="shared" si="864"/>
        <v>InitUnitState('E223',,,2400,,1650000,,33000,,,)</v>
      </c>
      <c r="CO75" s="69" t="str">
        <f t="shared" si="865"/>
        <v>InitUnitNormal('E223',,,,,,,,,,)</v>
      </c>
      <c r="CP75" s="69" t="str">
        <f t="shared" si="866"/>
        <v>InitUnitMagic('E223',,,,,,,,3,,)</v>
      </c>
      <c r="CQ75" s="69" t="str">
        <f t="shared" si="867"/>
        <v>InitUnitAdd('E223',,,,,,,,,,)</v>
      </c>
      <c r="CR75" s="69" t="str">
        <f t="shared" si="653"/>
        <v>InitEquipData('E223',,"",,E224,20000,50,'','','','','','',"ReplaceableTextures\\CommandButtons\\BTNZ15.blp")</v>
      </c>
      <c r="CS75" s="69"/>
      <c r="CT75" s="69"/>
      <c r="CU75" s="71" t="str">
        <f t="shared" si="869"/>
        <v>|n护甲+2400|n生命值+1650000|n生命回复+33000|n生命恢复%+3|n</v>
      </c>
      <c r="CV75" s="5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|Cffbbbbbb属性：|r|n护甲+2400|n生命值+1650000|n生命回复+33000|n生命恢复%+3|n|n|Cff00ff7f点击消耗20000金币进行强化|n成功率50%</v>
      </c>
      <c r="DB75" s="43" t="str">
        <f t="shared" si="870"/>
        <v/>
      </c>
      <c r="DC75" s="43" t="str">
        <f t="shared" si="871"/>
        <v/>
      </c>
      <c r="DD75" s="43" t="str">
        <f t="shared" si="872"/>
        <v>|n护甲+2400</v>
      </c>
      <c r="DE75" s="43" t="str">
        <f t="shared" si="873"/>
        <v/>
      </c>
      <c r="DF75" s="43" t="str">
        <f t="shared" si="874"/>
        <v>|n生命值+1650000</v>
      </c>
      <c r="DG75" s="43" t="str">
        <f t="shared" si="875"/>
        <v/>
      </c>
      <c r="DH75" s="43" t="str">
        <f t="shared" si="876"/>
        <v>|n生命回复+33000</v>
      </c>
      <c r="DI75" s="43" t="str">
        <f t="shared" si="877"/>
        <v/>
      </c>
      <c r="DJ75" s="43" t="str">
        <f t="shared" si="878"/>
        <v/>
      </c>
      <c r="DK75" s="43" t="str">
        <f t="shared" si="879"/>
        <v/>
      </c>
      <c r="DL75" s="43" t="str">
        <f t="shared" si="880"/>
        <v/>
      </c>
      <c r="DM75" s="43" t="str">
        <f t="shared" si="881"/>
        <v/>
      </c>
      <c r="DN75" s="43" t="str">
        <f t="shared" si="882"/>
        <v/>
      </c>
      <c r="DO75" s="43" t="str">
        <f t="shared" si="883"/>
        <v/>
      </c>
      <c r="DP75" s="43" t="str">
        <f t="shared" si="884"/>
        <v/>
      </c>
      <c r="DQ75" s="43" t="str">
        <f t="shared" si="885"/>
        <v/>
      </c>
      <c r="DR75" s="43" t="str">
        <f t="shared" si="886"/>
        <v/>
      </c>
      <c r="DS75" s="43" t="str">
        <f t="shared" si="887"/>
        <v/>
      </c>
      <c r="DT75" s="43" t="str">
        <f t="shared" si="888"/>
        <v/>
      </c>
      <c r="DU75" s="43" t="str">
        <f t="shared" si="889"/>
        <v/>
      </c>
      <c r="DV75" s="43" t="str">
        <f t="shared" si="890"/>
        <v/>
      </c>
      <c r="DW75" s="43" t="str">
        <f t="shared" si="891"/>
        <v/>
      </c>
      <c r="DX75" s="43" t="str">
        <f t="shared" si="892"/>
        <v/>
      </c>
      <c r="DY75" s="43" t="str">
        <f t="shared" si="893"/>
        <v/>
      </c>
      <c r="DZ75" s="43" t="str">
        <f t="shared" si="894"/>
        <v/>
      </c>
      <c r="EA75" s="43" t="str">
        <f t="shared" si="895"/>
        <v/>
      </c>
      <c r="EB75" s="43" t="str">
        <f t="shared" si="896"/>
        <v/>
      </c>
      <c r="EC75" s="43" t="str">
        <f t="shared" si="897"/>
        <v>|n生命恢复%+3</v>
      </c>
      <c r="ED75" s="43" t="str">
        <f t="shared" si="898"/>
        <v/>
      </c>
      <c r="EE75" s="43" t="str">
        <f t="shared" si="899"/>
        <v/>
      </c>
      <c r="EF75" s="43" t="str">
        <f t="shared" si="900"/>
        <v/>
      </c>
      <c r="EG75" s="43" t="str">
        <f t="shared" si="901"/>
        <v/>
      </c>
      <c r="EH75" s="43" t="str">
        <f t="shared" si="902"/>
        <v/>
      </c>
      <c r="EI75" s="43" t="str">
        <f t="shared" si="903"/>
        <v/>
      </c>
      <c r="EJ75" s="43" t="str">
        <f t="shared" si="904"/>
        <v/>
      </c>
      <c r="EK75" s="43" t="str">
        <f t="shared" si="905"/>
        <v/>
      </c>
      <c r="EL75" s="43" t="str">
        <f t="shared" si="906"/>
        <v/>
      </c>
      <c r="EM75" s="43" t="str">
        <f t="shared" si="907"/>
        <v/>
      </c>
      <c r="EN75" s="43" t="str">
        <f t="shared" si="908"/>
        <v/>
      </c>
      <c r="EO75" s="43" t="str">
        <f t="shared" si="909"/>
        <v/>
      </c>
      <c r="EP75" s="43" t="str">
        <f t="shared" si="910"/>
        <v/>
      </c>
      <c r="EQ75" s="43" t="str">
        <f t="shared" si="911"/>
        <v/>
      </c>
      <c r="ER75" s="43" t="str">
        <f t="shared" si="912"/>
        <v/>
      </c>
      <c r="ES75" s="43" t="str">
        <f t="shared" si="913"/>
        <v/>
      </c>
      <c r="ET75" s="43" t="str">
        <f t="shared" si="914"/>
        <v/>
      </c>
      <c r="EU75" s="43" t="str">
        <f t="shared" si="915"/>
        <v/>
      </c>
      <c r="EV75" s="43" t="str">
        <f t="shared" si="916"/>
        <v/>
      </c>
      <c r="EW75" s="43" t="str">
        <f t="shared" si="917"/>
        <v/>
      </c>
      <c r="EX75" s="43" t="str">
        <f t="shared" si="918"/>
        <v/>
      </c>
      <c r="EY75" s="43" t="str">
        <f t="shared" si="919"/>
        <v/>
      </c>
      <c r="EZ75" s="43" t="str">
        <f t="shared" si="920"/>
        <v/>
      </c>
      <c r="FA75" s="43" t="str">
        <f t="shared" si="921"/>
        <v/>
      </c>
      <c r="FB75" s="43" t="str">
        <f t="shared" si="922"/>
        <v/>
      </c>
      <c r="FC75" s="43" t="str">
        <f t="shared" si="923"/>
        <v/>
      </c>
      <c r="FD75" s="43" t="str">
        <f t="shared" si="924"/>
        <v/>
      </c>
      <c r="FE75" s="43" t="str">
        <f t="shared" si="925"/>
        <v/>
      </c>
      <c r="FF75" s="43" t="str">
        <f t="shared" si="926"/>
        <v/>
      </c>
      <c r="FG75" s="43" t="str">
        <f t="shared" si="927"/>
        <v/>
      </c>
      <c r="FH75" s="43" t="str">
        <f t="shared" si="928"/>
        <v/>
      </c>
      <c r="FI75" s="43" t="str">
        <f t="shared" si="929"/>
        <v/>
      </c>
      <c r="FJ75" s="43" t="str">
        <f t="shared" si="930"/>
        <v/>
      </c>
      <c r="FK75" s="43" t="str">
        <f t="shared" si="931"/>
        <v/>
      </c>
      <c r="FL75" s="43" t="str">
        <f t="shared" si="932"/>
        <v/>
      </c>
      <c r="FM75" s="43" t="str">
        <f t="shared" si="933"/>
        <v/>
      </c>
      <c r="FN75" s="43" t="str">
        <f t="shared" si="934"/>
        <v/>
      </c>
      <c r="FO75" s="43" t="str">
        <f t="shared" si="935"/>
        <v/>
      </c>
      <c r="FP75" s="43" t="str">
        <f t="shared" si="936"/>
        <v/>
      </c>
      <c r="FQ75" s="43" t="str">
        <f t="shared" si="937"/>
        <v/>
      </c>
      <c r="FR75" s="43" t="str">
        <f t="shared" si="938"/>
        <v/>
      </c>
      <c r="FS75" s="43" t="str">
        <f t="shared" si="939"/>
        <v/>
      </c>
    </row>
    <row r="76" s="6" customFormat="1" ht="15" spans="1:175">
      <c r="A76" s="10"/>
      <c r="B76" s="45" t="s">
        <v>336</v>
      </c>
      <c r="C76" s="10" t="s">
        <v>337</v>
      </c>
      <c r="D76" s="46"/>
      <c r="E76" s="47"/>
      <c r="F76" s="48">
        <v>20000</v>
      </c>
      <c r="G76" s="49">
        <v>50</v>
      </c>
      <c r="H76" s="49"/>
      <c r="I76" s="49" t="str">
        <f t="shared" si="441"/>
        <v>E225</v>
      </c>
      <c r="J76" s="49"/>
      <c r="K76" s="49"/>
      <c r="L76" s="49"/>
      <c r="M76" s="49"/>
      <c r="N76" s="49"/>
      <c r="O76" s="49"/>
      <c r="P76" s="54"/>
      <c r="Q76" s="54"/>
      <c r="R76" s="54"/>
      <c r="S76" s="61"/>
      <c r="T76" s="62"/>
      <c r="U76" s="59" t="s">
        <v>331</v>
      </c>
      <c r="V76" s="60"/>
      <c r="W76" s="60"/>
      <c r="X76" s="60">
        <v>2600</v>
      </c>
      <c r="Y76" s="60"/>
      <c r="Z76" s="60">
        <v>2100000</v>
      </c>
      <c r="AA76" s="60"/>
      <c r="AB76" s="60">
        <f t="shared" si="294"/>
        <v>42000</v>
      </c>
      <c r="AC76" s="60"/>
      <c r="AD76" s="60"/>
      <c r="AE76" s="60"/>
      <c r="AF76" s="60"/>
      <c r="AG76" s="64"/>
      <c r="AH76" s="60"/>
      <c r="AI76" s="60"/>
      <c r="AJ76" s="60"/>
      <c r="AK76" s="60"/>
      <c r="AL76" s="64"/>
      <c r="AM76" s="60"/>
      <c r="AN76" s="60"/>
      <c r="AO76" s="60"/>
      <c r="AP76" s="60"/>
      <c r="AQ76" s="60"/>
      <c r="AR76" s="66"/>
      <c r="AS76" s="66"/>
      <c r="AT76" s="60"/>
      <c r="AU76" s="60"/>
      <c r="AV76" s="60"/>
      <c r="AW76" s="60">
        <f t="shared" si="868"/>
        <v>3</v>
      </c>
      <c r="AX76" s="60"/>
      <c r="AY76" s="60"/>
      <c r="AZ76" s="60"/>
      <c r="BA76" s="60"/>
      <c r="BB76" s="60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60"/>
      <c r="CF76" s="60"/>
      <c r="CG76" s="60"/>
      <c r="CH76" s="60"/>
      <c r="CI76" s="60"/>
      <c r="CJ76" s="60"/>
      <c r="CK76" s="60"/>
      <c r="CL76" s="60"/>
      <c r="CM76" s="60"/>
      <c r="CN76" s="69" t="str">
        <f t="shared" si="864"/>
        <v>InitUnitState('E224',,,2600,,2100000,,42000,,,)</v>
      </c>
      <c r="CO76" s="69" t="str">
        <f t="shared" si="865"/>
        <v>InitUnitNormal('E224',,,,,,,,,,)</v>
      </c>
      <c r="CP76" s="69" t="str">
        <f t="shared" si="866"/>
        <v>InitUnitMagic('E224',,,,,,,,3,,)</v>
      </c>
      <c r="CQ76" s="69" t="str">
        <f t="shared" si="867"/>
        <v>InitUnitAdd('E224',,,,,,,,,,)</v>
      </c>
      <c r="CR76" s="69" t="str">
        <f t="shared" si="653"/>
        <v>InitEquipData('E224',,"",,E225,20000,50,'','','','','','',"ReplaceableTextures\\CommandButtons\\BTNZ15.blp")</v>
      </c>
      <c r="CS76" s="69"/>
      <c r="CT76" s="69"/>
      <c r="CU76" s="71" t="str">
        <f t="shared" si="869"/>
        <v>|n护甲+2600|n生命值+2100000|n生命回复+42000|n生命恢复%+3|n</v>
      </c>
      <c r="CV76" s="5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|Cffbbbbbb属性：|r|n护甲+2600|n生命值+2100000|n生命回复+42000|n生命恢复%+3|n|n|Cff00ff7f点击消耗20000金币进行强化|n成功率50%</v>
      </c>
      <c r="DB76" s="43" t="str">
        <f t="shared" si="870"/>
        <v/>
      </c>
      <c r="DC76" s="43" t="str">
        <f t="shared" si="871"/>
        <v/>
      </c>
      <c r="DD76" s="43" t="str">
        <f t="shared" si="872"/>
        <v>|n护甲+2600</v>
      </c>
      <c r="DE76" s="43" t="str">
        <f t="shared" si="873"/>
        <v/>
      </c>
      <c r="DF76" s="43" t="str">
        <f t="shared" si="874"/>
        <v>|n生命值+2100000</v>
      </c>
      <c r="DG76" s="43" t="str">
        <f t="shared" si="875"/>
        <v/>
      </c>
      <c r="DH76" s="43" t="str">
        <f t="shared" si="876"/>
        <v>|n生命回复+42000</v>
      </c>
      <c r="DI76" s="43" t="str">
        <f t="shared" si="877"/>
        <v/>
      </c>
      <c r="DJ76" s="43" t="str">
        <f t="shared" si="878"/>
        <v/>
      </c>
      <c r="DK76" s="43" t="str">
        <f t="shared" si="879"/>
        <v/>
      </c>
      <c r="DL76" s="43" t="str">
        <f t="shared" si="880"/>
        <v/>
      </c>
      <c r="DM76" s="43" t="str">
        <f t="shared" si="881"/>
        <v/>
      </c>
      <c r="DN76" s="43" t="str">
        <f t="shared" si="882"/>
        <v/>
      </c>
      <c r="DO76" s="43" t="str">
        <f t="shared" si="883"/>
        <v/>
      </c>
      <c r="DP76" s="43" t="str">
        <f t="shared" si="884"/>
        <v/>
      </c>
      <c r="DQ76" s="43" t="str">
        <f t="shared" si="885"/>
        <v/>
      </c>
      <c r="DR76" s="43" t="str">
        <f t="shared" si="886"/>
        <v/>
      </c>
      <c r="DS76" s="43" t="str">
        <f t="shared" si="887"/>
        <v/>
      </c>
      <c r="DT76" s="43" t="str">
        <f t="shared" si="888"/>
        <v/>
      </c>
      <c r="DU76" s="43" t="str">
        <f t="shared" si="889"/>
        <v/>
      </c>
      <c r="DV76" s="43" t="str">
        <f t="shared" si="890"/>
        <v/>
      </c>
      <c r="DW76" s="43" t="str">
        <f t="shared" si="891"/>
        <v/>
      </c>
      <c r="DX76" s="43" t="str">
        <f t="shared" si="892"/>
        <v/>
      </c>
      <c r="DY76" s="43" t="str">
        <f t="shared" si="893"/>
        <v/>
      </c>
      <c r="DZ76" s="43" t="str">
        <f t="shared" si="894"/>
        <v/>
      </c>
      <c r="EA76" s="43" t="str">
        <f t="shared" si="895"/>
        <v/>
      </c>
      <c r="EB76" s="43" t="str">
        <f t="shared" si="896"/>
        <v/>
      </c>
      <c r="EC76" s="43" t="str">
        <f t="shared" si="897"/>
        <v>|n生命恢复%+3</v>
      </c>
      <c r="ED76" s="43" t="str">
        <f t="shared" si="898"/>
        <v/>
      </c>
      <c r="EE76" s="43" t="str">
        <f t="shared" si="899"/>
        <v/>
      </c>
      <c r="EF76" s="43" t="str">
        <f t="shared" si="900"/>
        <v/>
      </c>
      <c r="EG76" s="43" t="str">
        <f t="shared" si="901"/>
        <v/>
      </c>
      <c r="EH76" s="43" t="str">
        <f t="shared" si="902"/>
        <v/>
      </c>
      <c r="EI76" s="43" t="str">
        <f t="shared" si="903"/>
        <v/>
      </c>
      <c r="EJ76" s="43" t="str">
        <f t="shared" si="904"/>
        <v/>
      </c>
      <c r="EK76" s="43" t="str">
        <f t="shared" si="905"/>
        <v/>
      </c>
      <c r="EL76" s="43" t="str">
        <f t="shared" si="906"/>
        <v/>
      </c>
      <c r="EM76" s="43" t="str">
        <f t="shared" si="907"/>
        <v/>
      </c>
      <c r="EN76" s="43" t="str">
        <f t="shared" si="908"/>
        <v/>
      </c>
      <c r="EO76" s="43" t="str">
        <f t="shared" si="909"/>
        <v/>
      </c>
      <c r="EP76" s="43" t="str">
        <f t="shared" si="910"/>
        <v/>
      </c>
      <c r="EQ76" s="43" t="str">
        <f t="shared" si="911"/>
        <v/>
      </c>
      <c r="ER76" s="43" t="str">
        <f t="shared" si="912"/>
        <v/>
      </c>
      <c r="ES76" s="43" t="str">
        <f t="shared" si="913"/>
        <v/>
      </c>
      <c r="ET76" s="43" t="str">
        <f t="shared" si="914"/>
        <v/>
      </c>
      <c r="EU76" s="43" t="str">
        <f t="shared" si="915"/>
        <v/>
      </c>
      <c r="EV76" s="43" t="str">
        <f t="shared" si="916"/>
        <v/>
      </c>
      <c r="EW76" s="43" t="str">
        <f t="shared" si="917"/>
        <v/>
      </c>
      <c r="EX76" s="43" t="str">
        <f t="shared" si="918"/>
        <v/>
      </c>
      <c r="EY76" s="43" t="str">
        <f t="shared" si="919"/>
        <v/>
      </c>
      <c r="EZ76" s="43" t="str">
        <f t="shared" si="920"/>
        <v/>
      </c>
      <c r="FA76" s="43" t="str">
        <f t="shared" si="921"/>
        <v/>
      </c>
      <c r="FB76" s="43" t="str">
        <f t="shared" si="922"/>
        <v/>
      </c>
      <c r="FC76" s="43" t="str">
        <f t="shared" si="923"/>
        <v/>
      </c>
      <c r="FD76" s="43" t="str">
        <f t="shared" si="924"/>
        <v/>
      </c>
      <c r="FE76" s="43" t="str">
        <f t="shared" si="925"/>
        <v/>
      </c>
      <c r="FF76" s="43" t="str">
        <f t="shared" si="926"/>
        <v/>
      </c>
      <c r="FG76" s="43" t="str">
        <f t="shared" si="927"/>
        <v/>
      </c>
      <c r="FH76" s="43" t="str">
        <f t="shared" si="928"/>
        <v/>
      </c>
      <c r="FI76" s="43" t="str">
        <f t="shared" si="929"/>
        <v/>
      </c>
      <c r="FJ76" s="43" t="str">
        <f t="shared" si="930"/>
        <v/>
      </c>
      <c r="FK76" s="43" t="str">
        <f t="shared" si="931"/>
        <v/>
      </c>
      <c r="FL76" s="43" t="str">
        <f t="shared" si="932"/>
        <v/>
      </c>
      <c r="FM76" s="43" t="str">
        <f t="shared" si="933"/>
        <v/>
      </c>
      <c r="FN76" s="43" t="str">
        <f t="shared" si="934"/>
        <v/>
      </c>
      <c r="FO76" s="43" t="str">
        <f t="shared" si="935"/>
        <v/>
      </c>
      <c r="FP76" s="43" t="str">
        <f t="shared" si="936"/>
        <v/>
      </c>
      <c r="FQ76" s="43" t="str">
        <f t="shared" si="937"/>
        <v/>
      </c>
      <c r="FR76" s="43" t="str">
        <f t="shared" si="938"/>
        <v/>
      </c>
      <c r="FS76" s="43" t="str">
        <f t="shared" si="939"/>
        <v/>
      </c>
    </row>
    <row r="77" s="6" customFormat="1" ht="15" spans="1:175">
      <c r="A77" s="10"/>
      <c r="B77" s="45" t="s">
        <v>338</v>
      </c>
      <c r="C77" s="10" t="s">
        <v>339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4"/>
      <c r="Q77" s="54"/>
      <c r="R77" s="54"/>
      <c r="S77" s="61"/>
      <c r="T77" s="62" t="s">
        <v>225</v>
      </c>
      <c r="U77" s="59" t="s">
        <v>331</v>
      </c>
      <c r="V77" s="60"/>
      <c r="W77" s="60"/>
      <c r="X77" s="60">
        <v>2800</v>
      </c>
      <c r="Y77" s="60"/>
      <c r="Z77" s="60">
        <v>3000000</v>
      </c>
      <c r="AA77" s="60"/>
      <c r="AB77" s="60">
        <f t="shared" si="294"/>
        <v>60000</v>
      </c>
      <c r="AC77" s="60"/>
      <c r="AD77" s="60"/>
      <c r="AE77" s="60"/>
      <c r="AF77" s="60"/>
      <c r="AG77" s="64"/>
      <c r="AH77" s="60"/>
      <c r="AI77" s="60"/>
      <c r="AJ77" s="60"/>
      <c r="AK77" s="60"/>
      <c r="AL77" s="64"/>
      <c r="AM77" s="60"/>
      <c r="AN77" s="60"/>
      <c r="AO77" s="60"/>
      <c r="AP77" s="60"/>
      <c r="AQ77" s="60"/>
      <c r="AR77" s="66"/>
      <c r="AS77" s="66"/>
      <c r="AT77" s="60"/>
      <c r="AU77" s="60"/>
      <c r="AV77" s="60"/>
      <c r="AW77" s="60">
        <v>5</v>
      </c>
      <c r="AX77" s="60"/>
      <c r="AY77" s="60"/>
      <c r="AZ77" s="60"/>
      <c r="BA77" s="60"/>
      <c r="BB77" s="60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60"/>
      <c r="CF77" s="60"/>
      <c r="CG77" s="60"/>
      <c r="CH77" s="60"/>
      <c r="CI77" s="60"/>
      <c r="CJ77" s="60"/>
      <c r="CK77" s="60"/>
      <c r="CL77" s="60"/>
      <c r="CM77" s="60"/>
      <c r="CN77" s="69" t="str">
        <f t="shared" si="864"/>
        <v>InitUnitState('E225',,,2800,,3000000,,60000,,,)</v>
      </c>
      <c r="CO77" s="69" t="str">
        <f t="shared" si="865"/>
        <v>InitUnitNormal('E225',,,,,,,,,,)</v>
      </c>
      <c r="CP77" s="69" t="str">
        <f t="shared" si="866"/>
        <v>InitUnitMagic('E225',,,,,,,,5,,)</v>
      </c>
      <c r="CQ77" s="69" t="str">
        <f t="shared" si="867"/>
        <v>InitUnitAdd('E225',,,,,,,,,,)</v>
      </c>
      <c r="CR77" s="69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9"/>
      <c r="CT77" s="69"/>
      <c r="CU77" s="71" t="str">
        <f t="shared" si="869"/>
        <v>|n护甲+2800|n生命值+3000000|n生命回复+60000|n生命恢复%+5|n</v>
      </c>
      <c r="CV77" s="5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3" t="str">
        <f t="shared" si="870"/>
        <v/>
      </c>
      <c r="DC77" s="43" t="str">
        <f t="shared" si="871"/>
        <v/>
      </c>
      <c r="DD77" s="43" t="str">
        <f t="shared" si="872"/>
        <v>|n护甲+2800</v>
      </c>
      <c r="DE77" s="43" t="str">
        <f t="shared" si="873"/>
        <v/>
      </c>
      <c r="DF77" s="43" t="str">
        <f t="shared" si="874"/>
        <v>|n生命值+3000000</v>
      </c>
      <c r="DG77" s="43" t="str">
        <f t="shared" si="875"/>
        <v/>
      </c>
      <c r="DH77" s="43" t="str">
        <f t="shared" si="876"/>
        <v>|n生命回复+60000</v>
      </c>
      <c r="DI77" s="43" t="str">
        <f t="shared" si="877"/>
        <v/>
      </c>
      <c r="DJ77" s="43" t="str">
        <f t="shared" si="878"/>
        <v/>
      </c>
      <c r="DK77" s="43" t="str">
        <f t="shared" si="879"/>
        <v/>
      </c>
      <c r="DL77" s="43" t="str">
        <f t="shared" si="880"/>
        <v/>
      </c>
      <c r="DM77" s="43" t="str">
        <f t="shared" si="881"/>
        <v/>
      </c>
      <c r="DN77" s="43" t="str">
        <f t="shared" si="882"/>
        <v/>
      </c>
      <c r="DO77" s="43" t="str">
        <f t="shared" si="883"/>
        <v/>
      </c>
      <c r="DP77" s="43" t="str">
        <f t="shared" si="884"/>
        <v/>
      </c>
      <c r="DQ77" s="43" t="str">
        <f t="shared" si="885"/>
        <v/>
      </c>
      <c r="DR77" s="43" t="str">
        <f t="shared" si="886"/>
        <v/>
      </c>
      <c r="DS77" s="43" t="str">
        <f t="shared" si="887"/>
        <v/>
      </c>
      <c r="DT77" s="43" t="str">
        <f t="shared" si="888"/>
        <v/>
      </c>
      <c r="DU77" s="43" t="str">
        <f t="shared" si="889"/>
        <v/>
      </c>
      <c r="DV77" s="43" t="str">
        <f t="shared" si="890"/>
        <v/>
      </c>
      <c r="DW77" s="43" t="str">
        <f t="shared" si="891"/>
        <v/>
      </c>
      <c r="DX77" s="43" t="str">
        <f t="shared" si="892"/>
        <v/>
      </c>
      <c r="DY77" s="43" t="str">
        <f t="shared" si="893"/>
        <v/>
      </c>
      <c r="DZ77" s="43" t="str">
        <f t="shared" si="894"/>
        <v/>
      </c>
      <c r="EA77" s="43" t="str">
        <f t="shared" si="895"/>
        <v/>
      </c>
      <c r="EB77" s="43" t="str">
        <f t="shared" si="896"/>
        <v/>
      </c>
      <c r="EC77" s="43" t="str">
        <f t="shared" si="897"/>
        <v>|n生命恢复%+5</v>
      </c>
      <c r="ED77" s="43" t="str">
        <f t="shared" si="898"/>
        <v/>
      </c>
      <c r="EE77" s="43" t="str">
        <f t="shared" si="899"/>
        <v/>
      </c>
      <c r="EF77" s="43" t="str">
        <f t="shared" si="900"/>
        <v/>
      </c>
      <c r="EG77" s="43" t="str">
        <f t="shared" si="901"/>
        <v/>
      </c>
      <c r="EH77" s="43" t="str">
        <f t="shared" si="902"/>
        <v/>
      </c>
      <c r="EI77" s="43" t="str">
        <f t="shared" si="903"/>
        <v/>
      </c>
      <c r="EJ77" s="43" t="str">
        <f t="shared" si="904"/>
        <v/>
      </c>
      <c r="EK77" s="43" t="str">
        <f t="shared" si="905"/>
        <v/>
      </c>
      <c r="EL77" s="43" t="str">
        <f t="shared" si="906"/>
        <v/>
      </c>
      <c r="EM77" s="43" t="str">
        <f t="shared" si="907"/>
        <v/>
      </c>
      <c r="EN77" s="43" t="str">
        <f t="shared" si="908"/>
        <v/>
      </c>
      <c r="EO77" s="43" t="str">
        <f t="shared" si="909"/>
        <v/>
      </c>
      <c r="EP77" s="43" t="str">
        <f t="shared" si="910"/>
        <v/>
      </c>
      <c r="EQ77" s="43" t="str">
        <f t="shared" si="911"/>
        <v/>
      </c>
      <c r="ER77" s="43" t="str">
        <f t="shared" si="912"/>
        <v/>
      </c>
      <c r="ES77" s="43" t="str">
        <f t="shared" si="913"/>
        <v/>
      </c>
      <c r="ET77" s="43" t="str">
        <f t="shared" si="914"/>
        <v/>
      </c>
      <c r="EU77" s="43" t="str">
        <f t="shared" si="915"/>
        <v/>
      </c>
      <c r="EV77" s="43" t="str">
        <f t="shared" si="916"/>
        <v/>
      </c>
      <c r="EW77" s="43" t="str">
        <f t="shared" si="917"/>
        <v/>
      </c>
      <c r="EX77" s="43" t="str">
        <f t="shared" si="918"/>
        <v/>
      </c>
      <c r="EY77" s="43" t="str">
        <f t="shared" si="919"/>
        <v/>
      </c>
      <c r="EZ77" s="43" t="str">
        <f t="shared" si="920"/>
        <v/>
      </c>
      <c r="FA77" s="43" t="str">
        <f t="shared" si="921"/>
        <v/>
      </c>
      <c r="FB77" s="43" t="str">
        <f t="shared" si="922"/>
        <v/>
      </c>
      <c r="FC77" s="43" t="str">
        <f t="shared" si="923"/>
        <v/>
      </c>
      <c r="FD77" s="43" t="str">
        <f t="shared" si="924"/>
        <v/>
      </c>
      <c r="FE77" s="43" t="str">
        <f t="shared" si="925"/>
        <v/>
      </c>
      <c r="FF77" s="43" t="str">
        <f t="shared" si="926"/>
        <v/>
      </c>
      <c r="FG77" s="43" t="str">
        <f t="shared" si="927"/>
        <v/>
      </c>
      <c r="FH77" s="43" t="str">
        <f t="shared" si="928"/>
        <v/>
      </c>
      <c r="FI77" s="43" t="str">
        <f t="shared" si="929"/>
        <v/>
      </c>
      <c r="FJ77" s="43" t="str">
        <f t="shared" si="930"/>
        <v/>
      </c>
      <c r="FK77" s="43" t="str">
        <f t="shared" si="931"/>
        <v/>
      </c>
      <c r="FL77" s="43" t="str">
        <f t="shared" si="932"/>
        <v/>
      </c>
      <c r="FM77" s="43" t="str">
        <f t="shared" si="933"/>
        <v/>
      </c>
      <c r="FN77" s="43" t="str">
        <f t="shared" si="934"/>
        <v/>
      </c>
      <c r="FO77" s="43" t="str">
        <f t="shared" si="935"/>
        <v/>
      </c>
      <c r="FP77" s="43" t="str">
        <f t="shared" si="936"/>
        <v/>
      </c>
      <c r="FQ77" s="43" t="str">
        <f t="shared" si="937"/>
        <v/>
      </c>
      <c r="FR77" s="43" t="str">
        <f t="shared" si="938"/>
        <v/>
      </c>
      <c r="FS77" s="43" t="str">
        <f t="shared" si="939"/>
        <v/>
      </c>
    </row>
    <row r="78" ht="15" spans="1:175">
      <c r="A78" s="73"/>
      <c r="B78" s="45" t="s">
        <v>340</v>
      </c>
      <c r="C78" s="73" t="s">
        <v>341</v>
      </c>
      <c r="E78" s="74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78"/>
      <c r="Q78" s="78"/>
      <c r="R78" s="78"/>
      <c r="S78" s="78"/>
      <c r="T78" s="79"/>
      <c r="U78" s="80" t="s">
        <v>342</v>
      </c>
      <c r="V78" s="41">
        <v>5000</v>
      </c>
      <c r="Z78" s="41">
        <v>25000</v>
      </c>
      <c r="AG78" s="85"/>
      <c r="AJ78" s="41">
        <v>5</v>
      </c>
      <c r="AK78" s="41">
        <v>5</v>
      </c>
      <c r="AL78" s="85"/>
      <c r="BC78" s="86"/>
      <c r="BD78" s="86"/>
      <c r="BL78" s="41">
        <v>5</v>
      </c>
      <c r="BM78" s="41">
        <v>1</v>
      </c>
      <c r="BN78" s="41">
        <v>5</v>
      </c>
      <c r="CP78" s="12" t="str">
        <f t="shared" si="866"/>
        <v>InitUnitMagic('IJ01',,,,,,,,,,)</v>
      </c>
      <c r="CQ78" s="12" t="str">
        <f t="shared" si="867"/>
        <v>InitUnitAdd('IJ01',,5,1,5,,,,,,)</v>
      </c>
      <c r="CR78" s="12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71" t="str">
        <f t="shared" si="869"/>
        <v>|n攻击+5000|n生命值+25000|n物理伤害+5%|n法术伤害+5%|n杀敌攻击+5|n杀敌业力+1|n杀敌生命+5|n</v>
      </c>
      <c r="CV78" s="5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6"/>
      <c r="CX78" s="6"/>
      <c r="CY78" s="6"/>
      <c r="CZ78" s="6"/>
      <c r="DA78" s="6"/>
      <c r="DB78" s="43" t="str">
        <f t="shared" si="654"/>
        <v>|n攻击+5000</v>
      </c>
      <c r="DC78" s="43" t="str">
        <f t="shared" si="655"/>
        <v/>
      </c>
      <c r="DD78" s="43" t="str">
        <f t="shared" si="656"/>
        <v/>
      </c>
      <c r="DE78" s="43" t="str">
        <f t="shared" si="657"/>
        <v/>
      </c>
      <c r="DF78" s="43" t="str">
        <f t="shared" si="658"/>
        <v>|n生命值+25000</v>
      </c>
      <c r="DG78" s="43" t="str">
        <f t="shared" si="659"/>
        <v/>
      </c>
      <c r="DH78" s="43" t="str">
        <f t="shared" si="660"/>
        <v/>
      </c>
      <c r="DI78" s="43" t="str">
        <f t="shared" si="661"/>
        <v/>
      </c>
      <c r="DJ78" s="43" t="str">
        <f t="shared" si="662"/>
        <v/>
      </c>
      <c r="DK78" s="43" t="str">
        <f t="shared" si="663"/>
        <v/>
      </c>
      <c r="DL78" s="43" t="str">
        <f t="shared" si="664"/>
        <v/>
      </c>
      <c r="DM78" s="43" t="str">
        <f t="shared" si="665"/>
        <v/>
      </c>
      <c r="DN78" s="43" t="str">
        <f t="shared" si="666"/>
        <v/>
      </c>
      <c r="DO78" s="43" t="str">
        <f t="shared" si="667"/>
        <v/>
      </c>
      <c r="DP78" s="43" t="str">
        <f t="shared" si="668"/>
        <v>|n物理伤害+5%</v>
      </c>
      <c r="DQ78" s="43" t="str">
        <f t="shared" si="669"/>
        <v>|n法术伤害+5%</v>
      </c>
      <c r="DR78" s="43" t="str">
        <f t="shared" si="670"/>
        <v/>
      </c>
      <c r="DS78" s="43" t="str">
        <f t="shared" si="671"/>
        <v/>
      </c>
      <c r="DT78" s="43" t="str">
        <f t="shared" si="672"/>
        <v/>
      </c>
      <c r="DU78" s="43" t="str">
        <f t="shared" si="673"/>
        <v/>
      </c>
      <c r="DV78" s="43" t="str">
        <f t="shared" si="674"/>
        <v/>
      </c>
      <c r="DW78" s="43" t="str">
        <f t="shared" si="675"/>
        <v/>
      </c>
      <c r="DX78" s="43" t="str">
        <f t="shared" si="676"/>
        <v/>
      </c>
      <c r="DY78" s="43" t="str">
        <f t="shared" si="677"/>
        <v/>
      </c>
      <c r="DZ78" s="43" t="str">
        <f t="shared" si="678"/>
        <v/>
      </c>
      <c r="EA78" s="43" t="str">
        <f t="shared" si="679"/>
        <v/>
      </c>
      <c r="EB78" s="43" t="str">
        <f t="shared" si="680"/>
        <v/>
      </c>
      <c r="EC78" s="43" t="str">
        <f t="shared" si="681"/>
        <v/>
      </c>
      <c r="ED78" s="43" t="str">
        <f t="shared" si="682"/>
        <v/>
      </c>
      <c r="EE78" s="43" t="str">
        <f t="shared" si="683"/>
        <v/>
      </c>
      <c r="EF78" s="43" t="str">
        <f t="shared" si="684"/>
        <v/>
      </c>
      <c r="EG78" s="43" t="str">
        <f t="shared" si="685"/>
        <v/>
      </c>
      <c r="EH78" s="43" t="str">
        <f t="shared" si="686"/>
        <v/>
      </c>
      <c r="EI78" s="43" t="str">
        <f t="shared" si="687"/>
        <v/>
      </c>
      <c r="EJ78" s="43" t="str">
        <f t="shared" si="688"/>
        <v/>
      </c>
      <c r="EK78" s="43" t="str">
        <f t="shared" si="689"/>
        <v/>
      </c>
      <c r="EL78" s="43" t="str">
        <f t="shared" si="690"/>
        <v/>
      </c>
      <c r="EM78" s="43" t="str">
        <f t="shared" si="691"/>
        <v/>
      </c>
      <c r="EN78" s="43" t="str">
        <f t="shared" si="692"/>
        <v/>
      </c>
      <c r="EO78" s="43" t="str">
        <f t="shared" si="693"/>
        <v/>
      </c>
      <c r="EP78" s="43" t="str">
        <f t="shared" si="694"/>
        <v/>
      </c>
      <c r="EQ78" s="43" t="str">
        <f t="shared" si="695"/>
        <v/>
      </c>
      <c r="ER78" s="43" t="str">
        <f t="shared" si="696"/>
        <v>|n杀敌攻击+5</v>
      </c>
      <c r="ES78" s="43" t="str">
        <f t="shared" si="697"/>
        <v>|n杀敌业力+1</v>
      </c>
      <c r="ET78" s="43" t="str">
        <f t="shared" si="698"/>
        <v>|n杀敌生命+5</v>
      </c>
      <c r="EU78" s="43" t="str">
        <f t="shared" si="699"/>
        <v/>
      </c>
      <c r="EV78" s="43" t="str">
        <f t="shared" si="700"/>
        <v/>
      </c>
      <c r="EW78" s="43" t="str">
        <f t="shared" si="701"/>
        <v/>
      </c>
      <c r="EX78" s="43" t="str">
        <f t="shared" si="702"/>
        <v/>
      </c>
      <c r="EY78" s="43" t="str">
        <f t="shared" si="703"/>
        <v/>
      </c>
      <c r="EZ78" s="43" t="str">
        <f t="shared" si="704"/>
        <v/>
      </c>
      <c r="FA78" s="43" t="str">
        <f t="shared" si="705"/>
        <v/>
      </c>
      <c r="FB78" s="43" t="str">
        <f t="shared" si="706"/>
        <v/>
      </c>
      <c r="FC78" s="43" t="str">
        <f t="shared" si="707"/>
        <v/>
      </c>
      <c r="FD78" s="43" t="str">
        <f t="shared" si="708"/>
        <v/>
      </c>
      <c r="FE78" s="43" t="str">
        <f t="shared" si="709"/>
        <v/>
      </c>
      <c r="FF78" s="43" t="str">
        <f t="shared" si="710"/>
        <v/>
      </c>
      <c r="FG78" s="43" t="str">
        <f t="shared" si="711"/>
        <v/>
      </c>
      <c r="FH78" s="43" t="str">
        <f t="shared" si="712"/>
        <v/>
      </c>
      <c r="FI78" s="43" t="str">
        <f t="shared" si="713"/>
        <v/>
      </c>
      <c r="FJ78" s="43" t="str">
        <f t="shared" si="714"/>
        <v/>
      </c>
      <c r="FK78" s="43" t="str">
        <f t="shared" si="715"/>
        <v/>
      </c>
      <c r="FL78" s="43" t="str">
        <f t="shared" si="716"/>
        <v/>
      </c>
      <c r="FM78" s="43" t="str">
        <f t="shared" si="717"/>
        <v/>
      </c>
      <c r="FN78" s="43" t="str">
        <f t="shared" si="718"/>
        <v/>
      </c>
      <c r="FO78" s="43" t="str">
        <f t="shared" si="719"/>
        <v/>
      </c>
      <c r="FP78" s="43" t="str">
        <f t="shared" si="720"/>
        <v/>
      </c>
      <c r="FQ78" s="43" t="str">
        <f t="shared" si="721"/>
        <v/>
      </c>
      <c r="FR78" s="43" t="str">
        <f t="shared" si="722"/>
        <v/>
      </c>
      <c r="FS78" s="43" t="str">
        <f t="shared" si="723"/>
        <v/>
      </c>
    </row>
    <row r="79" ht="15" spans="1:175">
      <c r="A79" s="73"/>
      <c r="B79" s="45" t="s">
        <v>343</v>
      </c>
      <c r="C79" s="73" t="s">
        <v>344</v>
      </c>
      <c r="E79" s="74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78"/>
      <c r="Q79" s="78"/>
      <c r="R79" s="78"/>
      <c r="S79" s="78"/>
      <c r="T79" s="79"/>
      <c r="U79" s="80" t="s">
        <v>345</v>
      </c>
      <c r="V79" s="41">
        <v>12000</v>
      </c>
      <c r="Z79" s="41">
        <v>60000</v>
      </c>
      <c r="AG79" s="85"/>
      <c r="AJ79" s="41">
        <v>5</v>
      </c>
      <c r="AK79" s="41">
        <v>5</v>
      </c>
      <c r="AL79" s="85"/>
      <c r="BC79" s="86"/>
      <c r="BD79" s="86"/>
      <c r="BL79" s="41">
        <v>5</v>
      </c>
      <c r="BM79" s="41">
        <v>1</v>
      </c>
      <c r="BN79" s="41">
        <v>5</v>
      </c>
      <c r="CU79" s="71" t="str">
        <f t="shared" si="869"/>
        <v>|n攻击+12000|n生命值+60000|n物理伤害+5%|n法术伤害+5%|n杀敌攻击+5|n杀敌业力+1|n杀敌生命+5|n</v>
      </c>
      <c r="CV79" s="5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6"/>
      <c r="CX79" s="6"/>
      <c r="CY79" s="6"/>
      <c r="CZ79" s="6"/>
      <c r="DA79" s="6"/>
      <c r="DB79" s="43" t="str">
        <f t="shared" si="654"/>
        <v>|n攻击+12000</v>
      </c>
      <c r="DC79" s="43" t="str">
        <f t="shared" si="655"/>
        <v/>
      </c>
      <c r="DD79" s="43" t="str">
        <f t="shared" si="656"/>
        <v/>
      </c>
      <c r="DE79" s="43" t="str">
        <f t="shared" si="657"/>
        <v/>
      </c>
      <c r="DF79" s="43" t="str">
        <f t="shared" si="658"/>
        <v>|n生命值+60000</v>
      </c>
      <c r="DG79" s="43" t="str">
        <f t="shared" si="659"/>
        <v/>
      </c>
      <c r="DH79" s="43" t="str">
        <f t="shared" si="660"/>
        <v/>
      </c>
      <c r="DI79" s="43" t="str">
        <f t="shared" si="661"/>
        <v/>
      </c>
      <c r="DJ79" s="43" t="str">
        <f t="shared" si="662"/>
        <v/>
      </c>
      <c r="DK79" s="43" t="str">
        <f t="shared" si="663"/>
        <v/>
      </c>
      <c r="DL79" s="43" t="str">
        <f t="shared" si="664"/>
        <v/>
      </c>
      <c r="DM79" s="43" t="str">
        <f t="shared" si="665"/>
        <v/>
      </c>
      <c r="DN79" s="43" t="str">
        <f t="shared" si="666"/>
        <v/>
      </c>
      <c r="DO79" s="43" t="str">
        <f t="shared" si="667"/>
        <v/>
      </c>
      <c r="DP79" s="43" t="str">
        <f t="shared" si="668"/>
        <v>|n物理伤害+5%</v>
      </c>
      <c r="DQ79" s="43" t="str">
        <f t="shared" si="669"/>
        <v>|n法术伤害+5%</v>
      </c>
      <c r="DR79" s="43" t="str">
        <f t="shared" si="670"/>
        <v/>
      </c>
      <c r="DS79" s="43" t="str">
        <f t="shared" si="671"/>
        <v/>
      </c>
      <c r="DT79" s="43" t="str">
        <f t="shared" si="672"/>
        <v/>
      </c>
      <c r="DU79" s="43" t="str">
        <f t="shared" si="673"/>
        <v/>
      </c>
      <c r="DV79" s="43" t="str">
        <f t="shared" si="674"/>
        <v/>
      </c>
      <c r="DW79" s="43" t="str">
        <f t="shared" si="675"/>
        <v/>
      </c>
      <c r="DX79" s="43" t="str">
        <f t="shared" si="676"/>
        <v/>
      </c>
      <c r="DY79" s="43" t="str">
        <f t="shared" si="677"/>
        <v/>
      </c>
      <c r="DZ79" s="43" t="str">
        <f t="shared" si="678"/>
        <v/>
      </c>
      <c r="EA79" s="43" t="str">
        <f t="shared" si="679"/>
        <v/>
      </c>
      <c r="EB79" s="43" t="str">
        <f t="shared" si="680"/>
        <v/>
      </c>
      <c r="EC79" s="43" t="str">
        <f t="shared" si="681"/>
        <v/>
      </c>
      <c r="ED79" s="43" t="str">
        <f t="shared" si="682"/>
        <v/>
      </c>
      <c r="EE79" s="43" t="str">
        <f t="shared" si="683"/>
        <v/>
      </c>
      <c r="EF79" s="43" t="str">
        <f t="shared" si="684"/>
        <v/>
      </c>
      <c r="EG79" s="43" t="str">
        <f t="shared" si="685"/>
        <v/>
      </c>
      <c r="EH79" s="43" t="str">
        <f t="shared" si="686"/>
        <v/>
      </c>
      <c r="EI79" s="43" t="str">
        <f t="shared" si="687"/>
        <v/>
      </c>
      <c r="EJ79" s="43" t="str">
        <f t="shared" si="688"/>
        <v/>
      </c>
      <c r="EK79" s="43" t="str">
        <f t="shared" si="689"/>
        <v/>
      </c>
      <c r="EL79" s="43" t="str">
        <f t="shared" si="690"/>
        <v/>
      </c>
      <c r="EM79" s="43" t="str">
        <f t="shared" si="691"/>
        <v/>
      </c>
      <c r="EN79" s="43" t="str">
        <f t="shared" si="692"/>
        <v/>
      </c>
      <c r="EO79" s="43" t="str">
        <f t="shared" si="693"/>
        <v/>
      </c>
      <c r="EP79" s="43" t="str">
        <f t="shared" si="694"/>
        <v/>
      </c>
      <c r="EQ79" s="43" t="str">
        <f t="shared" si="695"/>
        <v/>
      </c>
      <c r="ER79" s="43" t="str">
        <f t="shared" si="696"/>
        <v>|n杀敌攻击+5</v>
      </c>
      <c r="ES79" s="43" t="str">
        <f t="shared" si="697"/>
        <v>|n杀敌业力+1</v>
      </c>
      <c r="ET79" s="43" t="str">
        <f t="shared" si="698"/>
        <v>|n杀敌生命+5</v>
      </c>
      <c r="EU79" s="43" t="str">
        <f t="shared" si="699"/>
        <v/>
      </c>
      <c r="EV79" s="43" t="str">
        <f t="shared" si="700"/>
        <v/>
      </c>
      <c r="EW79" s="43" t="str">
        <f t="shared" si="701"/>
        <v/>
      </c>
      <c r="EX79" s="43" t="str">
        <f t="shared" si="702"/>
        <v/>
      </c>
      <c r="EY79" s="43" t="str">
        <f t="shared" si="703"/>
        <v/>
      </c>
      <c r="EZ79" s="43" t="str">
        <f t="shared" si="704"/>
        <v/>
      </c>
      <c r="FA79" s="43" t="str">
        <f t="shared" si="705"/>
        <v/>
      </c>
      <c r="FB79" s="43" t="str">
        <f t="shared" si="706"/>
        <v/>
      </c>
      <c r="FC79" s="43" t="str">
        <f t="shared" si="707"/>
        <v/>
      </c>
      <c r="FD79" s="43" t="str">
        <f t="shared" si="708"/>
        <v/>
      </c>
      <c r="FE79" s="43" t="str">
        <f t="shared" si="709"/>
        <v/>
      </c>
      <c r="FF79" s="43" t="str">
        <f t="shared" si="710"/>
        <v/>
      </c>
      <c r="FG79" s="43" t="str">
        <f t="shared" si="711"/>
        <v/>
      </c>
      <c r="FH79" s="43" t="str">
        <f t="shared" si="712"/>
        <v/>
      </c>
      <c r="FI79" s="43" t="str">
        <f t="shared" si="713"/>
        <v/>
      </c>
      <c r="FJ79" s="43" t="str">
        <f t="shared" si="714"/>
        <v/>
      </c>
      <c r="FK79" s="43" t="str">
        <f t="shared" si="715"/>
        <v/>
      </c>
      <c r="FL79" s="43" t="str">
        <f t="shared" si="716"/>
        <v/>
      </c>
      <c r="FM79" s="43" t="str">
        <f t="shared" si="717"/>
        <v/>
      </c>
      <c r="FN79" s="43" t="str">
        <f t="shared" si="718"/>
        <v/>
      </c>
      <c r="FO79" s="43" t="str">
        <f t="shared" si="719"/>
        <v/>
      </c>
      <c r="FP79" s="43" t="str">
        <f t="shared" si="720"/>
        <v/>
      </c>
      <c r="FQ79" s="43" t="str">
        <f t="shared" si="721"/>
        <v/>
      </c>
      <c r="FR79" s="43" t="str">
        <f t="shared" si="722"/>
        <v/>
      </c>
      <c r="FS79" s="43" t="str">
        <f t="shared" si="723"/>
        <v/>
      </c>
    </row>
    <row r="80" ht="15" spans="1:175">
      <c r="A80" s="9"/>
      <c r="B80" s="45" t="s">
        <v>346</v>
      </c>
      <c r="C80" s="9" t="s">
        <v>347</v>
      </c>
      <c r="E80" s="74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78"/>
      <c r="Q80" s="78"/>
      <c r="R80" s="78"/>
      <c r="S80" s="81"/>
      <c r="T80" s="79"/>
      <c r="U80" s="80" t="s">
        <v>348</v>
      </c>
      <c r="V80" s="41">
        <v>25000</v>
      </c>
      <c r="Z80" s="41">
        <v>125000</v>
      </c>
      <c r="AG80" s="85"/>
      <c r="AJ80" s="41">
        <v>5</v>
      </c>
      <c r="AK80" s="41">
        <v>5</v>
      </c>
      <c r="AL80" s="85"/>
      <c r="BC80" s="86"/>
      <c r="BD80" s="86"/>
      <c r="BL80" s="41">
        <v>5</v>
      </c>
      <c r="BM80" s="41">
        <v>1</v>
      </c>
      <c r="BN80" s="41">
        <v>5</v>
      </c>
      <c r="CU80" s="71" t="str">
        <f t="shared" si="869"/>
        <v>|n攻击+25000|n生命值+125000|n物理伤害+5%|n法术伤害+5%|n杀敌攻击+5|n杀敌业力+1|n杀敌生命+5|n</v>
      </c>
      <c r="CV80" s="5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6"/>
      <c r="CX80" s="6"/>
      <c r="CY80" s="6"/>
      <c r="CZ80" s="6"/>
      <c r="DA80" s="6"/>
      <c r="DB80" s="43" t="str">
        <f t="shared" si="654"/>
        <v>|n攻击+25000</v>
      </c>
      <c r="DC80" s="43" t="str">
        <f t="shared" si="655"/>
        <v/>
      </c>
      <c r="DD80" s="43" t="str">
        <f t="shared" si="656"/>
        <v/>
      </c>
      <c r="DE80" s="43" t="str">
        <f t="shared" si="657"/>
        <v/>
      </c>
      <c r="DF80" s="43" t="str">
        <f t="shared" si="658"/>
        <v>|n生命值+125000</v>
      </c>
      <c r="DG80" s="43" t="str">
        <f t="shared" si="659"/>
        <v/>
      </c>
      <c r="DH80" s="43" t="str">
        <f t="shared" si="660"/>
        <v/>
      </c>
      <c r="DI80" s="43" t="str">
        <f t="shared" si="661"/>
        <v/>
      </c>
      <c r="DJ80" s="43" t="str">
        <f t="shared" si="662"/>
        <v/>
      </c>
      <c r="DK80" s="43" t="str">
        <f t="shared" si="663"/>
        <v/>
      </c>
      <c r="DL80" s="43" t="str">
        <f t="shared" si="664"/>
        <v/>
      </c>
      <c r="DM80" s="43" t="str">
        <f t="shared" si="665"/>
        <v/>
      </c>
      <c r="DN80" s="43" t="str">
        <f t="shared" si="666"/>
        <v/>
      </c>
      <c r="DO80" s="43" t="str">
        <f t="shared" si="667"/>
        <v/>
      </c>
      <c r="DP80" s="43" t="str">
        <f t="shared" si="668"/>
        <v>|n物理伤害+5%</v>
      </c>
      <c r="DQ80" s="43" t="str">
        <f t="shared" si="669"/>
        <v>|n法术伤害+5%</v>
      </c>
      <c r="DR80" s="43" t="str">
        <f t="shared" si="670"/>
        <v/>
      </c>
      <c r="DS80" s="43" t="str">
        <f t="shared" si="671"/>
        <v/>
      </c>
      <c r="DT80" s="43" t="str">
        <f t="shared" si="672"/>
        <v/>
      </c>
      <c r="DU80" s="43" t="str">
        <f t="shared" si="673"/>
        <v/>
      </c>
      <c r="DV80" s="43" t="str">
        <f t="shared" si="674"/>
        <v/>
      </c>
      <c r="DW80" s="43" t="str">
        <f t="shared" si="675"/>
        <v/>
      </c>
      <c r="DX80" s="43" t="str">
        <f t="shared" si="676"/>
        <v/>
      </c>
      <c r="DY80" s="43" t="str">
        <f t="shared" si="677"/>
        <v/>
      </c>
      <c r="DZ80" s="43" t="str">
        <f t="shared" si="678"/>
        <v/>
      </c>
      <c r="EA80" s="43" t="str">
        <f t="shared" si="679"/>
        <v/>
      </c>
      <c r="EB80" s="43" t="str">
        <f t="shared" si="680"/>
        <v/>
      </c>
      <c r="EC80" s="43" t="str">
        <f t="shared" si="681"/>
        <v/>
      </c>
      <c r="ED80" s="43" t="str">
        <f t="shared" si="682"/>
        <v/>
      </c>
      <c r="EE80" s="43" t="str">
        <f t="shared" si="683"/>
        <v/>
      </c>
      <c r="EF80" s="43" t="str">
        <f t="shared" si="684"/>
        <v/>
      </c>
      <c r="EG80" s="43" t="str">
        <f t="shared" si="685"/>
        <v/>
      </c>
      <c r="EH80" s="43" t="str">
        <f t="shared" si="686"/>
        <v/>
      </c>
      <c r="EI80" s="43" t="str">
        <f t="shared" si="687"/>
        <v/>
      </c>
      <c r="EJ80" s="43" t="str">
        <f t="shared" si="688"/>
        <v/>
      </c>
      <c r="EK80" s="43" t="str">
        <f t="shared" si="689"/>
        <v/>
      </c>
      <c r="EL80" s="43" t="str">
        <f t="shared" si="690"/>
        <v/>
      </c>
      <c r="EM80" s="43" t="str">
        <f t="shared" si="691"/>
        <v/>
      </c>
      <c r="EN80" s="43" t="str">
        <f t="shared" si="692"/>
        <v/>
      </c>
      <c r="EO80" s="43" t="str">
        <f t="shared" si="693"/>
        <v/>
      </c>
      <c r="EP80" s="43" t="str">
        <f t="shared" si="694"/>
        <v/>
      </c>
      <c r="EQ80" s="43" t="str">
        <f t="shared" si="695"/>
        <v/>
      </c>
      <c r="ER80" s="43" t="str">
        <f t="shared" si="696"/>
        <v>|n杀敌攻击+5</v>
      </c>
      <c r="ES80" s="43" t="str">
        <f t="shared" si="697"/>
        <v>|n杀敌业力+1</v>
      </c>
      <c r="ET80" s="43" t="str">
        <f t="shared" si="698"/>
        <v>|n杀敌生命+5</v>
      </c>
      <c r="EU80" s="43" t="str">
        <f t="shared" si="699"/>
        <v/>
      </c>
      <c r="EV80" s="43" t="str">
        <f t="shared" si="700"/>
        <v/>
      </c>
      <c r="EW80" s="43" t="str">
        <f t="shared" si="701"/>
        <v/>
      </c>
      <c r="EX80" s="43" t="str">
        <f t="shared" si="702"/>
        <v/>
      </c>
      <c r="EY80" s="43" t="str">
        <f t="shared" si="703"/>
        <v/>
      </c>
      <c r="EZ80" s="43" t="str">
        <f t="shared" si="704"/>
        <v/>
      </c>
      <c r="FA80" s="43" t="str">
        <f t="shared" si="705"/>
        <v/>
      </c>
      <c r="FB80" s="43" t="str">
        <f t="shared" si="706"/>
        <v/>
      </c>
      <c r="FC80" s="43" t="str">
        <f t="shared" si="707"/>
        <v/>
      </c>
      <c r="FD80" s="43" t="str">
        <f t="shared" si="708"/>
        <v/>
      </c>
      <c r="FE80" s="43" t="str">
        <f t="shared" si="709"/>
        <v/>
      </c>
      <c r="FF80" s="43" t="str">
        <f t="shared" si="710"/>
        <v/>
      </c>
      <c r="FG80" s="43" t="str">
        <f t="shared" si="711"/>
        <v/>
      </c>
      <c r="FH80" s="43" t="str">
        <f t="shared" si="712"/>
        <v/>
      </c>
      <c r="FI80" s="43" t="str">
        <f t="shared" si="713"/>
        <v/>
      </c>
      <c r="FJ80" s="43" t="str">
        <f t="shared" si="714"/>
        <v/>
      </c>
      <c r="FK80" s="43" t="str">
        <f t="shared" si="715"/>
        <v/>
      </c>
      <c r="FL80" s="43" t="str">
        <f t="shared" si="716"/>
        <v/>
      </c>
      <c r="FM80" s="43" t="str">
        <f t="shared" si="717"/>
        <v/>
      </c>
      <c r="FN80" s="43" t="str">
        <f t="shared" si="718"/>
        <v/>
      </c>
      <c r="FO80" s="43" t="str">
        <f t="shared" si="719"/>
        <v/>
      </c>
      <c r="FP80" s="43" t="str">
        <f t="shared" si="720"/>
        <v/>
      </c>
      <c r="FQ80" s="43" t="str">
        <f t="shared" si="721"/>
        <v/>
      </c>
      <c r="FR80" s="43" t="str">
        <f t="shared" si="722"/>
        <v/>
      </c>
      <c r="FS80" s="43" t="str">
        <f t="shared" si="723"/>
        <v/>
      </c>
    </row>
    <row r="81" ht="15" spans="1:175">
      <c r="A81" s="9"/>
      <c r="B81" s="45" t="s">
        <v>349</v>
      </c>
      <c r="C81" s="9" t="s">
        <v>350</v>
      </c>
      <c r="E81" s="74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78"/>
      <c r="Q81" s="78"/>
      <c r="R81" s="78"/>
      <c r="S81" s="81"/>
      <c r="T81" s="79"/>
      <c r="U81" s="80" t="s">
        <v>351</v>
      </c>
      <c r="V81" s="41">
        <v>40000</v>
      </c>
      <c r="Z81" s="41">
        <v>200000</v>
      </c>
      <c r="AG81" s="85"/>
      <c r="AJ81" s="41">
        <v>5</v>
      </c>
      <c r="AK81" s="41">
        <v>5</v>
      </c>
      <c r="AL81" s="85"/>
      <c r="BC81" s="86"/>
      <c r="BD81" s="86"/>
      <c r="BL81" s="41">
        <v>5</v>
      </c>
      <c r="BM81" s="41">
        <v>1</v>
      </c>
      <c r="BN81" s="41">
        <v>5</v>
      </c>
      <c r="CU81" s="71" t="str">
        <f t="shared" si="869"/>
        <v>|n攻击+40000|n生命值+200000|n物理伤害+5%|n法术伤害+5%|n杀敌攻击+5|n杀敌业力+1|n杀敌生命+5|n</v>
      </c>
      <c r="CV81" s="5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6"/>
      <c r="CX81" s="6"/>
      <c r="CY81" s="6"/>
      <c r="CZ81" s="6"/>
      <c r="DA81" s="6"/>
      <c r="DB81" s="43" t="str">
        <f t="shared" si="654"/>
        <v>|n攻击+40000</v>
      </c>
      <c r="DC81" s="43" t="str">
        <f t="shared" si="655"/>
        <v/>
      </c>
      <c r="DD81" s="43" t="str">
        <f t="shared" si="656"/>
        <v/>
      </c>
      <c r="DE81" s="43" t="str">
        <f t="shared" si="657"/>
        <v/>
      </c>
      <c r="DF81" s="43" t="str">
        <f t="shared" si="658"/>
        <v>|n生命值+200000</v>
      </c>
      <c r="DG81" s="43" t="str">
        <f t="shared" si="659"/>
        <v/>
      </c>
      <c r="DH81" s="43" t="str">
        <f t="shared" si="660"/>
        <v/>
      </c>
      <c r="DI81" s="43" t="str">
        <f t="shared" si="661"/>
        <v/>
      </c>
      <c r="DJ81" s="43" t="str">
        <f t="shared" si="662"/>
        <v/>
      </c>
      <c r="DK81" s="43" t="str">
        <f t="shared" si="663"/>
        <v/>
      </c>
      <c r="DL81" s="43" t="str">
        <f t="shared" si="664"/>
        <v/>
      </c>
      <c r="DM81" s="43" t="str">
        <f t="shared" si="665"/>
        <v/>
      </c>
      <c r="DN81" s="43" t="str">
        <f t="shared" si="666"/>
        <v/>
      </c>
      <c r="DO81" s="43" t="str">
        <f t="shared" si="667"/>
        <v/>
      </c>
      <c r="DP81" s="43" t="str">
        <f t="shared" si="668"/>
        <v>|n物理伤害+5%</v>
      </c>
      <c r="DQ81" s="43" t="str">
        <f t="shared" si="669"/>
        <v>|n法术伤害+5%</v>
      </c>
      <c r="DR81" s="43" t="str">
        <f t="shared" si="670"/>
        <v/>
      </c>
      <c r="DS81" s="43" t="str">
        <f t="shared" si="671"/>
        <v/>
      </c>
      <c r="DT81" s="43" t="str">
        <f t="shared" si="672"/>
        <v/>
      </c>
      <c r="DU81" s="43" t="str">
        <f t="shared" si="673"/>
        <v/>
      </c>
      <c r="DV81" s="43" t="str">
        <f t="shared" si="674"/>
        <v/>
      </c>
      <c r="DW81" s="43" t="str">
        <f t="shared" si="675"/>
        <v/>
      </c>
      <c r="DX81" s="43" t="str">
        <f t="shared" si="676"/>
        <v/>
      </c>
      <c r="DY81" s="43" t="str">
        <f t="shared" si="677"/>
        <v/>
      </c>
      <c r="DZ81" s="43" t="str">
        <f t="shared" si="678"/>
        <v/>
      </c>
      <c r="EA81" s="43" t="str">
        <f t="shared" si="679"/>
        <v/>
      </c>
      <c r="EB81" s="43" t="str">
        <f t="shared" si="680"/>
        <v/>
      </c>
      <c r="EC81" s="43" t="str">
        <f t="shared" si="681"/>
        <v/>
      </c>
      <c r="ED81" s="43" t="str">
        <f t="shared" si="682"/>
        <v/>
      </c>
      <c r="EE81" s="43" t="str">
        <f t="shared" si="683"/>
        <v/>
      </c>
      <c r="EF81" s="43" t="str">
        <f t="shared" si="684"/>
        <v/>
      </c>
      <c r="EG81" s="43" t="str">
        <f t="shared" si="685"/>
        <v/>
      </c>
      <c r="EH81" s="43" t="str">
        <f t="shared" si="686"/>
        <v/>
      </c>
      <c r="EI81" s="43" t="str">
        <f t="shared" si="687"/>
        <v/>
      </c>
      <c r="EJ81" s="43" t="str">
        <f t="shared" si="688"/>
        <v/>
      </c>
      <c r="EK81" s="43" t="str">
        <f t="shared" si="689"/>
        <v/>
      </c>
      <c r="EL81" s="43" t="str">
        <f t="shared" si="690"/>
        <v/>
      </c>
      <c r="EM81" s="43" t="str">
        <f t="shared" si="691"/>
        <v/>
      </c>
      <c r="EN81" s="43" t="str">
        <f t="shared" si="692"/>
        <v/>
      </c>
      <c r="EO81" s="43" t="str">
        <f t="shared" si="693"/>
        <v/>
      </c>
      <c r="EP81" s="43" t="str">
        <f t="shared" si="694"/>
        <v/>
      </c>
      <c r="EQ81" s="43" t="str">
        <f t="shared" si="695"/>
        <v/>
      </c>
      <c r="ER81" s="43" t="str">
        <f t="shared" si="696"/>
        <v>|n杀敌攻击+5</v>
      </c>
      <c r="ES81" s="43" t="str">
        <f t="shared" si="697"/>
        <v>|n杀敌业力+1</v>
      </c>
      <c r="ET81" s="43" t="str">
        <f t="shared" si="698"/>
        <v>|n杀敌生命+5</v>
      </c>
      <c r="EU81" s="43" t="str">
        <f t="shared" si="699"/>
        <v/>
      </c>
      <c r="EV81" s="43" t="str">
        <f t="shared" si="700"/>
        <v/>
      </c>
      <c r="EW81" s="43" t="str">
        <f t="shared" si="701"/>
        <v/>
      </c>
      <c r="EX81" s="43" t="str">
        <f t="shared" si="702"/>
        <v/>
      </c>
      <c r="EY81" s="43" t="str">
        <f t="shared" si="703"/>
        <v/>
      </c>
      <c r="EZ81" s="43" t="str">
        <f t="shared" si="704"/>
        <v/>
      </c>
      <c r="FA81" s="43" t="str">
        <f t="shared" si="705"/>
        <v/>
      </c>
      <c r="FB81" s="43" t="str">
        <f t="shared" si="706"/>
        <v/>
      </c>
      <c r="FC81" s="43" t="str">
        <f t="shared" si="707"/>
        <v/>
      </c>
      <c r="FD81" s="43" t="str">
        <f t="shared" si="708"/>
        <v/>
      </c>
      <c r="FE81" s="43" t="str">
        <f t="shared" si="709"/>
        <v/>
      </c>
      <c r="FF81" s="43" t="str">
        <f t="shared" si="710"/>
        <v/>
      </c>
      <c r="FG81" s="43" t="str">
        <f t="shared" si="711"/>
        <v/>
      </c>
      <c r="FH81" s="43" t="str">
        <f t="shared" si="712"/>
        <v/>
      </c>
      <c r="FI81" s="43" t="str">
        <f t="shared" si="713"/>
        <v/>
      </c>
      <c r="FJ81" s="43" t="str">
        <f t="shared" si="714"/>
        <v/>
      </c>
      <c r="FK81" s="43" t="str">
        <f t="shared" si="715"/>
        <v/>
      </c>
      <c r="FL81" s="43" t="str">
        <f t="shared" si="716"/>
        <v/>
      </c>
      <c r="FM81" s="43" t="str">
        <f t="shared" si="717"/>
        <v/>
      </c>
      <c r="FN81" s="43" t="str">
        <f t="shared" si="718"/>
        <v/>
      </c>
      <c r="FO81" s="43" t="str">
        <f t="shared" si="719"/>
        <v/>
      </c>
      <c r="FP81" s="43" t="str">
        <f t="shared" si="720"/>
        <v/>
      </c>
      <c r="FQ81" s="43" t="str">
        <f t="shared" si="721"/>
        <v/>
      </c>
      <c r="FR81" s="43" t="str">
        <f t="shared" si="722"/>
        <v/>
      </c>
      <c r="FS81" s="43" t="str">
        <f t="shared" si="723"/>
        <v/>
      </c>
    </row>
    <row r="82" ht="15" spans="1:175">
      <c r="A82" s="9"/>
      <c r="B82" s="45" t="s">
        <v>352</v>
      </c>
      <c r="C82" s="9" t="s">
        <v>353</v>
      </c>
      <c r="E82" s="74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78"/>
      <c r="Q82" s="78"/>
      <c r="R82" s="78"/>
      <c r="S82" s="81"/>
      <c r="T82" s="79"/>
      <c r="U82" s="80" t="s">
        <v>354</v>
      </c>
      <c r="V82" s="41">
        <v>55000</v>
      </c>
      <c r="Z82" s="41">
        <v>275000</v>
      </c>
      <c r="AG82" s="85"/>
      <c r="AJ82" s="41">
        <v>5</v>
      </c>
      <c r="AK82" s="41">
        <v>5</v>
      </c>
      <c r="AL82" s="85"/>
      <c r="BC82" s="86"/>
      <c r="BD82" s="86"/>
      <c r="BL82" s="41">
        <v>5</v>
      </c>
      <c r="BM82" s="41">
        <v>1</v>
      </c>
      <c r="BN82" s="41">
        <v>5</v>
      </c>
      <c r="CU82" s="71" t="str">
        <f t="shared" si="869"/>
        <v>|n攻击+55000|n生命值+275000|n物理伤害+5%|n法术伤害+5%|n杀敌攻击+5|n杀敌业力+1|n杀敌生命+5|n</v>
      </c>
      <c r="CV82" s="5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6"/>
      <c r="CX82" s="6"/>
      <c r="CY82" s="6"/>
      <c r="CZ82" s="6"/>
      <c r="DA82" s="6"/>
      <c r="DB82" s="43" t="str">
        <f t="shared" si="654"/>
        <v>|n攻击+55000</v>
      </c>
      <c r="DC82" s="43" t="str">
        <f t="shared" si="655"/>
        <v/>
      </c>
      <c r="DD82" s="43" t="str">
        <f t="shared" si="656"/>
        <v/>
      </c>
      <c r="DE82" s="43" t="str">
        <f t="shared" si="657"/>
        <v/>
      </c>
      <c r="DF82" s="43" t="str">
        <f t="shared" si="658"/>
        <v>|n生命值+275000</v>
      </c>
      <c r="DG82" s="43" t="str">
        <f t="shared" si="659"/>
        <v/>
      </c>
      <c r="DH82" s="43" t="str">
        <f t="shared" si="660"/>
        <v/>
      </c>
      <c r="DI82" s="43" t="str">
        <f t="shared" si="661"/>
        <v/>
      </c>
      <c r="DJ82" s="43" t="str">
        <f t="shared" si="662"/>
        <v/>
      </c>
      <c r="DK82" s="43" t="str">
        <f t="shared" si="663"/>
        <v/>
      </c>
      <c r="DL82" s="43" t="str">
        <f t="shared" si="664"/>
        <v/>
      </c>
      <c r="DM82" s="43" t="str">
        <f t="shared" si="665"/>
        <v/>
      </c>
      <c r="DN82" s="43" t="str">
        <f t="shared" si="666"/>
        <v/>
      </c>
      <c r="DO82" s="43" t="str">
        <f t="shared" si="667"/>
        <v/>
      </c>
      <c r="DP82" s="43" t="str">
        <f t="shared" si="668"/>
        <v>|n物理伤害+5%</v>
      </c>
      <c r="DQ82" s="43" t="str">
        <f t="shared" si="669"/>
        <v>|n法术伤害+5%</v>
      </c>
      <c r="DR82" s="43" t="str">
        <f t="shared" si="670"/>
        <v/>
      </c>
      <c r="DS82" s="43" t="str">
        <f t="shared" si="671"/>
        <v/>
      </c>
      <c r="DT82" s="43" t="str">
        <f t="shared" si="672"/>
        <v/>
      </c>
      <c r="DU82" s="43" t="str">
        <f t="shared" si="673"/>
        <v/>
      </c>
      <c r="DV82" s="43" t="str">
        <f t="shared" si="674"/>
        <v/>
      </c>
      <c r="DW82" s="43" t="str">
        <f t="shared" si="675"/>
        <v/>
      </c>
      <c r="DX82" s="43" t="str">
        <f t="shared" si="676"/>
        <v/>
      </c>
      <c r="DY82" s="43" t="str">
        <f t="shared" si="677"/>
        <v/>
      </c>
      <c r="DZ82" s="43" t="str">
        <f t="shared" si="678"/>
        <v/>
      </c>
      <c r="EA82" s="43" t="str">
        <f t="shared" si="679"/>
        <v/>
      </c>
      <c r="EB82" s="43" t="str">
        <f t="shared" si="680"/>
        <v/>
      </c>
      <c r="EC82" s="43" t="str">
        <f t="shared" si="681"/>
        <v/>
      </c>
      <c r="ED82" s="43" t="str">
        <f t="shared" si="682"/>
        <v/>
      </c>
      <c r="EE82" s="43" t="str">
        <f t="shared" si="683"/>
        <v/>
      </c>
      <c r="EF82" s="43" t="str">
        <f t="shared" si="684"/>
        <v/>
      </c>
      <c r="EG82" s="43" t="str">
        <f t="shared" si="685"/>
        <v/>
      </c>
      <c r="EH82" s="43" t="str">
        <f t="shared" si="686"/>
        <v/>
      </c>
      <c r="EI82" s="43" t="str">
        <f t="shared" si="687"/>
        <v/>
      </c>
      <c r="EJ82" s="43" t="str">
        <f t="shared" si="688"/>
        <v/>
      </c>
      <c r="EK82" s="43" t="str">
        <f t="shared" si="689"/>
        <v/>
      </c>
      <c r="EL82" s="43" t="str">
        <f t="shared" si="690"/>
        <v/>
      </c>
      <c r="EM82" s="43" t="str">
        <f t="shared" si="691"/>
        <v/>
      </c>
      <c r="EN82" s="43" t="str">
        <f t="shared" si="692"/>
        <v/>
      </c>
      <c r="EO82" s="43" t="str">
        <f t="shared" si="693"/>
        <v/>
      </c>
      <c r="EP82" s="43" t="str">
        <f t="shared" si="694"/>
        <v/>
      </c>
      <c r="EQ82" s="43" t="str">
        <f t="shared" si="695"/>
        <v/>
      </c>
      <c r="ER82" s="43" t="str">
        <f t="shared" si="696"/>
        <v>|n杀敌攻击+5</v>
      </c>
      <c r="ES82" s="43" t="str">
        <f t="shared" si="697"/>
        <v>|n杀敌业力+1</v>
      </c>
      <c r="ET82" s="43" t="str">
        <f t="shared" si="698"/>
        <v>|n杀敌生命+5</v>
      </c>
      <c r="EU82" s="43" t="str">
        <f t="shared" si="699"/>
        <v/>
      </c>
      <c r="EV82" s="43" t="str">
        <f t="shared" si="700"/>
        <v/>
      </c>
      <c r="EW82" s="43" t="str">
        <f t="shared" si="701"/>
        <v/>
      </c>
      <c r="EX82" s="43" t="str">
        <f t="shared" si="702"/>
        <v/>
      </c>
      <c r="EY82" s="43" t="str">
        <f t="shared" si="703"/>
        <v/>
      </c>
      <c r="EZ82" s="43" t="str">
        <f t="shared" si="704"/>
        <v/>
      </c>
      <c r="FA82" s="43" t="str">
        <f t="shared" si="705"/>
        <v/>
      </c>
      <c r="FB82" s="43" t="str">
        <f t="shared" si="706"/>
        <v/>
      </c>
      <c r="FC82" s="43" t="str">
        <f t="shared" si="707"/>
        <v/>
      </c>
      <c r="FD82" s="43" t="str">
        <f t="shared" si="708"/>
        <v/>
      </c>
      <c r="FE82" s="43" t="str">
        <f t="shared" si="709"/>
        <v/>
      </c>
      <c r="FF82" s="43" t="str">
        <f t="shared" si="710"/>
        <v/>
      </c>
      <c r="FG82" s="43" t="str">
        <f t="shared" si="711"/>
        <v/>
      </c>
      <c r="FH82" s="43" t="str">
        <f t="shared" si="712"/>
        <v/>
      </c>
      <c r="FI82" s="43" t="str">
        <f t="shared" si="713"/>
        <v/>
      </c>
      <c r="FJ82" s="43" t="str">
        <f t="shared" si="714"/>
        <v/>
      </c>
      <c r="FK82" s="43" t="str">
        <f t="shared" si="715"/>
        <v/>
      </c>
      <c r="FL82" s="43" t="str">
        <f t="shared" si="716"/>
        <v/>
      </c>
      <c r="FM82" s="43" t="str">
        <f t="shared" si="717"/>
        <v/>
      </c>
      <c r="FN82" s="43" t="str">
        <f t="shared" si="718"/>
        <v/>
      </c>
      <c r="FO82" s="43" t="str">
        <f t="shared" si="719"/>
        <v/>
      </c>
      <c r="FP82" s="43" t="str">
        <f t="shared" si="720"/>
        <v/>
      </c>
      <c r="FQ82" s="43" t="str">
        <f t="shared" si="721"/>
        <v/>
      </c>
      <c r="FR82" s="43" t="str">
        <f t="shared" si="722"/>
        <v/>
      </c>
      <c r="FS82" s="43" t="str">
        <f t="shared" si="723"/>
        <v/>
      </c>
    </row>
    <row r="83" ht="15" spans="1:175">
      <c r="A83" s="10"/>
      <c r="B83" s="45" t="s">
        <v>355</v>
      </c>
      <c r="C83" s="10" t="s">
        <v>356</v>
      </c>
      <c r="E83" s="74"/>
      <c r="F83" s="19"/>
      <c r="G83" s="15"/>
      <c r="H83" s="15"/>
      <c r="I83" s="15"/>
      <c r="J83" s="15"/>
      <c r="K83" s="15"/>
      <c r="L83" s="15"/>
      <c r="M83" s="15"/>
      <c r="N83" s="15"/>
      <c r="O83" s="15"/>
      <c r="P83" s="78"/>
      <c r="Q83" s="78"/>
      <c r="R83" s="78"/>
      <c r="S83" s="81"/>
      <c r="T83" s="79"/>
      <c r="U83" s="80" t="s">
        <v>357</v>
      </c>
      <c r="V83" s="41">
        <v>80000</v>
      </c>
      <c r="Z83" s="41">
        <v>400000</v>
      </c>
      <c r="AG83" s="85"/>
      <c r="AJ83" s="41">
        <v>5</v>
      </c>
      <c r="AK83" s="41">
        <v>5</v>
      </c>
      <c r="AL83" s="85"/>
      <c r="BC83" s="86"/>
      <c r="BD83" s="86"/>
      <c r="BL83" s="41">
        <v>5</v>
      </c>
      <c r="BM83" s="41">
        <v>1</v>
      </c>
      <c r="BN83" s="41">
        <v>5</v>
      </c>
      <c r="CU83" s="71" t="str">
        <f t="shared" si="869"/>
        <v>|n攻击+80000|n生命值+400000|n物理伤害+5%|n法术伤害+5%|n杀敌攻击+5|n杀敌业力+1|n杀敌生命+5|n</v>
      </c>
      <c r="CV83" s="5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6"/>
      <c r="CX83" s="6"/>
      <c r="CY83" s="6"/>
      <c r="CZ83" s="6"/>
      <c r="DA83" s="6"/>
      <c r="DB83" s="43" t="str">
        <f t="shared" si="654"/>
        <v>|n攻击+80000</v>
      </c>
      <c r="DC83" s="43" t="str">
        <f t="shared" si="655"/>
        <v/>
      </c>
      <c r="DD83" s="43" t="str">
        <f t="shared" si="656"/>
        <v/>
      </c>
      <c r="DE83" s="43" t="str">
        <f t="shared" si="657"/>
        <v/>
      </c>
      <c r="DF83" s="43" t="str">
        <f t="shared" si="658"/>
        <v>|n生命值+400000</v>
      </c>
      <c r="DG83" s="43" t="str">
        <f t="shared" si="659"/>
        <v/>
      </c>
      <c r="DH83" s="43" t="str">
        <f t="shared" si="660"/>
        <v/>
      </c>
      <c r="DI83" s="43" t="str">
        <f t="shared" si="661"/>
        <v/>
      </c>
      <c r="DJ83" s="43" t="str">
        <f t="shared" si="662"/>
        <v/>
      </c>
      <c r="DK83" s="43" t="str">
        <f t="shared" si="663"/>
        <v/>
      </c>
      <c r="DL83" s="43" t="str">
        <f t="shared" si="664"/>
        <v/>
      </c>
      <c r="DM83" s="43" t="str">
        <f t="shared" si="665"/>
        <v/>
      </c>
      <c r="DN83" s="43" t="str">
        <f t="shared" si="666"/>
        <v/>
      </c>
      <c r="DO83" s="43" t="str">
        <f t="shared" si="667"/>
        <v/>
      </c>
      <c r="DP83" s="43" t="str">
        <f t="shared" si="668"/>
        <v>|n物理伤害+5%</v>
      </c>
      <c r="DQ83" s="43" t="str">
        <f t="shared" si="669"/>
        <v>|n法术伤害+5%</v>
      </c>
      <c r="DR83" s="43" t="str">
        <f t="shared" si="670"/>
        <v/>
      </c>
      <c r="DS83" s="43" t="str">
        <f t="shared" si="671"/>
        <v/>
      </c>
      <c r="DT83" s="43" t="str">
        <f t="shared" si="672"/>
        <v/>
      </c>
      <c r="DU83" s="43" t="str">
        <f t="shared" si="673"/>
        <v/>
      </c>
      <c r="DV83" s="43" t="str">
        <f t="shared" si="674"/>
        <v/>
      </c>
      <c r="DW83" s="43" t="str">
        <f t="shared" si="675"/>
        <v/>
      </c>
      <c r="DX83" s="43" t="str">
        <f t="shared" si="676"/>
        <v/>
      </c>
      <c r="DY83" s="43" t="str">
        <f t="shared" si="677"/>
        <v/>
      </c>
      <c r="DZ83" s="43" t="str">
        <f t="shared" si="678"/>
        <v/>
      </c>
      <c r="EA83" s="43" t="str">
        <f t="shared" si="679"/>
        <v/>
      </c>
      <c r="EB83" s="43" t="str">
        <f t="shared" si="680"/>
        <v/>
      </c>
      <c r="EC83" s="43" t="str">
        <f t="shared" si="681"/>
        <v/>
      </c>
      <c r="ED83" s="43" t="str">
        <f t="shared" si="682"/>
        <v/>
      </c>
      <c r="EE83" s="43" t="str">
        <f t="shared" si="683"/>
        <v/>
      </c>
      <c r="EF83" s="43" t="str">
        <f t="shared" si="684"/>
        <v/>
      </c>
      <c r="EG83" s="43" t="str">
        <f t="shared" si="685"/>
        <v/>
      </c>
      <c r="EH83" s="43" t="str">
        <f t="shared" si="686"/>
        <v/>
      </c>
      <c r="EI83" s="43" t="str">
        <f t="shared" si="687"/>
        <v/>
      </c>
      <c r="EJ83" s="43" t="str">
        <f t="shared" si="688"/>
        <v/>
      </c>
      <c r="EK83" s="43" t="str">
        <f t="shared" si="689"/>
        <v/>
      </c>
      <c r="EL83" s="43" t="str">
        <f t="shared" si="690"/>
        <v/>
      </c>
      <c r="EM83" s="43" t="str">
        <f t="shared" si="691"/>
        <v/>
      </c>
      <c r="EN83" s="43" t="str">
        <f t="shared" si="692"/>
        <v/>
      </c>
      <c r="EO83" s="43" t="str">
        <f t="shared" si="693"/>
        <v/>
      </c>
      <c r="EP83" s="43" t="str">
        <f t="shared" si="694"/>
        <v/>
      </c>
      <c r="EQ83" s="43" t="str">
        <f t="shared" si="695"/>
        <v/>
      </c>
      <c r="ER83" s="43" t="str">
        <f t="shared" si="696"/>
        <v>|n杀敌攻击+5</v>
      </c>
      <c r="ES83" s="43" t="str">
        <f t="shared" si="697"/>
        <v>|n杀敌业力+1</v>
      </c>
      <c r="ET83" s="43" t="str">
        <f t="shared" si="698"/>
        <v>|n杀敌生命+5</v>
      </c>
      <c r="EU83" s="43" t="str">
        <f t="shared" si="699"/>
        <v/>
      </c>
      <c r="EV83" s="43" t="str">
        <f t="shared" si="700"/>
        <v/>
      </c>
      <c r="EW83" s="43" t="str">
        <f t="shared" si="701"/>
        <v/>
      </c>
      <c r="EX83" s="43" t="str">
        <f t="shared" si="702"/>
        <v/>
      </c>
      <c r="EY83" s="43" t="str">
        <f t="shared" si="703"/>
        <v/>
      </c>
      <c r="EZ83" s="43" t="str">
        <f t="shared" si="704"/>
        <v/>
      </c>
      <c r="FA83" s="43" t="str">
        <f t="shared" si="705"/>
        <v/>
      </c>
      <c r="FB83" s="43" t="str">
        <f t="shared" si="706"/>
        <v/>
      </c>
      <c r="FC83" s="43" t="str">
        <f t="shared" si="707"/>
        <v/>
      </c>
      <c r="FD83" s="43" t="str">
        <f t="shared" si="708"/>
        <v/>
      </c>
      <c r="FE83" s="43" t="str">
        <f t="shared" si="709"/>
        <v/>
      </c>
      <c r="FF83" s="43" t="str">
        <f t="shared" si="710"/>
        <v/>
      </c>
      <c r="FG83" s="43" t="str">
        <f t="shared" si="711"/>
        <v/>
      </c>
      <c r="FH83" s="43" t="str">
        <f t="shared" si="712"/>
        <v/>
      </c>
      <c r="FI83" s="43" t="str">
        <f t="shared" si="713"/>
        <v/>
      </c>
      <c r="FJ83" s="43" t="str">
        <f t="shared" si="714"/>
        <v/>
      </c>
      <c r="FK83" s="43" t="str">
        <f t="shared" si="715"/>
        <v/>
      </c>
      <c r="FL83" s="43" t="str">
        <f t="shared" si="716"/>
        <v/>
      </c>
      <c r="FM83" s="43" t="str">
        <f t="shared" si="717"/>
        <v/>
      </c>
      <c r="FN83" s="43" t="str">
        <f t="shared" si="718"/>
        <v/>
      </c>
      <c r="FO83" s="43" t="str">
        <f t="shared" si="719"/>
        <v/>
      </c>
      <c r="FP83" s="43" t="str">
        <f t="shared" si="720"/>
        <v/>
      </c>
      <c r="FQ83" s="43" t="str">
        <f t="shared" si="721"/>
        <v/>
      </c>
      <c r="FR83" s="43" t="str">
        <f t="shared" si="722"/>
        <v/>
      </c>
      <c r="FS83" s="43" t="str">
        <f t="shared" si="723"/>
        <v/>
      </c>
    </row>
    <row r="84" ht="15" spans="1:175">
      <c r="A84" s="10"/>
      <c r="B84" s="45" t="s">
        <v>358</v>
      </c>
      <c r="C84" s="10" t="s">
        <v>359</v>
      </c>
      <c r="E84" s="74"/>
      <c r="F84" s="19"/>
      <c r="G84" s="15"/>
      <c r="H84" s="15"/>
      <c r="I84" s="15"/>
      <c r="J84" s="15"/>
      <c r="K84" s="15"/>
      <c r="L84" s="15"/>
      <c r="M84" s="15"/>
      <c r="N84" s="15"/>
      <c r="O84" s="15"/>
      <c r="P84" s="78"/>
      <c r="Q84" s="78"/>
      <c r="R84" s="78"/>
      <c r="S84" s="81"/>
      <c r="T84" s="79"/>
      <c r="U84" s="80" t="s">
        <v>360</v>
      </c>
      <c r="V84" s="41">
        <v>120000</v>
      </c>
      <c r="Z84" s="41">
        <v>600000</v>
      </c>
      <c r="AG84" s="85"/>
      <c r="AJ84" s="41">
        <v>5</v>
      </c>
      <c r="AK84" s="41">
        <v>5</v>
      </c>
      <c r="AL84" s="85"/>
      <c r="BC84" s="86"/>
      <c r="BD84" s="86"/>
      <c r="BL84" s="41">
        <v>5</v>
      </c>
      <c r="BM84" s="41">
        <v>1</v>
      </c>
      <c r="BN84" s="41">
        <v>5</v>
      </c>
      <c r="CU84" s="71" t="str">
        <f t="shared" si="869"/>
        <v>|n攻击+120000|n生命值+600000|n物理伤害+5%|n法术伤害+5%|n杀敌攻击+5|n杀敌业力+1|n杀敌生命+5|n</v>
      </c>
      <c r="CV84" s="5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6"/>
      <c r="CX84" s="6"/>
      <c r="CY84" s="6"/>
      <c r="CZ84" s="6"/>
      <c r="DA84" s="6"/>
      <c r="DB84" s="43" t="str">
        <f t="shared" si="654"/>
        <v>|n攻击+120000</v>
      </c>
      <c r="DC84" s="43" t="str">
        <f t="shared" si="655"/>
        <v/>
      </c>
      <c r="DD84" s="43" t="str">
        <f t="shared" si="656"/>
        <v/>
      </c>
      <c r="DE84" s="43" t="str">
        <f t="shared" si="657"/>
        <v/>
      </c>
      <c r="DF84" s="43" t="str">
        <f t="shared" si="658"/>
        <v>|n生命值+600000</v>
      </c>
      <c r="DG84" s="43" t="str">
        <f t="shared" si="659"/>
        <v/>
      </c>
      <c r="DH84" s="43" t="str">
        <f t="shared" si="660"/>
        <v/>
      </c>
      <c r="DI84" s="43" t="str">
        <f t="shared" si="661"/>
        <v/>
      </c>
      <c r="DJ84" s="43" t="str">
        <f t="shared" si="662"/>
        <v/>
      </c>
      <c r="DK84" s="43" t="str">
        <f t="shared" si="663"/>
        <v/>
      </c>
      <c r="DL84" s="43" t="str">
        <f t="shared" si="664"/>
        <v/>
      </c>
      <c r="DM84" s="43" t="str">
        <f t="shared" si="665"/>
        <v/>
      </c>
      <c r="DN84" s="43" t="str">
        <f t="shared" si="666"/>
        <v/>
      </c>
      <c r="DO84" s="43" t="str">
        <f t="shared" si="667"/>
        <v/>
      </c>
      <c r="DP84" s="43" t="str">
        <f t="shared" si="668"/>
        <v>|n物理伤害+5%</v>
      </c>
      <c r="DQ84" s="43" t="str">
        <f t="shared" si="669"/>
        <v>|n法术伤害+5%</v>
      </c>
      <c r="DR84" s="43" t="str">
        <f t="shared" si="670"/>
        <v/>
      </c>
      <c r="DS84" s="43" t="str">
        <f t="shared" si="671"/>
        <v/>
      </c>
      <c r="DT84" s="43" t="str">
        <f t="shared" si="672"/>
        <v/>
      </c>
      <c r="DU84" s="43" t="str">
        <f t="shared" si="673"/>
        <v/>
      </c>
      <c r="DV84" s="43" t="str">
        <f t="shared" si="674"/>
        <v/>
      </c>
      <c r="DW84" s="43" t="str">
        <f t="shared" si="675"/>
        <v/>
      </c>
      <c r="DX84" s="43" t="str">
        <f t="shared" si="676"/>
        <v/>
      </c>
      <c r="DY84" s="43" t="str">
        <f t="shared" si="677"/>
        <v/>
      </c>
      <c r="DZ84" s="43" t="str">
        <f t="shared" si="678"/>
        <v/>
      </c>
      <c r="EA84" s="43" t="str">
        <f t="shared" si="679"/>
        <v/>
      </c>
      <c r="EB84" s="43" t="str">
        <f t="shared" si="680"/>
        <v/>
      </c>
      <c r="EC84" s="43" t="str">
        <f t="shared" si="681"/>
        <v/>
      </c>
      <c r="ED84" s="43" t="str">
        <f t="shared" si="682"/>
        <v/>
      </c>
      <c r="EE84" s="43" t="str">
        <f t="shared" si="683"/>
        <v/>
      </c>
      <c r="EF84" s="43" t="str">
        <f t="shared" si="684"/>
        <v/>
      </c>
      <c r="EG84" s="43" t="str">
        <f t="shared" si="685"/>
        <v/>
      </c>
      <c r="EH84" s="43" t="str">
        <f t="shared" si="686"/>
        <v/>
      </c>
      <c r="EI84" s="43" t="str">
        <f t="shared" si="687"/>
        <v/>
      </c>
      <c r="EJ84" s="43" t="str">
        <f t="shared" si="688"/>
        <v/>
      </c>
      <c r="EK84" s="43" t="str">
        <f t="shared" si="689"/>
        <v/>
      </c>
      <c r="EL84" s="43" t="str">
        <f t="shared" si="690"/>
        <v/>
      </c>
      <c r="EM84" s="43" t="str">
        <f t="shared" si="691"/>
        <v/>
      </c>
      <c r="EN84" s="43" t="str">
        <f t="shared" si="692"/>
        <v/>
      </c>
      <c r="EO84" s="43" t="str">
        <f t="shared" si="693"/>
        <v/>
      </c>
      <c r="EP84" s="43" t="str">
        <f t="shared" si="694"/>
        <v/>
      </c>
      <c r="EQ84" s="43" t="str">
        <f t="shared" si="695"/>
        <v/>
      </c>
      <c r="ER84" s="43" t="str">
        <f t="shared" si="696"/>
        <v>|n杀敌攻击+5</v>
      </c>
      <c r="ES84" s="43" t="str">
        <f t="shared" si="697"/>
        <v>|n杀敌业力+1</v>
      </c>
      <c r="ET84" s="43" t="str">
        <f t="shared" si="698"/>
        <v>|n杀敌生命+5</v>
      </c>
      <c r="EU84" s="43" t="str">
        <f t="shared" si="699"/>
        <v/>
      </c>
      <c r="EV84" s="43" t="str">
        <f t="shared" si="700"/>
        <v/>
      </c>
      <c r="EW84" s="43" t="str">
        <f t="shared" si="701"/>
        <v/>
      </c>
      <c r="EX84" s="43" t="str">
        <f t="shared" si="702"/>
        <v/>
      </c>
      <c r="EY84" s="43" t="str">
        <f t="shared" si="703"/>
        <v/>
      </c>
      <c r="EZ84" s="43" t="str">
        <f t="shared" si="704"/>
        <v/>
      </c>
      <c r="FA84" s="43" t="str">
        <f t="shared" si="705"/>
        <v/>
      </c>
      <c r="FB84" s="43" t="str">
        <f t="shared" si="706"/>
        <v/>
      </c>
      <c r="FC84" s="43" t="str">
        <f t="shared" si="707"/>
        <v/>
      </c>
      <c r="FD84" s="43" t="str">
        <f t="shared" si="708"/>
        <v/>
      </c>
      <c r="FE84" s="43" t="str">
        <f t="shared" si="709"/>
        <v/>
      </c>
      <c r="FF84" s="43" t="str">
        <f t="shared" si="710"/>
        <v/>
      </c>
      <c r="FG84" s="43" t="str">
        <f t="shared" si="711"/>
        <v/>
      </c>
      <c r="FH84" s="43" t="str">
        <f t="shared" si="712"/>
        <v/>
      </c>
      <c r="FI84" s="43" t="str">
        <f t="shared" si="713"/>
        <v/>
      </c>
      <c r="FJ84" s="43" t="str">
        <f t="shared" si="714"/>
        <v/>
      </c>
      <c r="FK84" s="43" t="str">
        <f t="shared" si="715"/>
        <v/>
      </c>
      <c r="FL84" s="43" t="str">
        <f t="shared" si="716"/>
        <v/>
      </c>
      <c r="FM84" s="43" t="str">
        <f t="shared" si="717"/>
        <v/>
      </c>
      <c r="FN84" s="43" t="str">
        <f t="shared" si="718"/>
        <v/>
      </c>
      <c r="FO84" s="43" t="str">
        <f t="shared" si="719"/>
        <v/>
      </c>
      <c r="FP84" s="43" t="str">
        <f t="shared" si="720"/>
        <v/>
      </c>
      <c r="FQ84" s="43" t="str">
        <f t="shared" si="721"/>
        <v/>
      </c>
      <c r="FR84" s="43" t="str">
        <f t="shared" si="722"/>
        <v/>
      </c>
      <c r="FS84" s="43" t="str">
        <f t="shared" si="723"/>
        <v/>
      </c>
    </row>
    <row r="85" ht="15" spans="1:175">
      <c r="A85" s="10"/>
      <c r="B85" s="45" t="s">
        <v>361</v>
      </c>
      <c r="C85" s="10" t="s">
        <v>362</v>
      </c>
      <c r="E85" s="75"/>
      <c r="F85" s="19"/>
      <c r="G85" s="15"/>
      <c r="H85" s="15"/>
      <c r="I85" s="15"/>
      <c r="J85" s="15"/>
      <c r="K85" s="15"/>
      <c r="L85" s="15"/>
      <c r="M85" s="15"/>
      <c r="N85" s="15"/>
      <c r="O85" s="15"/>
      <c r="P85" s="78"/>
      <c r="Q85" s="78"/>
      <c r="R85" s="78"/>
      <c r="S85" s="81"/>
      <c r="T85" s="79"/>
      <c r="U85" s="80" t="s">
        <v>363</v>
      </c>
      <c r="V85" s="41">
        <v>200000</v>
      </c>
      <c r="Z85" s="41">
        <v>1000000</v>
      </c>
      <c r="AG85" s="85"/>
      <c r="AJ85" s="41">
        <v>5</v>
      </c>
      <c r="AK85" s="41">
        <v>5</v>
      </c>
      <c r="AL85" s="85"/>
      <c r="BC85" s="86"/>
      <c r="BD85" s="86"/>
      <c r="BL85" s="41">
        <v>5</v>
      </c>
      <c r="BM85" s="41">
        <v>1</v>
      </c>
      <c r="BN85" s="41">
        <v>5</v>
      </c>
      <c r="CU85" s="71" t="str">
        <f t="shared" si="869"/>
        <v>|n攻击+200000|n生命值+1000000|n物理伤害+5%|n法术伤害+5%|n杀敌攻击+5|n杀敌业力+1|n杀敌生命+5|n</v>
      </c>
      <c r="CV85" s="5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6"/>
      <c r="CX85" s="6"/>
      <c r="CY85" s="6"/>
      <c r="CZ85" s="6"/>
      <c r="DA85" s="6"/>
      <c r="DB85" s="43" t="str">
        <f t="shared" si="654"/>
        <v>|n攻击+200000</v>
      </c>
      <c r="DC85" s="43" t="str">
        <f t="shared" si="655"/>
        <v/>
      </c>
      <c r="DD85" s="43" t="str">
        <f t="shared" si="656"/>
        <v/>
      </c>
      <c r="DE85" s="43" t="str">
        <f t="shared" si="657"/>
        <v/>
      </c>
      <c r="DF85" s="43" t="str">
        <f t="shared" si="658"/>
        <v>|n生命值+1000000</v>
      </c>
      <c r="DG85" s="43" t="str">
        <f t="shared" si="659"/>
        <v/>
      </c>
      <c r="DH85" s="43" t="str">
        <f t="shared" si="660"/>
        <v/>
      </c>
      <c r="DI85" s="43" t="str">
        <f t="shared" si="661"/>
        <v/>
      </c>
      <c r="DJ85" s="43" t="str">
        <f t="shared" si="662"/>
        <v/>
      </c>
      <c r="DK85" s="43" t="str">
        <f t="shared" si="663"/>
        <v/>
      </c>
      <c r="DL85" s="43" t="str">
        <f t="shared" si="664"/>
        <v/>
      </c>
      <c r="DM85" s="43" t="str">
        <f t="shared" si="665"/>
        <v/>
      </c>
      <c r="DN85" s="43" t="str">
        <f t="shared" si="666"/>
        <v/>
      </c>
      <c r="DO85" s="43" t="str">
        <f t="shared" si="667"/>
        <v/>
      </c>
      <c r="DP85" s="43" t="str">
        <f t="shared" si="668"/>
        <v>|n物理伤害+5%</v>
      </c>
      <c r="DQ85" s="43" t="str">
        <f t="shared" si="669"/>
        <v>|n法术伤害+5%</v>
      </c>
      <c r="DR85" s="43" t="str">
        <f t="shared" si="670"/>
        <v/>
      </c>
      <c r="DS85" s="43" t="str">
        <f t="shared" si="671"/>
        <v/>
      </c>
      <c r="DT85" s="43" t="str">
        <f t="shared" si="672"/>
        <v/>
      </c>
      <c r="DU85" s="43" t="str">
        <f t="shared" si="673"/>
        <v/>
      </c>
      <c r="DV85" s="43" t="str">
        <f t="shared" si="674"/>
        <v/>
      </c>
      <c r="DW85" s="43" t="str">
        <f t="shared" si="675"/>
        <v/>
      </c>
      <c r="DX85" s="43" t="str">
        <f t="shared" si="676"/>
        <v/>
      </c>
      <c r="DY85" s="43" t="str">
        <f t="shared" si="677"/>
        <v/>
      </c>
      <c r="DZ85" s="43" t="str">
        <f t="shared" si="678"/>
        <v/>
      </c>
      <c r="EA85" s="43" t="str">
        <f t="shared" si="679"/>
        <v/>
      </c>
      <c r="EB85" s="43" t="str">
        <f t="shared" si="680"/>
        <v/>
      </c>
      <c r="EC85" s="43" t="str">
        <f t="shared" si="681"/>
        <v/>
      </c>
      <c r="ED85" s="43" t="str">
        <f t="shared" si="682"/>
        <v/>
      </c>
      <c r="EE85" s="43" t="str">
        <f t="shared" si="683"/>
        <v/>
      </c>
      <c r="EF85" s="43" t="str">
        <f t="shared" si="684"/>
        <v/>
      </c>
      <c r="EG85" s="43" t="str">
        <f t="shared" si="685"/>
        <v/>
      </c>
      <c r="EH85" s="43" t="str">
        <f t="shared" si="686"/>
        <v/>
      </c>
      <c r="EI85" s="43" t="str">
        <f t="shared" si="687"/>
        <v/>
      </c>
      <c r="EJ85" s="43" t="str">
        <f t="shared" si="688"/>
        <v/>
      </c>
      <c r="EK85" s="43" t="str">
        <f t="shared" si="689"/>
        <v/>
      </c>
      <c r="EL85" s="43" t="str">
        <f t="shared" si="690"/>
        <v/>
      </c>
      <c r="EM85" s="43" t="str">
        <f t="shared" si="691"/>
        <v/>
      </c>
      <c r="EN85" s="43" t="str">
        <f t="shared" si="692"/>
        <v/>
      </c>
      <c r="EO85" s="43" t="str">
        <f t="shared" si="693"/>
        <v/>
      </c>
      <c r="EP85" s="43" t="str">
        <f t="shared" si="694"/>
        <v/>
      </c>
      <c r="EQ85" s="43" t="str">
        <f t="shared" si="695"/>
        <v/>
      </c>
      <c r="ER85" s="43" t="str">
        <f t="shared" si="696"/>
        <v>|n杀敌攻击+5</v>
      </c>
      <c r="ES85" s="43" t="str">
        <f t="shared" si="697"/>
        <v>|n杀敌业力+1</v>
      </c>
      <c r="ET85" s="43" t="str">
        <f t="shared" si="698"/>
        <v>|n杀敌生命+5</v>
      </c>
      <c r="EU85" s="43" t="str">
        <f t="shared" si="699"/>
        <v/>
      </c>
      <c r="EV85" s="43" t="str">
        <f t="shared" si="700"/>
        <v/>
      </c>
      <c r="EW85" s="43" t="str">
        <f t="shared" si="701"/>
        <v/>
      </c>
      <c r="EX85" s="43" t="str">
        <f t="shared" si="702"/>
        <v/>
      </c>
      <c r="EY85" s="43" t="str">
        <f t="shared" si="703"/>
        <v/>
      </c>
      <c r="EZ85" s="43" t="str">
        <f t="shared" si="704"/>
        <v/>
      </c>
      <c r="FA85" s="43" t="str">
        <f t="shared" si="705"/>
        <v/>
      </c>
      <c r="FB85" s="43" t="str">
        <f t="shared" si="706"/>
        <v/>
      </c>
      <c r="FC85" s="43" t="str">
        <f t="shared" si="707"/>
        <v/>
      </c>
      <c r="FD85" s="43" t="str">
        <f t="shared" si="708"/>
        <v/>
      </c>
      <c r="FE85" s="43" t="str">
        <f t="shared" si="709"/>
        <v/>
      </c>
      <c r="FF85" s="43" t="str">
        <f t="shared" si="710"/>
        <v/>
      </c>
      <c r="FG85" s="43" t="str">
        <f t="shared" si="711"/>
        <v/>
      </c>
      <c r="FH85" s="43" t="str">
        <f t="shared" si="712"/>
        <v/>
      </c>
      <c r="FI85" s="43" t="str">
        <f t="shared" si="713"/>
        <v/>
      </c>
      <c r="FJ85" s="43" t="str">
        <f t="shared" si="714"/>
        <v/>
      </c>
      <c r="FK85" s="43" t="str">
        <f t="shared" si="715"/>
        <v/>
      </c>
      <c r="FL85" s="43" t="str">
        <f t="shared" si="716"/>
        <v/>
      </c>
      <c r="FM85" s="43" t="str">
        <f t="shared" si="717"/>
        <v/>
      </c>
      <c r="FN85" s="43" t="str">
        <f t="shared" si="718"/>
        <v/>
      </c>
      <c r="FO85" s="43" t="str">
        <f t="shared" si="719"/>
        <v/>
      </c>
      <c r="FP85" s="43" t="str">
        <f t="shared" si="720"/>
        <v/>
      </c>
      <c r="FQ85" s="43" t="str">
        <f t="shared" si="721"/>
        <v/>
      </c>
      <c r="FR85" s="43" t="str">
        <f t="shared" si="722"/>
        <v/>
      </c>
      <c r="FS85" s="43" t="str">
        <f t="shared" si="723"/>
        <v/>
      </c>
    </row>
    <row r="86" ht="15" spans="1:175">
      <c r="A86" s="10"/>
      <c r="B86" s="45" t="s">
        <v>364</v>
      </c>
      <c r="C86" s="10" t="s">
        <v>365</v>
      </c>
      <c r="E86" s="75"/>
      <c r="F86" s="19"/>
      <c r="G86" s="15"/>
      <c r="H86" s="15"/>
      <c r="I86" s="15"/>
      <c r="J86" s="15"/>
      <c r="K86" s="15"/>
      <c r="L86" s="15"/>
      <c r="M86" s="15"/>
      <c r="N86" s="15"/>
      <c r="O86" s="15"/>
      <c r="P86" s="78"/>
      <c r="Q86" s="78"/>
      <c r="R86" s="78"/>
      <c r="S86" s="81"/>
      <c r="T86" s="79"/>
      <c r="U86" s="80" t="s">
        <v>366</v>
      </c>
      <c r="V86" s="41">
        <v>300000</v>
      </c>
      <c r="Z86" s="41">
        <v>1500000</v>
      </c>
      <c r="AG86" s="85"/>
      <c r="AJ86" s="41">
        <v>5</v>
      </c>
      <c r="AK86" s="41">
        <v>5</v>
      </c>
      <c r="AL86" s="85"/>
      <c r="BC86" s="86"/>
      <c r="BD86" s="86"/>
      <c r="BL86" s="41">
        <v>5</v>
      </c>
      <c r="BM86" s="41">
        <v>1</v>
      </c>
      <c r="BN86" s="41">
        <v>5</v>
      </c>
      <c r="CU86" s="71" t="str">
        <f t="shared" si="869"/>
        <v>|n攻击+300000|n生命值+1500000|n物理伤害+5%|n法术伤害+5%|n杀敌攻击+5|n杀敌业力+1|n杀敌生命+5|n</v>
      </c>
      <c r="CV86" s="5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6"/>
      <c r="CX86" s="6"/>
      <c r="CY86" s="6"/>
      <c r="CZ86" s="6"/>
      <c r="DA86" s="6"/>
      <c r="DB86" s="43" t="str">
        <f t="shared" si="654"/>
        <v>|n攻击+300000</v>
      </c>
      <c r="DC86" s="43" t="str">
        <f t="shared" si="655"/>
        <v/>
      </c>
      <c r="DD86" s="43" t="str">
        <f t="shared" si="656"/>
        <v/>
      </c>
      <c r="DE86" s="43" t="str">
        <f t="shared" si="657"/>
        <v/>
      </c>
      <c r="DF86" s="43" t="str">
        <f t="shared" si="658"/>
        <v>|n生命值+1500000</v>
      </c>
      <c r="DG86" s="43" t="str">
        <f t="shared" si="659"/>
        <v/>
      </c>
      <c r="DH86" s="43" t="str">
        <f t="shared" si="660"/>
        <v/>
      </c>
      <c r="DI86" s="43" t="str">
        <f t="shared" si="661"/>
        <v/>
      </c>
      <c r="DJ86" s="43" t="str">
        <f t="shared" si="662"/>
        <v/>
      </c>
      <c r="DK86" s="43" t="str">
        <f t="shared" si="663"/>
        <v/>
      </c>
      <c r="DL86" s="43" t="str">
        <f t="shared" si="664"/>
        <v/>
      </c>
      <c r="DM86" s="43" t="str">
        <f t="shared" si="665"/>
        <v/>
      </c>
      <c r="DN86" s="43" t="str">
        <f t="shared" si="666"/>
        <v/>
      </c>
      <c r="DO86" s="43" t="str">
        <f t="shared" si="667"/>
        <v/>
      </c>
      <c r="DP86" s="43" t="str">
        <f t="shared" si="668"/>
        <v>|n物理伤害+5%</v>
      </c>
      <c r="DQ86" s="43" t="str">
        <f t="shared" si="669"/>
        <v>|n法术伤害+5%</v>
      </c>
      <c r="DR86" s="43" t="str">
        <f t="shared" si="670"/>
        <v/>
      </c>
      <c r="DS86" s="43" t="str">
        <f t="shared" si="671"/>
        <v/>
      </c>
      <c r="DT86" s="43" t="str">
        <f t="shared" si="672"/>
        <v/>
      </c>
      <c r="DU86" s="43" t="str">
        <f t="shared" si="673"/>
        <v/>
      </c>
      <c r="DV86" s="43" t="str">
        <f t="shared" si="674"/>
        <v/>
      </c>
      <c r="DW86" s="43" t="str">
        <f t="shared" si="675"/>
        <v/>
      </c>
      <c r="DX86" s="43" t="str">
        <f t="shared" si="676"/>
        <v/>
      </c>
      <c r="DY86" s="43" t="str">
        <f t="shared" si="677"/>
        <v/>
      </c>
      <c r="DZ86" s="43" t="str">
        <f t="shared" si="678"/>
        <v/>
      </c>
      <c r="EA86" s="43" t="str">
        <f t="shared" si="679"/>
        <v/>
      </c>
      <c r="EB86" s="43" t="str">
        <f t="shared" si="680"/>
        <v/>
      </c>
      <c r="EC86" s="43" t="str">
        <f t="shared" si="681"/>
        <v/>
      </c>
      <c r="ED86" s="43" t="str">
        <f t="shared" si="682"/>
        <v/>
      </c>
      <c r="EE86" s="43" t="str">
        <f t="shared" si="683"/>
        <v/>
      </c>
      <c r="EF86" s="43" t="str">
        <f t="shared" si="684"/>
        <v/>
      </c>
      <c r="EG86" s="43" t="str">
        <f t="shared" si="685"/>
        <v/>
      </c>
      <c r="EH86" s="43" t="str">
        <f t="shared" si="686"/>
        <v/>
      </c>
      <c r="EI86" s="43" t="str">
        <f t="shared" si="687"/>
        <v/>
      </c>
      <c r="EJ86" s="43" t="str">
        <f t="shared" si="688"/>
        <v/>
      </c>
      <c r="EK86" s="43" t="str">
        <f t="shared" si="689"/>
        <v/>
      </c>
      <c r="EL86" s="43" t="str">
        <f t="shared" si="690"/>
        <v/>
      </c>
      <c r="EM86" s="43" t="str">
        <f t="shared" si="691"/>
        <v/>
      </c>
      <c r="EN86" s="43" t="str">
        <f t="shared" si="692"/>
        <v/>
      </c>
      <c r="EO86" s="43" t="str">
        <f t="shared" si="693"/>
        <v/>
      </c>
      <c r="EP86" s="43" t="str">
        <f t="shared" si="694"/>
        <v/>
      </c>
      <c r="EQ86" s="43" t="str">
        <f t="shared" si="695"/>
        <v/>
      </c>
      <c r="ER86" s="43" t="str">
        <f t="shared" si="696"/>
        <v>|n杀敌攻击+5</v>
      </c>
      <c r="ES86" s="43" t="str">
        <f t="shared" si="697"/>
        <v>|n杀敌业力+1</v>
      </c>
      <c r="ET86" s="43" t="str">
        <f t="shared" si="698"/>
        <v>|n杀敌生命+5</v>
      </c>
      <c r="EU86" s="43" t="str">
        <f t="shared" si="699"/>
        <v/>
      </c>
      <c r="EV86" s="43" t="str">
        <f t="shared" si="700"/>
        <v/>
      </c>
      <c r="EW86" s="43" t="str">
        <f t="shared" si="701"/>
        <v/>
      </c>
      <c r="EX86" s="43" t="str">
        <f t="shared" si="702"/>
        <v/>
      </c>
      <c r="EY86" s="43" t="str">
        <f t="shared" si="703"/>
        <v/>
      </c>
      <c r="EZ86" s="43" t="str">
        <f t="shared" si="704"/>
        <v/>
      </c>
      <c r="FA86" s="43" t="str">
        <f t="shared" si="705"/>
        <v/>
      </c>
      <c r="FB86" s="43" t="str">
        <f t="shared" si="706"/>
        <v/>
      </c>
      <c r="FC86" s="43" t="str">
        <f t="shared" si="707"/>
        <v/>
      </c>
      <c r="FD86" s="43" t="str">
        <f t="shared" si="708"/>
        <v/>
      </c>
      <c r="FE86" s="43" t="str">
        <f t="shared" si="709"/>
        <v/>
      </c>
      <c r="FF86" s="43" t="str">
        <f t="shared" si="710"/>
        <v/>
      </c>
      <c r="FG86" s="43" t="str">
        <f t="shared" si="711"/>
        <v/>
      </c>
      <c r="FH86" s="43" t="str">
        <f t="shared" si="712"/>
        <v/>
      </c>
      <c r="FI86" s="43" t="str">
        <f t="shared" si="713"/>
        <v/>
      </c>
      <c r="FJ86" s="43" t="str">
        <f t="shared" si="714"/>
        <v/>
      </c>
      <c r="FK86" s="43" t="str">
        <f t="shared" si="715"/>
        <v/>
      </c>
      <c r="FL86" s="43" t="str">
        <f t="shared" si="716"/>
        <v/>
      </c>
      <c r="FM86" s="43" t="str">
        <f t="shared" si="717"/>
        <v/>
      </c>
      <c r="FN86" s="43" t="str">
        <f t="shared" si="718"/>
        <v/>
      </c>
      <c r="FO86" s="43" t="str">
        <f t="shared" si="719"/>
        <v/>
      </c>
      <c r="FP86" s="43" t="str">
        <f t="shared" si="720"/>
        <v/>
      </c>
      <c r="FQ86" s="43" t="str">
        <f t="shared" si="721"/>
        <v/>
      </c>
      <c r="FR86" s="43" t="str">
        <f t="shared" si="722"/>
        <v/>
      </c>
      <c r="FS86" s="43" t="str">
        <f t="shared" si="723"/>
        <v/>
      </c>
    </row>
    <row r="87" ht="15" spans="1:175">
      <c r="A87" s="10"/>
      <c r="B87" s="45" t="s">
        <v>367</v>
      </c>
      <c r="C87" s="10" t="s">
        <v>368</v>
      </c>
      <c r="E87" s="75"/>
      <c r="F87" s="19"/>
      <c r="G87" s="15"/>
      <c r="H87" s="15"/>
      <c r="I87" s="15"/>
      <c r="J87" s="15"/>
      <c r="K87" s="15"/>
      <c r="L87" s="15"/>
      <c r="M87" s="15"/>
      <c r="N87" s="15"/>
      <c r="O87" s="15"/>
      <c r="P87" s="78"/>
      <c r="Q87" s="78"/>
      <c r="R87" s="78"/>
      <c r="S87" s="81"/>
      <c r="T87" s="79"/>
      <c r="U87" s="80" t="s">
        <v>369</v>
      </c>
      <c r="V87" s="41">
        <v>500000</v>
      </c>
      <c r="Z87" s="41">
        <v>2500000</v>
      </c>
      <c r="AG87" s="85"/>
      <c r="AJ87" s="41">
        <v>5</v>
      </c>
      <c r="AK87" s="41">
        <v>5</v>
      </c>
      <c r="AL87" s="85"/>
      <c r="BC87" s="86"/>
      <c r="BD87" s="86"/>
      <c r="BL87" s="41">
        <v>5</v>
      </c>
      <c r="BM87" s="41">
        <v>1</v>
      </c>
      <c r="BN87" s="41">
        <v>5</v>
      </c>
      <c r="CU87" s="71" t="str">
        <f t="shared" si="869"/>
        <v>|n攻击+500000|n生命值+2500000|n物理伤害+5%|n法术伤害+5%|n杀敌攻击+5|n杀敌业力+1|n杀敌生命+5|n</v>
      </c>
      <c r="CV87" s="5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6"/>
      <c r="CX87" s="6"/>
      <c r="CY87" s="6"/>
      <c r="CZ87" s="6"/>
      <c r="DA87" s="6"/>
      <c r="DB87" s="43" t="str">
        <f t="shared" si="654"/>
        <v>|n攻击+500000</v>
      </c>
      <c r="DC87" s="43" t="str">
        <f t="shared" si="655"/>
        <v/>
      </c>
      <c r="DD87" s="43" t="str">
        <f t="shared" si="656"/>
        <v/>
      </c>
      <c r="DE87" s="43" t="str">
        <f t="shared" si="657"/>
        <v/>
      </c>
      <c r="DF87" s="43" t="str">
        <f t="shared" si="658"/>
        <v>|n生命值+2500000</v>
      </c>
      <c r="DG87" s="43" t="str">
        <f t="shared" si="659"/>
        <v/>
      </c>
      <c r="DH87" s="43" t="str">
        <f t="shared" si="660"/>
        <v/>
      </c>
      <c r="DI87" s="43" t="str">
        <f t="shared" si="661"/>
        <v/>
      </c>
      <c r="DJ87" s="43" t="str">
        <f t="shared" si="662"/>
        <v/>
      </c>
      <c r="DK87" s="43" t="str">
        <f t="shared" si="663"/>
        <v/>
      </c>
      <c r="DL87" s="43" t="str">
        <f t="shared" si="664"/>
        <v/>
      </c>
      <c r="DM87" s="43" t="str">
        <f t="shared" si="665"/>
        <v/>
      </c>
      <c r="DN87" s="43" t="str">
        <f t="shared" si="666"/>
        <v/>
      </c>
      <c r="DO87" s="43" t="str">
        <f t="shared" si="667"/>
        <v/>
      </c>
      <c r="DP87" s="43" t="str">
        <f t="shared" si="668"/>
        <v>|n物理伤害+5%</v>
      </c>
      <c r="DQ87" s="43" t="str">
        <f t="shared" si="669"/>
        <v>|n法术伤害+5%</v>
      </c>
      <c r="DR87" s="43" t="str">
        <f t="shared" si="670"/>
        <v/>
      </c>
      <c r="DS87" s="43" t="str">
        <f t="shared" si="671"/>
        <v/>
      </c>
      <c r="DT87" s="43" t="str">
        <f t="shared" si="672"/>
        <v/>
      </c>
      <c r="DU87" s="43" t="str">
        <f t="shared" si="673"/>
        <v/>
      </c>
      <c r="DV87" s="43" t="str">
        <f t="shared" si="674"/>
        <v/>
      </c>
      <c r="DW87" s="43" t="str">
        <f t="shared" si="675"/>
        <v/>
      </c>
      <c r="DX87" s="43" t="str">
        <f t="shared" si="676"/>
        <v/>
      </c>
      <c r="DY87" s="43" t="str">
        <f t="shared" si="677"/>
        <v/>
      </c>
      <c r="DZ87" s="43" t="str">
        <f t="shared" si="678"/>
        <v/>
      </c>
      <c r="EA87" s="43" t="str">
        <f t="shared" si="679"/>
        <v/>
      </c>
      <c r="EB87" s="43" t="str">
        <f t="shared" si="680"/>
        <v/>
      </c>
      <c r="EC87" s="43" t="str">
        <f t="shared" si="681"/>
        <v/>
      </c>
      <c r="ED87" s="43" t="str">
        <f t="shared" si="682"/>
        <v/>
      </c>
      <c r="EE87" s="43" t="str">
        <f t="shared" si="683"/>
        <v/>
      </c>
      <c r="EF87" s="43" t="str">
        <f t="shared" si="684"/>
        <v/>
      </c>
      <c r="EG87" s="43" t="str">
        <f t="shared" si="685"/>
        <v/>
      </c>
      <c r="EH87" s="43" t="str">
        <f t="shared" si="686"/>
        <v/>
      </c>
      <c r="EI87" s="43" t="str">
        <f t="shared" si="687"/>
        <v/>
      </c>
      <c r="EJ87" s="43" t="str">
        <f t="shared" si="688"/>
        <v/>
      </c>
      <c r="EK87" s="43" t="str">
        <f t="shared" si="689"/>
        <v/>
      </c>
      <c r="EL87" s="43" t="str">
        <f t="shared" si="690"/>
        <v/>
      </c>
      <c r="EM87" s="43" t="str">
        <f t="shared" si="691"/>
        <v/>
      </c>
      <c r="EN87" s="43" t="str">
        <f t="shared" si="692"/>
        <v/>
      </c>
      <c r="EO87" s="43" t="str">
        <f t="shared" si="693"/>
        <v/>
      </c>
      <c r="EP87" s="43" t="str">
        <f t="shared" si="694"/>
        <v/>
      </c>
      <c r="EQ87" s="43" t="str">
        <f t="shared" si="695"/>
        <v/>
      </c>
      <c r="ER87" s="43" t="str">
        <f t="shared" si="696"/>
        <v>|n杀敌攻击+5</v>
      </c>
      <c r="ES87" s="43" t="str">
        <f t="shared" si="697"/>
        <v>|n杀敌业力+1</v>
      </c>
      <c r="ET87" s="43" t="str">
        <f t="shared" si="698"/>
        <v>|n杀敌生命+5</v>
      </c>
      <c r="EU87" s="43" t="str">
        <f t="shared" si="699"/>
        <v/>
      </c>
      <c r="EV87" s="43" t="str">
        <f t="shared" si="700"/>
        <v/>
      </c>
      <c r="EW87" s="43" t="str">
        <f t="shared" si="701"/>
        <v/>
      </c>
      <c r="EX87" s="43" t="str">
        <f t="shared" si="702"/>
        <v/>
      </c>
      <c r="EY87" s="43" t="str">
        <f t="shared" si="703"/>
        <v/>
      </c>
      <c r="EZ87" s="43" t="str">
        <f t="shared" si="704"/>
        <v/>
      </c>
      <c r="FA87" s="43" t="str">
        <f t="shared" si="705"/>
        <v/>
      </c>
      <c r="FB87" s="43" t="str">
        <f t="shared" si="706"/>
        <v/>
      </c>
      <c r="FC87" s="43" t="str">
        <f t="shared" si="707"/>
        <v/>
      </c>
      <c r="FD87" s="43" t="str">
        <f t="shared" si="708"/>
        <v/>
      </c>
      <c r="FE87" s="43" t="str">
        <f t="shared" si="709"/>
        <v/>
      </c>
      <c r="FF87" s="43" t="str">
        <f t="shared" si="710"/>
        <v/>
      </c>
      <c r="FG87" s="43" t="str">
        <f t="shared" si="711"/>
        <v/>
      </c>
      <c r="FH87" s="43" t="str">
        <f t="shared" si="712"/>
        <v/>
      </c>
      <c r="FI87" s="43" t="str">
        <f t="shared" si="713"/>
        <v/>
      </c>
      <c r="FJ87" s="43" t="str">
        <f t="shared" si="714"/>
        <v/>
      </c>
      <c r="FK87" s="43" t="str">
        <f t="shared" si="715"/>
        <v/>
      </c>
      <c r="FL87" s="43" t="str">
        <f t="shared" si="716"/>
        <v/>
      </c>
      <c r="FM87" s="43" t="str">
        <f t="shared" si="717"/>
        <v/>
      </c>
      <c r="FN87" s="43" t="str">
        <f t="shared" si="718"/>
        <v/>
      </c>
      <c r="FO87" s="43" t="str">
        <f t="shared" si="719"/>
        <v/>
      </c>
      <c r="FP87" s="43" t="str">
        <f t="shared" si="720"/>
        <v/>
      </c>
      <c r="FQ87" s="43" t="str">
        <f t="shared" si="721"/>
        <v/>
      </c>
      <c r="FR87" s="43" t="str">
        <f t="shared" si="722"/>
        <v/>
      </c>
      <c r="FS87" s="43" t="str">
        <f t="shared" si="723"/>
        <v/>
      </c>
    </row>
    <row r="88" ht="15" spans="1:175">
      <c r="A88" s="4"/>
      <c r="B88" s="4" t="s">
        <v>370</v>
      </c>
      <c r="C88" s="4" t="s">
        <v>371</v>
      </c>
      <c r="T88" s="4" t="s">
        <v>371</v>
      </c>
      <c r="U88" s="59" t="s">
        <v>372</v>
      </c>
      <c r="CN88" s="12" t="str">
        <f t="shared" ref="CN88:CN89" si="940">"InitUnitState('"&amp;B88&amp;"',"&amp;V88&amp;","&amp;W88&amp;","&amp;X88&amp;","&amp;Y88&amp;","&amp;Z88&amp;","&amp;AA88&amp;","&amp;AB88&amp;","&amp;AC88&amp;","&amp;AD88&amp;","&amp;AE88&amp;")"</f>
        <v>InitUnitState('CS21',,,,,,,,,,)</v>
      </c>
      <c r="CO88" s="12" t="str">
        <f t="shared" ref="CO88:CO89" si="941">"InitUnitNormal('"&amp;B88&amp;"',"&amp;AF88&amp;","&amp;AG88&amp;","&amp;AH88&amp;","&amp;AI88&amp;","&amp;AJ88&amp;","&amp;AK88&amp;","&amp;AL88&amp;","&amp;AM88&amp;","&amp;AN88&amp;","&amp;AO88&amp;")"</f>
        <v>InitUnitNormal('CS21',,,,,,,,,,)</v>
      </c>
      <c r="CP88" s="12" t="str">
        <f t="shared" ref="CP88:CP89" si="942">"InitUnitMagic('"&amp;B88&amp;"',"&amp;AP88&amp;","&amp;AQ88&amp;","&amp;AR88&amp;","&amp;AS88&amp;","&amp;AT88&amp;","&amp;AU88&amp;","&amp;AV88&amp;","&amp;AW88&amp;","&amp;BI88&amp;","&amp;BJ88&amp;")"</f>
        <v>InitUnitMagic('CS21',,,,,,,,,,)</v>
      </c>
      <c r="CQ88" s="12" t="str">
        <f t="shared" ref="CQ88:CQ89" si="943">"InitUnitAdd('"&amp;B88&amp;"',"&amp;BK88&amp;","&amp;BL88&amp;","&amp;BM88&amp;","&amp;BN88&amp;","&amp;BO88&amp;","&amp;BP88&amp;","&amp;BQ88&amp;","&amp;BR88&amp;","&amp;BS88&amp;","&amp;BT88&amp;")"</f>
        <v>InitUnitAdd('CS21',,,,,,,,,,)</v>
      </c>
      <c r="CR88" s="12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InitEquipData('CS21',,"",,,,,'','','','','','',"ReplaceableTextures\\CommandButtons\\BTN012.blp")</v>
      </c>
      <c r="CU88" s="71" t="str">
        <f t="shared" ref="CU88:CU89" si="944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5" t="str">
        <f t="shared" ref="CV88:CV89" si="945">T88</f>
        <v>升品质</v>
      </c>
      <c r="CW88" s="6"/>
      <c r="CX88" s="6"/>
      <c r="CY88" s="6"/>
      <c r="CZ88" s="6"/>
      <c r="DA88" s="6"/>
      <c r="DB88" s="43" t="str">
        <f t="shared" ref="DB88:DB89" si="946">IF(V88="","","|n"&amp;DB$2&amp;"+"&amp;V88&amp;DB$1)</f>
        <v/>
      </c>
      <c r="DC88" s="43" t="str">
        <f t="shared" ref="DC88:DC89" si="947">IF(W88="","","|n"&amp;DC$2&amp;"+"&amp;W88&amp;DC$1)</f>
        <v/>
      </c>
      <c r="DD88" s="43" t="str">
        <f t="shared" ref="DD88:DD89" si="948">IF(X88="","","|n"&amp;DD$2&amp;"+"&amp;X88&amp;DD$1)</f>
        <v/>
      </c>
      <c r="DE88" s="43" t="str">
        <f t="shared" ref="DE88:DE89" si="949">IF(Y88="","","|n"&amp;DE$2&amp;"+"&amp;Y88&amp;DE$1)</f>
        <v/>
      </c>
      <c r="DF88" s="43" t="str">
        <f t="shared" ref="DF88:DF89" si="950">IF(Z88="","","|n"&amp;DF$2&amp;"+"&amp;Z88&amp;DF$1)</f>
        <v/>
      </c>
      <c r="DG88" s="43" t="str">
        <f t="shared" ref="DG88:DG89" si="951">IF(AA88="","","|n"&amp;DG$2&amp;"+"&amp;AA88&amp;DG$1)</f>
        <v/>
      </c>
      <c r="DH88" s="43" t="str">
        <f t="shared" ref="DH88:DH89" si="952">IF(AB88="","","|n"&amp;DH$2&amp;"+"&amp;AB88&amp;DH$1)</f>
        <v/>
      </c>
      <c r="DI88" s="43" t="str">
        <f t="shared" ref="DI88:DI89" si="953">IF(AC88="","","|n"&amp;DI$2&amp;"+"&amp;AC88&amp;DI$1)</f>
        <v/>
      </c>
      <c r="DJ88" s="43" t="str">
        <f t="shared" ref="DJ88:DJ89" si="954">IF(AD88="","","|n"&amp;DJ$2&amp;"+"&amp;AD88&amp;DJ$1)</f>
        <v/>
      </c>
      <c r="DK88" s="43" t="str">
        <f t="shared" ref="DK88:DK89" si="955">IF(AE88="","","|n"&amp;DK$2&amp;"+"&amp;AE88&amp;DK$1)</f>
        <v/>
      </c>
      <c r="DL88" s="43" t="str">
        <f t="shared" ref="DL88:DL89" si="956">IF(AF88="","","|n"&amp;DL$2&amp;"+"&amp;AF88&amp;DL$1)</f>
        <v/>
      </c>
      <c r="DM88" s="43" t="str">
        <f t="shared" ref="DM88:DM89" si="957">IF(AG88="","","|n"&amp;DM$2&amp;"+"&amp;AG88&amp;DM$1)</f>
        <v/>
      </c>
      <c r="DN88" s="43" t="str">
        <f t="shared" ref="DN88:DN89" si="958">IF(AH88="","","|n"&amp;DN$2&amp;"+"&amp;AH88&amp;DN$1)</f>
        <v/>
      </c>
      <c r="DO88" s="43" t="str">
        <f t="shared" ref="DO88:DO89" si="959">IF(AI88="","","|n"&amp;DO$2&amp;"+"&amp;AI88&amp;DO$1)</f>
        <v/>
      </c>
      <c r="DP88" s="43" t="str">
        <f t="shared" ref="DP88:DP89" si="960">IF(AJ88="","","|n"&amp;DP$2&amp;"+"&amp;AJ88&amp;DP$1)</f>
        <v/>
      </c>
      <c r="DQ88" s="43" t="str">
        <f t="shared" ref="DQ88:DQ89" si="961">IF(AK88="","","|n"&amp;DQ$2&amp;"+"&amp;AK88&amp;DQ$1)</f>
        <v/>
      </c>
      <c r="DR88" s="43" t="str">
        <f t="shared" ref="DR88:DR89" si="962">IF(AL88="","","|n"&amp;DR$2&amp;"+"&amp;AL88&amp;DR$1)</f>
        <v/>
      </c>
      <c r="DS88" s="43" t="str">
        <f t="shared" ref="DS88:DS89" si="963">IF(AM88="","","|n"&amp;DS$2&amp;"+"&amp;AM88&amp;DS$1)</f>
        <v/>
      </c>
      <c r="DT88" s="43" t="str">
        <f t="shared" ref="DT88:DT89" si="964">IF(AN88="","","|n"&amp;DT$2&amp;"+"&amp;AN88&amp;DT$1)</f>
        <v/>
      </c>
      <c r="DU88" s="43" t="str">
        <f t="shared" ref="DU88:DU89" si="965">IF(AO88="","","|n"&amp;DU$2&amp;"+"&amp;AO88&amp;DU$1)</f>
        <v/>
      </c>
      <c r="DV88" s="43" t="str">
        <f t="shared" ref="DV88:DV89" si="966">IF(AP88="","","|n"&amp;DV$2&amp;"+"&amp;AP88&amp;DV$1)</f>
        <v/>
      </c>
      <c r="DW88" s="43" t="str">
        <f t="shared" ref="DW88:DW89" si="967">IF(AQ88="","","|n"&amp;DW$2&amp;"+"&amp;AQ88&amp;DW$1)</f>
        <v/>
      </c>
      <c r="DX88" s="43" t="str">
        <f t="shared" ref="DX88:DX89" si="968">IF(AR88="","","|n"&amp;DX$2&amp;"+"&amp;AR88&amp;DX$1)</f>
        <v/>
      </c>
      <c r="DY88" s="43" t="str">
        <f t="shared" ref="DY88:DY89" si="969">IF(AS88="","","|n"&amp;DY$2&amp;"+"&amp;AS88&amp;DY$1)</f>
        <v/>
      </c>
      <c r="DZ88" s="43" t="str">
        <f t="shared" ref="DZ88:DZ89" si="970">IF(AT88="","","|n"&amp;DZ$2&amp;"+"&amp;AT88&amp;DZ$1)</f>
        <v/>
      </c>
      <c r="EA88" s="43" t="str">
        <f t="shared" ref="EA88:EA89" si="971">IF(AU88="","","|n"&amp;EA$2&amp;"+"&amp;AU88&amp;EA$1)</f>
        <v/>
      </c>
      <c r="EB88" s="43" t="str">
        <f t="shared" ref="EB88:EB89" si="972">IF(AV88="","","|n"&amp;EB$2&amp;"+"&amp;AV88&amp;EB$1)</f>
        <v/>
      </c>
      <c r="EC88" s="43" t="str">
        <f t="shared" ref="EC88:EC89" si="973">IF(AW88="","","|n"&amp;EC$2&amp;"+"&amp;AW88&amp;EC$1)</f>
        <v/>
      </c>
      <c r="ED88" s="43" t="str">
        <f t="shared" ref="ED88:ED89" si="974">IF(AX88="","","|n"&amp;ED$2&amp;"+"&amp;AX88&amp;ED$1)</f>
        <v/>
      </c>
      <c r="EE88" s="43" t="str">
        <f t="shared" ref="EE88:EE89" si="975">IF(AY88="","","|n"&amp;EE$2&amp;"+"&amp;AY88&amp;EE$1)</f>
        <v/>
      </c>
      <c r="EF88" s="43" t="str">
        <f t="shared" ref="EF88:EF89" si="976">IF(AZ88="","","|n"&amp;EF$2&amp;"+"&amp;AZ88&amp;EF$1)</f>
        <v/>
      </c>
      <c r="EG88" s="43" t="str">
        <f t="shared" ref="EG88:EG89" si="977">IF(BA88="","","|n"&amp;EG$2&amp;"+"&amp;BA88&amp;EG$1)</f>
        <v/>
      </c>
      <c r="EH88" s="43" t="str">
        <f t="shared" ref="EH88:EH89" si="978">IF(BB88="","","|n"&amp;EH$2&amp;"+"&amp;BB88&amp;EH$1)</f>
        <v/>
      </c>
      <c r="EI88" s="43" t="str">
        <f t="shared" ref="EI88:EI89" si="979">IF(BC88="","","|n"&amp;EI$2&amp;"+"&amp;BC88&amp;EI$1)</f>
        <v/>
      </c>
      <c r="EJ88" s="43" t="str">
        <f t="shared" ref="EJ88:EJ89" si="980">IF(BD88="","","|n"&amp;EJ$2&amp;"+"&amp;BD88&amp;EJ$1)</f>
        <v/>
      </c>
      <c r="EK88" s="43" t="str">
        <f t="shared" ref="EK88:EK89" si="981">IF(BE88="","","|n"&amp;EK$2&amp;"+"&amp;BE88&amp;EK$1)</f>
        <v/>
      </c>
      <c r="EL88" s="43" t="str">
        <f t="shared" ref="EL88:EL89" si="982">IF(BF88="","","|n"&amp;EL$2&amp;"+"&amp;BF88&amp;EL$1)</f>
        <v/>
      </c>
      <c r="EM88" s="43" t="str">
        <f t="shared" ref="EM88:EM89" si="983">IF(BG88="","","|n"&amp;EM$2&amp;"+"&amp;BG88&amp;EM$1)</f>
        <v/>
      </c>
      <c r="EN88" s="43" t="str">
        <f t="shared" ref="EN88:EN89" si="984">IF(BH88="","","|n"&amp;EN$2&amp;"+"&amp;BH88&amp;EN$1)</f>
        <v/>
      </c>
      <c r="EO88" s="43" t="str">
        <f t="shared" ref="EO88:EO89" si="985">IF(BI88="","","|n"&amp;EO$2&amp;"+"&amp;BI88&amp;EO$1)</f>
        <v/>
      </c>
      <c r="EP88" s="43" t="str">
        <f t="shared" ref="EP88:EP89" si="986">IF(BJ88="","","|n"&amp;EP$2&amp;"+"&amp;BJ88&amp;EP$1)</f>
        <v/>
      </c>
      <c r="EQ88" s="43" t="str">
        <f t="shared" ref="EQ88:EQ89" si="987">IF(BK88="","","|n"&amp;EQ$2&amp;"+"&amp;BK88&amp;EQ$1)</f>
        <v/>
      </c>
      <c r="ER88" s="43" t="str">
        <f t="shared" ref="ER88:ER89" si="988">IF(BL88="","","|n"&amp;ER$2&amp;"+"&amp;BL88&amp;ER$1)</f>
        <v/>
      </c>
      <c r="ES88" s="43" t="str">
        <f t="shared" ref="ES88:ES89" si="989">IF(BM88="","","|n"&amp;ES$2&amp;"+"&amp;BM88&amp;ES$1)</f>
        <v/>
      </c>
      <c r="ET88" s="43" t="str">
        <f t="shared" ref="ET88:ET89" si="990">IF(BN88="","","|n"&amp;ET$2&amp;"+"&amp;BN88&amp;ET$1)</f>
        <v/>
      </c>
      <c r="EU88" s="43" t="str">
        <f t="shared" ref="EU88:EU89" si="991">IF(BO88="","","|n"&amp;EU$2&amp;"+"&amp;BO88&amp;EU$1)</f>
        <v/>
      </c>
      <c r="EV88" s="43" t="str">
        <f t="shared" ref="EV88:EV89" si="992">IF(BP88="","","|n"&amp;EV$2&amp;"+"&amp;BP88&amp;EV$1)</f>
        <v/>
      </c>
      <c r="EW88" s="43" t="str">
        <f t="shared" ref="EW88:EW89" si="993">IF(BQ88="","","|n"&amp;EW$2&amp;"+"&amp;BQ88&amp;EW$1)</f>
        <v/>
      </c>
      <c r="EX88" s="43" t="str">
        <f t="shared" ref="EX88:EX89" si="994">IF(BR88="","","|n"&amp;EX$2&amp;"+"&amp;BR88&amp;EX$1)</f>
        <v/>
      </c>
      <c r="EY88" s="43" t="str">
        <f t="shared" ref="EY88:EY89" si="995">IF(BS88="","","|n"&amp;EY$2&amp;"+"&amp;BS88&amp;EY$1)</f>
        <v/>
      </c>
      <c r="EZ88" s="43" t="str">
        <f t="shared" ref="EZ88:EZ89" si="996">IF(BT88="","","|n"&amp;EZ$2&amp;"+"&amp;BT88&amp;EZ$1)</f>
        <v/>
      </c>
      <c r="FA88" s="43" t="str">
        <f t="shared" ref="FA88:FA89" si="997">IF(BU88="","","|n"&amp;FA$2&amp;"+"&amp;BU88&amp;FA$1)</f>
        <v/>
      </c>
      <c r="FB88" s="43" t="str">
        <f t="shared" ref="FB88:FB89" si="998">IF(BV88="","","|n"&amp;FB$2&amp;"+"&amp;BV88&amp;FB$1)</f>
        <v/>
      </c>
      <c r="FC88" s="43" t="str">
        <f t="shared" ref="FC88:FC89" si="999">IF(BW88="","","|n"&amp;FC$2&amp;"+"&amp;BW88&amp;FC$1)</f>
        <v/>
      </c>
      <c r="FD88" s="43" t="str">
        <f t="shared" ref="FD88:FD89" si="1000">IF(BX88="","","|n"&amp;FD$2&amp;"+"&amp;BX88&amp;FD$1)</f>
        <v/>
      </c>
      <c r="FE88" s="43" t="str">
        <f t="shared" ref="FE88:FE89" si="1001">IF(BY88="","","|n"&amp;FE$2&amp;"+"&amp;BY88&amp;FE$1)</f>
        <v/>
      </c>
      <c r="FF88" s="43" t="str">
        <f t="shared" ref="FF88:FF89" si="1002">IF(BZ88="","","|n"&amp;FF$2&amp;"+"&amp;BZ88&amp;FF$1)</f>
        <v/>
      </c>
      <c r="FG88" s="43" t="str">
        <f t="shared" ref="FG88:FG89" si="1003">IF(CA88="","","|n"&amp;FG$2&amp;"+"&amp;CA88&amp;FG$1)</f>
        <v/>
      </c>
      <c r="FH88" s="43" t="str">
        <f t="shared" ref="FH88:FH89" si="1004">IF(CB88="","","|n"&amp;FH$2&amp;"+"&amp;CB88&amp;FH$1)</f>
        <v/>
      </c>
      <c r="FI88" s="43" t="str">
        <f t="shared" ref="FI88:FI89" si="1005">IF(CC88="","","|n"&amp;FI$2&amp;"+"&amp;CC88&amp;FI$1)</f>
        <v/>
      </c>
      <c r="FJ88" s="43" t="str">
        <f t="shared" ref="FJ88:FJ89" si="1006">IF(CD88="","","|n"&amp;FJ$2&amp;"+"&amp;CD88&amp;FJ$1)</f>
        <v/>
      </c>
      <c r="FK88" s="43" t="str">
        <f t="shared" ref="FK88:FK89" si="1007">IF(CE88="","","|n"&amp;FK$2&amp;"+"&amp;CE88&amp;FK$1)</f>
        <v/>
      </c>
      <c r="FL88" s="43" t="str">
        <f t="shared" ref="FL88:FL89" si="1008">IF(CF88="","","|n"&amp;FL$2&amp;"+"&amp;CF88&amp;FL$1)</f>
        <v/>
      </c>
      <c r="FM88" s="43" t="str">
        <f t="shared" ref="FM88:FM89" si="1009">IF(CG88="","","|n"&amp;FM$2&amp;"+"&amp;CG88&amp;FM$1)</f>
        <v/>
      </c>
      <c r="FN88" s="43" t="str">
        <f t="shared" ref="FN88:FN89" si="1010">IF(CH88="","","|n"&amp;FN$2&amp;"+"&amp;CH88&amp;FN$1)</f>
        <v/>
      </c>
      <c r="FO88" s="43" t="str">
        <f t="shared" ref="FO88:FO89" si="1011">IF(CI88="","","|n"&amp;FO$2&amp;"+"&amp;CI88&amp;FO$1)</f>
        <v/>
      </c>
      <c r="FP88" s="43" t="str">
        <f t="shared" ref="FP88:FP89" si="1012">IF(CJ88="","","|n"&amp;FP$2&amp;"+"&amp;CJ88&amp;FP$1)</f>
        <v/>
      </c>
      <c r="FQ88" s="43" t="str">
        <f t="shared" ref="FQ88:FQ89" si="1013">IF(CK88="","","|n"&amp;FQ$2&amp;"+"&amp;CK88&amp;FQ$1)</f>
        <v/>
      </c>
      <c r="FR88" s="43" t="str">
        <f t="shared" ref="FR88:FR89" si="1014">IF(CL88="","","|n"&amp;FR$2&amp;"+"&amp;CL88&amp;FR$1)</f>
        <v/>
      </c>
      <c r="FS88" s="43" t="str">
        <f t="shared" ref="FS88:FS89" si="1015">IF(CM88="","","|n"&amp;FS$2&amp;"+"&amp;CM88&amp;FS$1)</f>
        <v/>
      </c>
    </row>
    <row r="89" ht="15" spans="1:175">
      <c r="A89" s="4"/>
      <c r="B89" s="4" t="s">
        <v>373</v>
      </c>
      <c r="C89" s="4" t="s">
        <v>374</v>
      </c>
      <c r="T89" s="4" t="s">
        <v>374</v>
      </c>
      <c r="U89" s="59" t="s">
        <v>375</v>
      </c>
      <c r="CN89" s="12" t="str">
        <f t="shared" si="940"/>
        <v>InitUnitState('CS22',,,,,,,,,,)</v>
      </c>
      <c r="CO89" s="12" t="str">
        <f t="shared" si="941"/>
        <v>InitUnitNormal('CS22',,,,,,,,,,)</v>
      </c>
      <c r="CP89" s="12" t="str">
        <f t="shared" si="942"/>
        <v>InitUnitMagic('CS22',,,,,,,,,,)</v>
      </c>
      <c r="CQ89" s="12" t="str">
        <f t="shared" si="943"/>
        <v>InitUnitAdd('CS22',,,,,,,,,,)</v>
      </c>
      <c r="CR89" s="12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92&amp;CR$1&amp;")"</f>
        <v>InitEquipData('CS22',,"",,,,,'','','','','','',"ReplaceableTextures\\CommandButtons\\BTNCF01.blp")</v>
      </c>
      <c r="CU89" s="71" t="str">
        <f t="shared" si="944"/>
        <v>|n</v>
      </c>
      <c r="CV89" s="5" t="str">
        <f t="shared" si="945"/>
        <v>升S品质</v>
      </c>
      <c r="CW89" s="6"/>
      <c r="CX89" s="6"/>
      <c r="CY89" s="6"/>
      <c r="CZ89" s="6"/>
      <c r="DA89" s="6"/>
      <c r="DB89" s="43" t="str">
        <f t="shared" si="946"/>
        <v/>
      </c>
      <c r="DC89" s="43" t="str">
        <f t="shared" si="947"/>
        <v/>
      </c>
      <c r="DD89" s="43" t="str">
        <f t="shared" si="948"/>
        <v/>
      </c>
      <c r="DE89" s="43" t="str">
        <f t="shared" si="949"/>
        <v/>
      </c>
      <c r="DF89" s="43" t="str">
        <f t="shared" si="950"/>
        <v/>
      </c>
      <c r="DG89" s="43" t="str">
        <f t="shared" si="951"/>
        <v/>
      </c>
      <c r="DH89" s="43" t="str">
        <f t="shared" si="952"/>
        <v/>
      </c>
      <c r="DI89" s="43" t="str">
        <f t="shared" si="953"/>
        <v/>
      </c>
      <c r="DJ89" s="43" t="str">
        <f t="shared" si="954"/>
        <v/>
      </c>
      <c r="DK89" s="43" t="str">
        <f t="shared" si="955"/>
        <v/>
      </c>
      <c r="DL89" s="43" t="str">
        <f t="shared" si="956"/>
        <v/>
      </c>
      <c r="DM89" s="43" t="str">
        <f t="shared" si="957"/>
        <v/>
      </c>
      <c r="DN89" s="43" t="str">
        <f t="shared" si="958"/>
        <v/>
      </c>
      <c r="DO89" s="43" t="str">
        <f t="shared" si="959"/>
        <v/>
      </c>
      <c r="DP89" s="43" t="str">
        <f t="shared" si="960"/>
        <v/>
      </c>
      <c r="DQ89" s="43" t="str">
        <f t="shared" si="961"/>
        <v/>
      </c>
      <c r="DR89" s="43" t="str">
        <f t="shared" si="962"/>
        <v/>
      </c>
      <c r="DS89" s="43" t="str">
        <f t="shared" si="963"/>
        <v/>
      </c>
      <c r="DT89" s="43" t="str">
        <f t="shared" si="964"/>
        <v/>
      </c>
      <c r="DU89" s="43" t="str">
        <f t="shared" si="965"/>
        <v/>
      </c>
      <c r="DV89" s="43" t="str">
        <f t="shared" si="966"/>
        <v/>
      </c>
      <c r="DW89" s="43" t="str">
        <f t="shared" si="967"/>
        <v/>
      </c>
      <c r="DX89" s="43" t="str">
        <f t="shared" si="968"/>
        <v/>
      </c>
      <c r="DY89" s="43" t="str">
        <f t="shared" si="969"/>
        <v/>
      </c>
      <c r="DZ89" s="43" t="str">
        <f t="shared" si="970"/>
        <v/>
      </c>
      <c r="EA89" s="43" t="str">
        <f t="shared" si="971"/>
        <v/>
      </c>
      <c r="EB89" s="43" t="str">
        <f t="shared" si="972"/>
        <v/>
      </c>
      <c r="EC89" s="43" t="str">
        <f t="shared" si="973"/>
        <v/>
      </c>
      <c r="ED89" s="43" t="str">
        <f t="shared" si="974"/>
        <v/>
      </c>
      <c r="EE89" s="43" t="str">
        <f t="shared" si="975"/>
        <v/>
      </c>
      <c r="EF89" s="43" t="str">
        <f t="shared" si="976"/>
        <v/>
      </c>
      <c r="EG89" s="43" t="str">
        <f t="shared" si="977"/>
        <v/>
      </c>
      <c r="EH89" s="43" t="str">
        <f t="shared" si="978"/>
        <v/>
      </c>
      <c r="EI89" s="43" t="str">
        <f t="shared" si="979"/>
        <v/>
      </c>
      <c r="EJ89" s="43" t="str">
        <f t="shared" si="980"/>
        <v/>
      </c>
      <c r="EK89" s="43" t="str">
        <f t="shared" si="981"/>
        <v/>
      </c>
      <c r="EL89" s="43" t="str">
        <f t="shared" si="982"/>
        <v/>
      </c>
      <c r="EM89" s="43" t="str">
        <f t="shared" si="983"/>
        <v/>
      </c>
      <c r="EN89" s="43" t="str">
        <f t="shared" si="984"/>
        <v/>
      </c>
      <c r="EO89" s="43" t="str">
        <f t="shared" si="985"/>
        <v/>
      </c>
      <c r="EP89" s="43" t="str">
        <f t="shared" si="986"/>
        <v/>
      </c>
      <c r="EQ89" s="43" t="str">
        <f t="shared" si="987"/>
        <v/>
      </c>
      <c r="ER89" s="43" t="str">
        <f t="shared" si="988"/>
        <v/>
      </c>
      <c r="ES89" s="43" t="str">
        <f t="shared" si="989"/>
        <v/>
      </c>
      <c r="ET89" s="43" t="str">
        <f t="shared" si="990"/>
        <v/>
      </c>
      <c r="EU89" s="43" t="str">
        <f t="shared" si="991"/>
        <v/>
      </c>
      <c r="EV89" s="43" t="str">
        <f t="shared" si="992"/>
        <v/>
      </c>
      <c r="EW89" s="43" t="str">
        <f t="shared" si="993"/>
        <v/>
      </c>
      <c r="EX89" s="43" t="str">
        <f t="shared" si="994"/>
        <v/>
      </c>
      <c r="EY89" s="43" t="str">
        <f t="shared" si="995"/>
        <v/>
      </c>
      <c r="EZ89" s="43" t="str">
        <f t="shared" si="996"/>
        <v/>
      </c>
      <c r="FA89" s="43" t="str">
        <f t="shared" si="997"/>
        <v/>
      </c>
      <c r="FB89" s="43" t="str">
        <f t="shared" si="998"/>
        <v/>
      </c>
      <c r="FC89" s="43" t="str">
        <f t="shared" si="999"/>
        <v/>
      </c>
      <c r="FD89" s="43" t="str">
        <f t="shared" si="1000"/>
        <v/>
      </c>
      <c r="FE89" s="43" t="str">
        <f t="shared" si="1001"/>
        <v/>
      </c>
      <c r="FF89" s="43" t="str">
        <f t="shared" si="1002"/>
        <v/>
      </c>
      <c r="FG89" s="43" t="str">
        <f t="shared" si="1003"/>
        <v/>
      </c>
      <c r="FH89" s="43" t="str">
        <f t="shared" si="1004"/>
        <v/>
      </c>
      <c r="FI89" s="43" t="str">
        <f t="shared" si="1005"/>
        <v/>
      </c>
      <c r="FJ89" s="43" t="str">
        <f t="shared" si="1006"/>
        <v/>
      </c>
      <c r="FK89" s="43" t="str">
        <f t="shared" si="1007"/>
        <v/>
      </c>
      <c r="FL89" s="43" t="str">
        <f t="shared" si="1008"/>
        <v/>
      </c>
      <c r="FM89" s="43" t="str">
        <f t="shared" si="1009"/>
        <v/>
      </c>
      <c r="FN89" s="43" t="str">
        <f t="shared" si="1010"/>
        <v/>
      </c>
      <c r="FO89" s="43" t="str">
        <f t="shared" si="1011"/>
        <v/>
      </c>
      <c r="FP89" s="43" t="str">
        <f t="shared" si="1012"/>
        <v/>
      </c>
      <c r="FQ89" s="43" t="str">
        <f t="shared" si="1013"/>
        <v/>
      </c>
      <c r="FR89" s="43" t="str">
        <f t="shared" si="1014"/>
        <v/>
      </c>
      <c r="FS89" s="43" t="str">
        <f t="shared" si="1015"/>
        <v/>
      </c>
    </row>
    <row r="90" ht="15" spans="1:175">
      <c r="A90" s="4"/>
      <c r="B90" s="4" t="s">
        <v>376</v>
      </c>
      <c r="C90" s="4" t="s">
        <v>377</v>
      </c>
      <c r="T90" s="4" t="s">
        <v>377</v>
      </c>
      <c r="U90" s="59" t="s">
        <v>372</v>
      </c>
      <c r="CN90" s="12" t="str">
        <f t="shared" ref="CN90" si="1016">"InitUnitState('"&amp;B90&amp;"',"&amp;V90&amp;","&amp;W90&amp;","&amp;X90&amp;","&amp;Y90&amp;","&amp;Z90&amp;","&amp;AA90&amp;","&amp;AB90&amp;","&amp;AC90&amp;","&amp;AD90&amp;","&amp;AE90&amp;")"</f>
        <v>InitUnitState('CS23',,,,,,,,,,)</v>
      </c>
      <c r="CO90" s="12" t="str">
        <f t="shared" ref="CO90" si="1017">"InitUnitNormal('"&amp;B90&amp;"',"&amp;AF90&amp;","&amp;AG90&amp;","&amp;AH90&amp;","&amp;AI90&amp;","&amp;AJ90&amp;","&amp;AK90&amp;","&amp;AL90&amp;","&amp;AM90&amp;","&amp;AN90&amp;","&amp;AO90&amp;")"</f>
        <v>InitUnitNormal('CS23',,,,,,,,,,)</v>
      </c>
      <c r="CP90" s="12" t="str">
        <f t="shared" ref="CP90" si="1018">"InitUnitMagic('"&amp;B90&amp;"',"&amp;AP90&amp;","&amp;AQ90&amp;","&amp;AR90&amp;","&amp;AS90&amp;","&amp;AT90&amp;","&amp;AU90&amp;","&amp;AV90&amp;","&amp;AW90&amp;","&amp;BI90&amp;","&amp;BJ90&amp;")"</f>
        <v>InitUnitMagic('CS23',,,,,,,,,,)</v>
      </c>
      <c r="CQ90" s="12" t="str">
        <f t="shared" ref="CQ90" si="1019">"InitUnitAdd('"&amp;B90&amp;"',"&amp;BK90&amp;","&amp;BL90&amp;","&amp;BM90&amp;","&amp;BN90&amp;","&amp;BO90&amp;","&amp;BP90&amp;","&amp;BQ90&amp;","&amp;BR90&amp;","&amp;BS90&amp;","&amp;BT90&amp;")"</f>
        <v>InitUnitAdd('CS23',,,,,,,,,,)</v>
      </c>
      <c r="CR90" s="12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93&amp;CR$1&amp;")"</f>
        <v>InitEquipData('CS23',,"",,,,,'','','','','','',"ReplaceableTextures\\CommandButtons\\BTNI001.blp")</v>
      </c>
      <c r="CU90" s="71" t="str">
        <f t="shared" ref="CU90" si="1020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5" t="str">
        <f t="shared" ref="CV90" si="1021">T90</f>
        <v>劣质升品质</v>
      </c>
      <c r="CW90" s="6"/>
      <c r="CX90" s="6"/>
      <c r="CY90" s="6"/>
      <c r="CZ90" s="6"/>
      <c r="DA90" s="6"/>
      <c r="DB90" s="43" t="str">
        <f t="shared" ref="DB90" si="1022">IF(V90="","","|n"&amp;DB$2&amp;"+"&amp;V90&amp;DB$1)</f>
        <v/>
      </c>
      <c r="DC90" s="43" t="str">
        <f t="shared" ref="DC90" si="1023">IF(W90="","","|n"&amp;DC$2&amp;"+"&amp;W90&amp;DC$1)</f>
        <v/>
      </c>
      <c r="DD90" s="43" t="str">
        <f t="shared" ref="DD90" si="1024">IF(X90="","","|n"&amp;DD$2&amp;"+"&amp;X90&amp;DD$1)</f>
        <v/>
      </c>
      <c r="DE90" s="43" t="str">
        <f t="shared" ref="DE90" si="1025">IF(Y90="","","|n"&amp;DE$2&amp;"+"&amp;Y90&amp;DE$1)</f>
        <v/>
      </c>
      <c r="DF90" s="43" t="str">
        <f t="shared" ref="DF90" si="1026">IF(Z90="","","|n"&amp;DF$2&amp;"+"&amp;Z90&amp;DF$1)</f>
        <v/>
      </c>
      <c r="DG90" s="43" t="str">
        <f t="shared" ref="DG90" si="1027">IF(AA90="","","|n"&amp;DG$2&amp;"+"&amp;AA90&amp;DG$1)</f>
        <v/>
      </c>
      <c r="DH90" s="43" t="str">
        <f t="shared" ref="DH90" si="1028">IF(AB90="","","|n"&amp;DH$2&amp;"+"&amp;AB90&amp;DH$1)</f>
        <v/>
      </c>
      <c r="DI90" s="43" t="str">
        <f t="shared" ref="DI90" si="1029">IF(AC90="","","|n"&amp;DI$2&amp;"+"&amp;AC90&amp;DI$1)</f>
        <v/>
      </c>
      <c r="DJ90" s="43" t="str">
        <f t="shared" ref="DJ90" si="1030">IF(AD90="","","|n"&amp;DJ$2&amp;"+"&amp;AD90&amp;DJ$1)</f>
        <v/>
      </c>
      <c r="DK90" s="43" t="str">
        <f t="shared" ref="DK90" si="1031">IF(AE90="","","|n"&amp;DK$2&amp;"+"&amp;AE90&amp;DK$1)</f>
        <v/>
      </c>
      <c r="DL90" s="43" t="str">
        <f t="shared" ref="DL90" si="1032">IF(AF90="","","|n"&amp;DL$2&amp;"+"&amp;AF90&amp;DL$1)</f>
        <v/>
      </c>
      <c r="DM90" s="43" t="str">
        <f t="shared" ref="DM90" si="1033">IF(AG90="","","|n"&amp;DM$2&amp;"+"&amp;AG90&amp;DM$1)</f>
        <v/>
      </c>
      <c r="DN90" s="43" t="str">
        <f t="shared" ref="DN90" si="1034">IF(AH90="","","|n"&amp;DN$2&amp;"+"&amp;AH90&amp;DN$1)</f>
        <v/>
      </c>
      <c r="DO90" s="43" t="str">
        <f t="shared" ref="DO90" si="1035">IF(AI90="","","|n"&amp;DO$2&amp;"+"&amp;AI90&amp;DO$1)</f>
        <v/>
      </c>
      <c r="DP90" s="43" t="str">
        <f t="shared" ref="DP90" si="1036">IF(AJ90="","","|n"&amp;DP$2&amp;"+"&amp;AJ90&amp;DP$1)</f>
        <v/>
      </c>
      <c r="DQ90" s="43" t="str">
        <f t="shared" ref="DQ90" si="1037">IF(AK90="","","|n"&amp;DQ$2&amp;"+"&amp;AK90&amp;DQ$1)</f>
        <v/>
      </c>
      <c r="DR90" s="43" t="str">
        <f t="shared" ref="DR90" si="1038">IF(AL90="","","|n"&amp;DR$2&amp;"+"&amp;AL90&amp;DR$1)</f>
        <v/>
      </c>
      <c r="DS90" s="43" t="str">
        <f t="shared" ref="DS90" si="1039">IF(AM90="","","|n"&amp;DS$2&amp;"+"&amp;AM90&amp;DS$1)</f>
        <v/>
      </c>
      <c r="DT90" s="43" t="str">
        <f t="shared" ref="DT90" si="1040">IF(AN90="","","|n"&amp;DT$2&amp;"+"&amp;AN90&amp;DT$1)</f>
        <v/>
      </c>
      <c r="DU90" s="43" t="str">
        <f t="shared" ref="DU90" si="1041">IF(AO90="","","|n"&amp;DU$2&amp;"+"&amp;AO90&amp;DU$1)</f>
        <v/>
      </c>
      <c r="DV90" s="43" t="str">
        <f t="shared" ref="DV90" si="1042">IF(AP90="","","|n"&amp;DV$2&amp;"+"&amp;AP90&amp;DV$1)</f>
        <v/>
      </c>
      <c r="DW90" s="43" t="str">
        <f t="shared" ref="DW90" si="1043">IF(AQ90="","","|n"&amp;DW$2&amp;"+"&amp;AQ90&amp;DW$1)</f>
        <v/>
      </c>
      <c r="DX90" s="43" t="str">
        <f t="shared" ref="DX90" si="1044">IF(AR90="","","|n"&amp;DX$2&amp;"+"&amp;AR90&amp;DX$1)</f>
        <v/>
      </c>
      <c r="DY90" s="43" t="str">
        <f t="shared" ref="DY90" si="1045">IF(AS90="","","|n"&amp;DY$2&amp;"+"&amp;AS90&amp;DY$1)</f>
        <v/>
      </c>
      <c r="DZ90" s="43" t="str">
        <f t="shared" ref="DZ90" si="1046">IF(AT90="","","|n"&amp;DZ$2&amp;"+"&amp;AT90&amp;DZ$1)</f>
        <v/>
      </c>
      <c r="EA90" s="43" t="str">
        <f t="shared" ref="EA90" si="1047">IF(AU90="","","|n"&amp;EA$2&amp;"+"&amp;AU90&amp;EA$1)</f>
        <v/>
      </c>
      <c r="EB90" s="43" t="str">
        <f t="shared" ref="EB90" si="1048">IF(AV90="","","|n"&amp;EB$2&amp;"+"&amp;AV90&amp;EB$1)</f>
        <v/>
      </c>
      <c r="EC90" s="43" t="str">
        <f t="shared" ref="EC90" si="1049">IF(AW90="","","|n"&amp;EC$2&amp;"+"&amp;AW90&amp;EC$1)</f>
        <v/>
      </c>
      <c r="ED90" s="43" t="str">
        <f t="shared" ref="ED90" si="1050">IF(AX90="","","|n"&amp;ED$2&amp;"+"&amp;AX90&amp;ED$1)</f>
        <v/>
      </c>
      <c r="EE90" s="43" t="str">
        <f t="shared" ref="EE90" si="1051">IF(AY90="","","|n"&amp;EE$2&amp;"+"&amp;AY90&amp;EE$1)</f>
        <v/>
      </c>
      <c r="EF90" s="43" t="str">
        <f t="shared" ref="EF90" si="1052">IF(AZ90="","","|n"&amp;EF$2&amp;"+"&amp;AZ90&amp;EF$1)</f>
        <v/>
      </c>
      <c r="EG90" s="43" t="str">
        <f t="shared" ref="EG90" si="1053">IF(BA90="","","|n"&amp;EG$2&amp;"+"&amp;BA90&amp;EG$1)</f>
        <v/>
      </c>
      <c r="EH90" s="43" t="str">
        <f t="shared" ref="EH90" si="1054">IF(BB90="","","|n"&amp;EH$2&amp;"+"&amp;BB90&amp;EH$1)</f>
        <v/>
      </c>
      <c r="EI90" s="43" t="str">
        <f t="shared" ref="EI90" si="1055">IF(BC90="","","|n"&amp;EI$2&amp;"+"&amp;BC90&amp;EI$1)</f>
        <v/>
      </c>
      <c r="EJ90" s="43" t="str">
        <f t="shared" ref="EJ90" si="1056">IF(BD90="","","|n"&amp;EJ$2&amp;"+"&amp;BD90&amp;EJ$1)</f>
        <v/>
      </c>
      <c r="EK90" s="43" t="str">
        <f t="shared" ref="EK90" si="1057">IF(BE90="","","|n"&amp;EK$2&amp;"+"&amp;BE90&amp;EK$1)</f>
        <v/>
      </c>
      <c r="EL90" s="43" t="str">
        <f t="shared" ref="EL90" si="1058">IF(BF90="","","|n"&amp;EL$2&amp;"+"&amp;BF90&amp;EL$1)</f>
        <v/>
      </c>
      <c r="EM90" s="43" t="str">
        <f t="shared" ref="EM90" si="1059">IF(BG90="","","|n"&amp;EM$2&amp;"+"&amp;BG90&amp;EM$1)</f>
        <v/>
      </c>
      <c r="EN90" s="43" t="str">
        <f t="shared" ref="EN90" si="1060">IF(BH90="","","|n"&amp;EN$2&amp;"+"&amp;BH90&amp;EN$1)</f>
        <v/>
      </c>
      <c r="EO90" s="43" t="str">
        <f t="shared" ref="EO90" si="1061">IF(BI90="","","|n"&amp;EO$2&amp;"+"&amp;BI90&amp;EO$1)</f>
        <v/>
      </c>
      <c r="EP90" s="43" t="str">
        <f t="shared" ref="EP90" si="1062">IF(BJ90="","","|n"&amp;EP$2&amp;"+"&amp;BJ90&amp;EP$1)</f>
        <v/>
      </c>
      <c r="EQ90" s="43" t="str">
        <f t="shared" ref="EQ90" si="1063">IF(BK90="","","|n"&amp;EQ$2&amp;"+"&amp;BK90&amp;EQ$1)</f>
        <v/>
      </c>
      <c r="ER90" s="43" t="str">
        <f t="shared" ref="ER90" si="1064">IF(BL90="","","|n"&amp;ER$2&amp;"+"&amp;BL90&amp;ER$1)</f>
        <v/>
      </c>
      <c r="ES90" s="43" t="str">
        <f t="shared" ref="ES90" si="1065">IF(BM90="","","|n"&amp;ES$2&amp;"+"&amp;BM90&amp;ES$1)</f>
        <v/>
      </c>
      <c r="ET90" s="43" t="str">
        <f t="shared" ref="ET90" si="1066">IF(BN90="","","|n"&amp;ET$2&amp;"+"&amp;BN90&amp;ET$1)</f>
        <v/>
      </c>
      <c r="EU90" s="43" t="str">
        <f t="shared" ref="EU90" si="1067">IF(BO90="","","|n"&amp;EU$2&amp;"+"&amp;BO90&amp;EU$1)</f>
        <v/>
      </c>
      <c r="EV90" s="43" t="str">
        <f t="shared" ref="EV90" si="1068">IF(BP90="","","|n"&amp;EV$2&amp;"+"&amp;BP90&amp;EV$1)</f>
        <v/>
      </c>
      <c r="EW90" s="43" t="str">
        <f t="shared" ref="EW90" si="1069">IF(BQ90="","","|n"&amp;EW$2&amp;"+"&amp;BQ90&amp;EW$1)</f>
        <v/>
      </c>
      <c r="EX90" s="43" t="str">
        <f t="shared" ref="EX90" si="1070">IF(BR90="","","|n"&amp;EX$2&amp;"+"&amp;BR90&amp;EX$1)</f>
        <v/>
      </c>
      <c r="EY90" s="43" t="str">
        <f t="shared" ref="EY90" si="1071">IF(BS90="","","|n"&amp;EY$2&amp;"+"&amp;BS90&amp;EY$1)</f>
        <v/>
      </c>
      <c r="EZ90" s="43" t="str">
        <f t="shared" ref="EZ90" si="1072">IF(BT90="","","|n"&amp;EZ$2&amp;"+"&amp;BT90&amp;EZ$1)</f>
        <v/>
      </c>
      <c r="FA90" s="43" t="str">
        <f t="shared" ref="FA90" si="1073">IF(BU90="","","|n"&amp;FA$2&amp;"+"&amp;BU90&amp;FA$1)</f>
        <v/>
      </c>
      <c r="FB90" s="43" t="str">
        <f t="shared" ref="FB90" si="1074">IF(BV90="","","|n"&amp;FB$2&amp;"+"&amp;BV90&amp;FB$1)</f>
        <v/>
      </c>
      <c r="FC90" s="43" t="str">
        <f t="shared" ref="FC90" si="1075">IF(BW90="","","|n"&amp;FC$2&amp;"+"&amp;BW90&amp;FC$1)</f>
        <v/>
      </c>
      <c r="FD90" s="43" t="str">
        <f t="shared" ref="FD90" si="1076">IF(BX90="","","|n"&amp;FD$2&amp;"+"&amp;BX90&amp;FD$1)</f>
        <v/>
      </c>
      <c r="FE90" s="43" t="str">
        <f t="shared" ref="FE90" si="1077">IF(BY90="","","|n"&amp;FE$2&amp;"+"&amp;BY90&amp;FE$1)</f>
        <v/>
      </c>
      <c r="FF90" s="43" t="str">
        <f t="shared" ref="FF90" si="1078">IF(BZ90="","","|n"&amp;FF$2&amp;"+"&amp;BZ90&amp;FF$1)</f>
        <v/>
      </c>
      <c r="FG90" s="43" t="str">
        <f t="shared" ref="FG90" si="1079">IF(CA90="","","|n"&amp;FG$2&amp;"+"&amp;CA90&amp;FG$1)</f>
        <v/>
      </c>
      <c r="FH90" s="43" t="str">
        <f t="shared" ref="FH90" si="1080">IF(CB90="","","|n"&amp;FH$2&amp;"+"&amp;CB90&amp;FH$1)</f>
        <v/>
      </c>
      <c r="FI90" s="43" t="str">
        <f t="shared" ref="FI90" si="1081">IF(CC90="","","|n"&amp;FI$2&amp;"+"&amp;CC90&amp;FI$1)</f>
        <v/>
      </c>
      <c r="FJ90" s="43" t="str">
        <f t="shared" ref="FJ90" si="1082">IF(CD90="","","|n"&amp;FJ$2&amp;"+"&amp;CD90&amp;FJ$1)</f>
        <v/>
      </c>
      <c r="FK90" s="43" t="str">
        <f t="shared" ref="FK90" si="1083">IF(CE90="","","|n"&amp;FK$2&amp;"+"&amp;CE90&amp;FK$1)</f>
        <v/>
      </c>
      <c r="FL90" s="43" t="str">
        <f t="shared" ref="FL90" si="1084">IF(CF90="","","|n"&amp;FL$2&amp;"+"&amp;CF90&amp;FL$1)</f>
        <v/>
      </c>
      <c r="FM90" s="43" t="str">
        <f t="shared" ref="FM90" si="1085">IF(CG90="","","|n"&amp;FM$2&amp;"+"&amp;CG90&amp;FM$1)</f>
        <v/>
      </c>
      <c r="FN90" s="43" t="str">
        <f t="shared" ref="FN90" si="1086">IF(CH90="","","|n"&amp;FN$2&amp;"+"&amp;CH90&amp;FN$1)</f>
        <v/>
      </c>
      <c r="FO90" s="43" t="str">
        <f t="shared" ref="FO90" si="1087">IF(CI90="","","|n"&amp;FO$2&amp;"+"&amp;CI90&amp;FO$1)</f>
        <v/>
      </c>
      <c r="FP90" s="43" t="str">
        <f t="shared" ref="FP90" si="1088">IF(CJ90="","","|n"&amp;FP$2&amp;"+"&amp;CJ90&amp;FP$1)</f>
        <v/>
      </c>
      <c r="FQ90" s="43" t="str">
        <f t="shared" ref="FQ90" si="1089">IF(CK90="","","|n"&amp;FQ$2&amp;"+"&amp;CK90&amp;FQ$1)</f>
        <v/>
      </c>
      <c r="FR90" s="43" t="str">
        <f t="shared" ref="FR90" si="1090">IF(CL90="","","|n"&amp;FR$2&amp;"+"&amp;CL90&amp;FR$1)</f>
        <v/>
      </c>
      <c r="FS90" s="43" t="str">
        <f t="shared" ref="FS90" si="1091">IF(CM90="","","|n"&amp;FS$2&amp;"+"&amp;CM90&amp;FS$1)</f>
        <v/>
      </c>
    </row>
    <row r="91" ht="15" spans="1:175">
      <c r="A91" s="4"/>
      <c r="B91" s="4" t="s">
        <v>378</v>
      </c>
      <c r="C91" s="4" t="s">
        <v>379</v>
      </c>
      <c r="T91" s="4" t="s">
        <v>379</v>
      </c>
      <c r="U91" s="59" t="s">
        <v>372</v>
      </c>
      <c r="CN91" s="12" t="str">
        <f t="shared" ref="CN91" si="1092">"InitUnitState('"&amp;B91&amp;"',"&amp;V91&amp;","&amp;W91&amp;","&amp;X91&amp;","&amp;Y91&amp;","&amp;Z91&amp;","&amp;AA91&amp;","&amp;AB91&amp;","&amp;AC91&amp;","&amp;AD91&amp;","&amp;AE91&amp;")"</f>
        <v>InitUnitState('CS24',,,,,,,,,,)</v>
      </c>
      <c r="CO91" s="12" t="str">
        <f t="shared" ref="CO91" si="1093">"InitUnitNormal('"&amp;B91&amp;"',"&amp;AF91&amp;","&amp;AG91&amp;","&amp;AH91&amp;","&amp;AI91&amp;","&amp;AJ91&amp;","&amp;AK91&amp;","&amp;AL91&amp;","&amp;AM91&amp;","&amp;AN91&amp;","&amp;AO91&amp;")"</f>
        <v>InitUnitNormal('CS24',,,,,,,,,,)</v>
      </c>
      <c r="CP91" s="12" t="str">
        <f t="shared" ref="CP91" si="1094">"InitUnitMagic('"&amp;B91&amp;"',"&amp;AP91&amp;","&amp;AQ91&amp;","&amp;AR91&amp;","&amp;AS91&amp;","&amp;AT91&amp;","&amp;AU91&amp;","&amp;AV91&amp;","&amp;AW91&amp;","&amp;BI91&amp;","&amp;BJ91&amp;")"</f>
        <v>InitUnitMagic('CS24',,,,,,,,,,)</v>
      </c>
      <c r="CQ91" s="12" t="str">
        <f t="shared" ref="CQ91" si="1095">"InitUnitAdd('"&amp;B91&amp;"',"&amp;BK91&amp;","&amp;BL91&amp;","&amp;BM91&amp;","&amp;BN91&amp;","&amp;BO91&amp;","&amp;BP91&amp;","&amp;BQ91&amp;","&amp;BR91&amp;","&amp;BS91&amp;","&amp;BT91&amp;")"</f>
        <v>InitUnitAdd('CS24',,,,,,,,,,)</v>
      </c>
      <c r="CR91" s="12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94&amp;CR$1&amp;")"</f>
        <v>InitEquipData('CS24',,"",,,,,'','','','','','',"ReplaceableTextures\\CommandButtons\\BTNI002.blp")</v>
      </c>
      <c r="CU91" s="71" t="str">
        <f t="shared" ref="CU91" si="1096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5" t="str">
        <f t="shared" ref="CV91" si="1097">T91</f>
        <v>劣质升S品质</v>
      </c>
      <c r="CW91" s="6"/>
      <c r="CX91" s="6"/>
      <c r="CY91" s="6"/>
      <c r="CZ91" s="6"/>
      <c r="DA91" s="6"/>
      <c r="DB91" s="43" t="str">
        <f t="shared" ref="DB91" si="1098">IF(V91="","","|n"&amp;DB$2&amp;"+"&amp;V91&amp;DB$1)</f>
        <v/>
      </c>
      <c r="DC91" s="43" t="str">
        <f t="shared" ref="DC91" si="1099">IF(W91="","","|n"&amp;DC$2&amp;"+"&amp;W91&amp;DC$1)</f>
        <v/>
      </c>
      <c r="DD91" s="43" t="str">
        <f t="shared" ref="DD91" si="1100">IF(X91="","","|n"&amp;DD$2&amp;"+"&amp;X91&amp;DD$1)</f>
        <v/>
      </c>
      <c r="DE91" s="43" t="str">
        <f t="shared" ref="DE91" si="1101">IF(Y91="","","|n"&amp;DE$2&amp;"+"&amp;Y91&amp;DE$1)</f>
        <v/>
      </c>
      <c r="DF91" s="43" t="str">
        <f t="shared" ref="DF91" si="1102">IF(Z91="","","|n"&amp;DF$2&amp;"+"&amp;Z91&amp;DF$1)</f>
        <v/>
      </c>
      <c r="DG91" s="43" t="str">
        <f t="shared" ref="DG91" si="1103">IF(AA91="","","|n"&amp;DG$2&amp;"+"&amp;AA91&amp;DG$1)</f>
        <v/>
      </c>
      <c r="DH91" s="43" t="str">
        <f t="shared" ref="DH91" si="1104">IF(AB91="","","|n"&amp;DH$2&amp;"+"&amp;AB91&amp;DH$1)</f>
        <v/>
      </c>
      <c r="DI91" s="43" t="str">
        <f t="shared" ref="DI91" si="1105">IF(AC91="","","|n"&amp;DI$2&amp;"+"&amp;AC91&amp;DI$1)</f>
        <v/>
      </c>
      <c r="DJ91" s="43" t="str">
        <f t="shared" ref="DJ91" si="1106">IF(AD91="","","|n"&amp;DJ$2&amp;"+"&amp;AD91&amp;DJ$1)</f>
        <v/>
      </c>
      <c r="DK91" s="43" t="str">
        <f t="shared" ref="DK91" si="1107">IF(AE91="","","|n"&amp;DK$2&amp;"+"&amp;AE91&amp;DK$1)</f>
        <v/>
      </c>
      <c r="DL91" s="43" t="str">
        <f t="shared" ref="DL91" si="1108">IF(AF91="","","|n"&amp;DL$2&amp;"+"&amp;AF91&amp;DL$1)</f>
        <v/>
      </c>
      <c r="DM91" s="43" t="str">
        <f t="shared" ref="DM91" si="1109">IF(AG91="","","|n"&amp;DM$2&amp;"+"&amp;AG91&amp;DM$1)</f>
        <v/>
      </c>
      <c r="DN91" s="43" t="str">
        <f t="shared" ref="DN91" si="1110">IF(AH91="","","|n"&amp;DN$2&amp;"+"&amp;AH91&amp;DN$1)</f>
        <v/>
      </c>
      <c r="DO91" s="43" t="str">
        <f t="shared" ref="DO91" si="1111">IF(AI91="","","|n"&amp;DO$2&amp;"+"&amp;AI91&amp;DO$1)</f>
        <v/>
      </c>
      <c r="DP91" s="43" t="str">
        <f t="shared" ref="DP91" si="1112">IF(AJ91="","","|n"&amp;DP$2&amp;"+"&amp;AJ91&amp;DP$1)</f>
        <v/>
      </c>
      <c r="DQ91" s="43" t="str">
        <f t="shared" ref="DQ91" si="1113">IF(AK91="","","|n"&amp;DQ$2&amp;"+"&amp;AK91&amp;DQ$1)</f>
        <v/>
      </c>
      <c r="DR91" s="43" t="str">
        <f t="shared" ref="DR91" si="1114">IF(AL91="","","|n"&amp;DR$2&amp;"+"&amp;AL91&amp;DR$1)</f>
        <v/>
      </c>
      <c r="DS91" s="43" t="str">
        <f t="shared" ref="DS91" si="1115">IF(AM91="","","|n"&amp;DS$2&amp;"+"&amp;AM91&amp;DS$1)</f>
        <v/>
      </c>
      <c r="DT91" s="43" t="str">
        <f t="shared" ref="DT91" si="1116">IF(AN91="","","|n"&amp;DT$2&amp;"+"&amp;AN91&amp;DT$1)</f>
        <v/>
      </c>
      <c r="DU91" s="43" t="str">
        <f t="shared" ref="DU91" si="1117">IF(AO91="","","|n"&amp;DU$2&amp;"+"&amp;AO91&amp;DU$1)</f>
        <v/>
      </c>
      <c r="DV91" s="43" t="str">
        <f t="shared" ref="DV91" si="1118">IF(AP91="","","|n"&amp;DV$2&amp;"+"&amp;AP91&amp;DV$1)</f>
        <v/>
      </c>
      <c r="DW91" s="43" t="str">
        <f t="shared" ref="DW91" si="1119">IF(AQ91="","","|n"&amp;DW$2&amp;"+"&amp;AQ91&amp;DW$1)</f>
        <v/>
      </c>
      <c r="DX91" s="43" t="str">
        <f t="shared" ref="DX91" si="1120">IF(AR91="","","|n"&amp;DX$2&amp;"+"&amp;AR91&amp;DX$1)</f>
        <v/>
      </c>
      <c r="DY91" s="43" t="str">
        <f t="shared" ref="DY91" si="1121">IF(AS91="","","|n"&amp;DY$2&amp;"+"&amp;AS91&amp;DY$1)</f>
        <v/>
      </c>
      <c r="DZ91" s="43" t="str">
        <f t="shared" ref="DZ91" si="1122">IF(AT91="","","|n"&amp;DZ$2&amp;"+"&amp;AT91&amp;DZ$1)</f>
        <v/>
      </c>
      <c r="EA91" s="43" t="str">
        <f t="shared" ref="EA91" si="1123">IF(AU91="","","|n"&amp;EA$2&amp;"+"&amp;AU91&amp;EA$1)</f>
        <v/>
      </c>
      <c r="EB91" s="43" t="str">
        <f t="shared" ref="EB91" si="1124">IF(AV91="","","|n"&amp;EB$2&amp;"+"&amp;AV91&amp;EB$1)</f>
        <v/>
      </c>
      <c r="EC91" s="43" t="str">
        <f t="shared" ref="EC91" si="1125">IF(AW91="","","|n"&amp;EC$2&amp;"+"&amp;AW91&amp;EC$1)</f>
        <v/>
      </c>
      <c r="ED91" s="43" t="str">
        <f t="shared" ref="ED91" si="1126">IF(AX91="","","|n"&amp;ED$2&amp;"+"&amp;AX91&amp;ED$1)</f>
        <v/>
      </c>
      <c r="EE91" s="43" t="str">
        <f t="shared" ref="EE91" si="1127">IF(AY91="","","|n"&amp;EE$2&amp;"+"&amp;AY91&amp;EE$1)</f>
        <v/>
      </c>
      <c r="EF91" s="43" t="str">
        <f t="shared" ref="EF91" si="1128">IF(AZ91="","","|n"&amp;EF$2&amp;"+"&amp;AZ91&amp;EF$1)</f>
        <v/>
      </c>
      <c r="EG91" s="43" t="str">
        <f t="shared" ref="EG91" si="1129">IF(BA91="","","|n"&amp;EG$2&amp;"+"&amp;BA91&amp;EG$1)</f>
        <v/>
      </c>
      <c r="EH91" s="43" t="str">
        <f t="shared" ref="EH91" si="1130">IF(BB91="","","|n"&amp;EH$2&amp;"+"&amp;BB91&amp;EH$1)</f>
        <v/>
      </c>
      <c r="EI91" s="43" t="str">
        <f t="shared" ref="EI91" si="1131">IF(BC91="","","|n"&amp;EI$2&amp;"+"&amp;BC91&amp;EI$1)</f>
        <v/>
      </c>
      <c r="EJ91" s="43" t="str">
        <f t="shared" ref="EJ91" si="1132">IF(BD91="","","|n"&amp;EJ$2&amp;"+"&amp;BD91&amp;EJ$1)</f>
        <v/>
      </c>
      <c r="EK91" s="43" t="str">
        <f t="shared" ref="EK91" si="1133">IF(BE91="","","|n"&amp;EK$2&amp;"+"&amp;BE91&amp;EK$1)</f>
        <v/>
      </c>
      <c r="EL91" s="43" t="str">
        <f t="shared" ref="EL91" si="1134">IF(BF91="","","|n"&amp;EL$2&amp;"+"&amp;BF91&amp;EL$1)</f>
        <v/>
      </c>
      <c r="EM91" s="43" t="str">
        <f t="shared" ref="EM91" si="1135">IF(BG91="","","|n"&amp;EM$2&amp;"+"&amp;BG91&amp;EM$1)</f>
        <v/>
      </c>
      <c r="EN91" s="43" t="str">
        <f t="shared" ref="EN91" si="1136">IF(BH91="","","|n"&amp;EN$2&amp;"+"&amp;BH91&amp;EN$1)</f>
        <v/>
      </c>
      <c r="EO91" s="43" t="str">
        <f t="shared" ref="EO91" si="1137">IF(BI91="","","|n"&amp;EO$2&amp;"+"&amp;BI91&amp;EO$1)</f>
        <v/>
      </c>
      <c r="EP91" s="43" t="str">
        <f t="shared" ref="EP91" si="1138">IF(BJ91="","","|n"&amp;EP$2&amp;"+"&amp;BJ91&amp;EP$1)</f>
        <v/>
      </c>
      <c r="EQ91" s="43" t="str">
        <f t="shared" ref="EQ91" si="1139">IF(BK91="","","|n"&amp;EQ$2&amp;"+"&amp;BK91&amp;EQ$1)</f>
        <v/>
      </c>
      <c r="ER91" s="43" t="str">
        <f t="shared" ref="ER91" si="1140">IF(BL91="","","|n"&amp;ER$2&amp;"+"&amp;BL91&amp;ER$1)</f>
        <v/>
      </c>
      <c r="ES91" s="43" t="str">
        <f t="shared" ref="ES91" si="1141">IF(BM91="","","|n"&amp;ES$2&amp;"+"&amp;BM91&amp;ES$1)</f>
        <v/>
      </c>
      <c r="ET91" s="43" t="str">
        <f t="shared" ref="ET91" si="1142">IF(BN91="","","|n"&amp;ET$2&amp;"+"&amp;BN91&amp;ET$1)</f>
        <v/>
      </c>
      <c r="EU91" s="43" t="str">
        <f t="shared" ref="EU91" si="1143">IF(BO91="","","|n"&amp;EU$2&amp;"+"&amp;BO91&amp;EU$1)</f>
        <v/>
      </c>
      <c r="EV91" s="43" t="str">
        <f t="shared" ref="EV91" si="1144">IF(BP91="","","|n"&amp;EV$2&amp;"+"&amp;BP91&amp;EV$1)</f>
        <v/>
      </c>
      <c r="EW91" s="43" t="str">
        <f t="shared" ref="EW91" si="1145">IF(BQ91="","","|n"&amp;EW$2&amp;"+"&amp;BQ91&amp;EW$1)</f>
        <v/>
      </c>
      <c r="EX91" s="43" t="str">
        <f t="shared" ref="EX91" si="1146">IF(BR91="","","|n"&amp;EX$2&amp;"+"&amp;BR91&amp;EX$1)</f>
        <v/>
      </c>
      <c r="EY91" s="43" t="str">
        <f t="shared" ref="EY91" si="1147">IF(BS91="","","|n"&amp;EY$2&amp;"+"&amp;BS91&amp;EY$1)</f>
        <v/>
      </c>
      <c r="EZ91" s="43" t="str">
        <f t="shared" ref="EZ91" si="1148">IF(BT91="","","|n"&amp;EZ$2&amp;"+"&amp;BT91&amp;EZ$1)</f>
        <v/>
      </c>
      <c r="FA91" s="43" t="str">
        <f t="shared" ref="FA91" si="1149">IF(BU91="","","|n"&amp;FA$2&amp;"+"&amp;BU91&amp;FA$1)</f>
        <v/>
      </c>
      <c r="FB91" s="43" t="str">
        <f t="shared" ref="FB91" si="1150">IF(BV91="","","|n"&amp;FB$2&amp;"+"&amp;BV91&amp;FB$1)</f>
        <v/>
      </c>
      <c r="FC91" s="43" t="str">
        <f t="shared" ref="FC91" si="1151">IF(BW91="","","|n"&amp;FC$2&amp;"+"&amp;BW91&amp;FC$1)</f>
        <v/>
      </c>
      <c r="FD91" s="43" t="str">
        <f t="shared" ref="FD91" si="1152">IF(BX91="","","|n"&amp;FD$2&amp;"+"&amp;BX91&amp;FD$1)</f>
        <v/>
      </c>
      <c r="FE91" s="43" t="str">
        <f t="shared" ref="FE91" si="1153">IF(BY91="","","|n"&amp;FE$2&amp;"+"&amp;BY91&amp;FE$1)</f>
        <v/>
      </c>
      <c r="FF91" s="43" t="str">
        <f t="shared" ref="FF91" si="1154">IF(BZ91="","","|n"&amp;FF$2&amp;"+"&amp;BZ91&amp;FF$1)</f>
        <v/>
      </c>
      <c r="FG91" s="43" t="str">
        <f t="shared" ref="FG91" si="1155">IF(CA91="","","|n"&amp;FG$2&amp;"+"&amp;CA91&amp;FG$1)</f>
        <v/>
      </c>
      <c r="FH91" s="43" t="str">
        <f t="shared" ref="FH91" si="1156">IF(CB91="","","|n"&amp;FH$2&amp;"+"&amp;CB91&amp;FH$1)</f>
        <v/>
      </c>
      <c r="FI91" s="43" t="str">
        <f t="shared" ref="FI91" si="1157">IF(CC91="","","|n"&amp;FI$2&amp;"+"&amp;CC91&amp;FI$1)</f>
        <v/>
      </c>
      <c r="FJ91" s="43" t="str">
        <f t="shared" ref="FJ91" si="1158">IF(CD91="","","|n"&amp;FJ$2&amp;"+"&amp;CD91&amp;FJ$1)</f>
        <v/>
      </c>
      <c r="FK91" s="43" t="str">
        <f t="shared" ref="FK91" si="1159">IF(CE91="","","|n"&amp;FK$2&amp;"+"&amp;CE91&amp;FK$1)</f>
        <v/>
      </c>
      <c r="FL91" s="43" t="str">
        <f t="shared" ref="FL91" si="1160">IF(CF91="","","|n"&amp;FL$2&amp;"+"&amp;CF91&amp;FL$1)</f>
        <v/>
      </c>
      <c r="FM91" s="43" t="str">
        <f t="shared" ref="FM91" si="1161">IF(CG91="","","|n"&amp;FM$2&amp;"+"&amp;CG91&amp;FM$1)</f>
        <v/>
      </c>
      <c r="FN91" s="43" t="str">
        <f t="shared" ref="FN91" si="1162">IF(CH91="","","|n"&amp;FN$2&amp;"+"&amp;CH91&amp;FN$1)</f>
        <v/>
      </c>
      <c r="FO91" s="43" t="str">
        <f t="shared" ref="FO91" si="1163">IF(CI91="","","|n"&amp;FO$2&amp;"+"&amp;CI91&amp;FO$1)</f>
        <v/>
      </c>
      <c r="FP91" s="43" t="str">
        <f t="shared" ref="FP91" si="1164">IF(CJ91="","","|n"&amp;FP$2&amp;"+"&amp;CJ91&amp;FP$1)</f>
        <v/>
      </c>
      <c r="FQ91" s="43" t="str">
        <f t="shared" ref="FQ91" si="1165">IF(CK91="","","|n"&amp;FQ$2&amp;"+"&amp;CK91&amp;FQ$1)</f>
        <v/>
      </c>
      <c r="FR91" s="43" t="str">
        <f t="shared" ref="FR91" si="1166">IF(CL91="","","|n"&amp;FR$2&amp;"+"&amp;CL91&amp;FR$1)</f>
        <v/>
      </c>
      <c r="FS91" s="43" t="str">
        <f t="shared" ref="FS91" si="1167">IF(CM91="","","|n"&amp;FS$2&amp;"+"&amp;CM91&amp;FS$1)</f>
        <v/>
      </c>
    </row>
    <row r="92" ht="43.2" spans="1:175">
      <c r="A92" s="76"/>
      <c r="B92" s="4" t="s">
        <v>380</v>
      </c>
      <c r="C92" s="76" t="s">
        <v>381</v>
      </c>
      <c r="T92" s="82" t="s">
        <v>382</v>
      </c>
      <c r="U92" s="59" t="str">
        <f t="shared" ref="U92:U165" si="1168">"ReplaceableTextures\\CommandButtons\\BTN"&amp;B92&amp;".blp"</f>
        <v>ReplaceableTextures\\CommandButtons\\BTNCF01.blp</v>
      </c>
      <c r="CN92" s="12" t="str">
        <f t="shared" ref="CN92:CN118" si="1169">"InitUnitState('"&amp;B92&amp;"',"&amp;V92&amp;","&amp;W92&amp;","&amp;X92&amp;","&amp;Y92&amp;","&amp;Z92&amp;","&amp;AA92&amp;","&amp;AB92&amp;","&amp;AC92&amp;","&amp;AD92&amp;","&amp;AE92&amp;")"</f>
        <v>InitUnitState('CF01',,,,,,,,,,)</v>
      </c>
      <c r="CO92" s="12" t="str">
        <f t="shared" ref="CO92:CO118" si="1170">"InitUnitNormal('"&amp;B92&amp;"',"&amp;AF92&amp;","&amp;AG92&amp;","&amp;AH92&amp;","&amp;AI92&amp;","&amp;AJ92&amp;","&amp;AK92&amp;","&amp;AL92&amp;","&amp;AM92&amp;","&amp;AN92&amp;","&amp;AO92&amp;")"</f>
        <v>InitUnitNormal('CF01',,,,,,,,,,)</v>
      </c>
      <c r="CP92" s="12" t="str">
        <f t="shared" ref="CP92:CP118" si="1171">"InitUnitMagic('"&amp;B92&amp;"',"&amp;AP92&amp;","&amp;AQ92&amp;","&amp;AR92&amp;","&amp;AS92&amp;","&amp;AT92&amp;","&amp;AU92&amp;","&amp;AV92&amp;","&amp;AW92&amp;","&amp;BI92&amp;","&amp;BJ92&amp;")"</f>
        <v>InitUnitMagic('CF01',,,,,,,,,,)</v>
      </c>
      <c r="CQ92" s="12" t="str">
        <f t="shared" ref="CQ92:CQ118" si="1172">"InitUnitAdd('"&amp;B92&amp;"',"&amp;BK92&amp;","&amp;BL92&amp;","&amp;BM92&amp;","&amp;BN92&amp;","&amp;BO92&amp;","&amp;BP92&amp;","&amp;BQ92&amp;","&amp;BR92&amp;","&amp;BS92&amp;","&amp;BT92&amp;")"</f>
        <v>InitUnitAdd('CF01',,,,,,,,,,)</v>
      </c>
      <c r="CR92" s="12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71" t="str">
        <f t="shared" ref="CU92:CU93" si="1173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5" t="str">
        <f t="shared" ref="CV92:CV93" si="1174">T92</f>
        <v>获得一个随机品质的法宝。|n|n|Cff00ff7f副本难度影响法宝品质稀有度。|r</v>
      </c>
      <c r="CW92" s="6"/>
      <c r="CX92" s="6"/>
      <c r="CY92" s="6"/>
      <c r="CZ92" s="6"/>
      <c r="DA92" s="6"/>
      <c r="DB92" s="43" t="str">
        <f t="shared" ref="DB92:DB93" si="1175">IF(V92="","","|n"&amp;DB$2&amp;"+"&amp;V92&amp;DB$1)</f>
        <v/>
      </c>
      <c r="DC92" s="43" t="str">
        <f t="shared" ref="DC92:DC93" si="1176">IF(W92="","","|n"&amp;DC$2&amp;"+"&amp;W92&amp;DC$1)</f>
        <v/>
      </c>
      <c r="DD92" s="43" t="str">
        <f t="shared" ref="DD92:DD93" si="1177">IF(X92="","","|n"&amp;DD$2&amp;"+"&amp;X92&amp;DD$1)</f>
        <v/>
      </c>
      <c r="DE92" s="43" t="str">
        <f t="shared" ref="DE92:DE93" si="1178">IF(Y92="","","|n"&amp;DE$2&amp;"+"&amp;Y92&amp;DE$1)</f>
        <v/>
      </c>
      <c r="DF92" s="43" t="str">
        <f t="shared" ref="DF92:DF93" si="1179">IF(Z92="","","|n"&amp;DF$2&amp;"+"&amp;Z92&amp;DF$1)</f>
        <v/>
      </c>
      <c r="DG92" s="43" t="str">
        <f t="shared" ref="DG92:DG93" si="1180">IF(AA92="","","|n"&amp;DG$2&amp;"+"&amp;AA92&amp;DG$1)</f>
        <v/>
      </c>
      <c r="DH92" s="43" t="str">
        <f t="shared" ref="DH92:DH93" si="1181">IF(AB92="","","|n"&amp;DH$2&amp;"+"&amp;AB92&amp;DH$1)</f>
        <v/>
      </c>
      <c r="DI92" s="43" t="str">
        <f t="shared" ref="DI92:DI93" si="1182">IF(AC92="","","|n"&amp;DI$2&amp;"+"&amp;AC92&amp;DI$1)</f>
        <v/>
      </c>
      <c r="DJ92" s="43" t="str">
        <f t="shared" ref="DJ92:DJ93" si="1183">IF(AD92="","","|n"&amp;DJ$2&amp;"+"&amp;AD92&amp;DJ$1)</f>
        <v/>
      </c>
      <c r="DK92" s="43" t="str">
        <f t="shared" ref="DK92:DK93" si="1184">IF(AE92="","","|n"&amp;DK$2&amp;"+"&amp;AE92&amp;DK$1)</f>
        <v/>
      </c>
      <c r="DL92" s="43" t="str">
        <f t="shared" ref="DL92:DL93" si="1185">IF(AF92="","","|n"&amp;DL$2&amp;"+"&amp;AF92&amp;DL$1)</f>
        <v/>
      </c>
      <c r="DM92" s="43" t="str">
        <f t="shared" ref="DM92:DM93" si="1186">IF(AG92="","","|n"&amp;DM$2&amp;"+"&amp;AG92&amp;DM$1)</f>
        <v/>
      </c>
      <c r="DN92" s="43" t="str">
        <f t="shared" ref="DN92:DN93" si="1187">IF(AH92="","","|n"&amp;DN$2&amp;"+"&amp;AH92&amp;DN$1)</f>
        <v/>
      </c>
      <c r="DO92" s="43" t="str">
        <f t="shared" ref="DO92:DO93" si="1188">IF(AI92="","","|n"&amp;DO$2&amp;"+"&amp;AI92&amp;DO$1)</f>
        <v/>
      </c>
      <c r="DP92" s="43" t="str">
        <f t="shared" ref="DP92:DP93" si="1189">IF(AJ92="","","|n"&amp;DP$2&amp;"+"&amp;AJ92&amp;DP$1)</f>
        <v/>
      </c>
      <c r="DQ92" s="43" t="str">
        <f t="shared" ref="DQ92:DQ93" si="1190">IF(AK92="","","|n"&amp;DQ$2&amp;"+"&amp;AK92&amp;DQ$1)</f>
        <v/>
      </c>
      <c r="DR92" s="43" t="str">
        <f t="shared" ref="DR92:DR93" si="1191">IF(AL92="","","|n"&amp;DR$2&amp;"+"&amp;AL92&amp;DR$1)</f>
        <v/>
      </c>
      <c r="DS92" s="43" t="str">
        <f t="shared" ref="DS92:DS93" si="1192">IF(AM92="","","|n"&amp;DS$2&amp;"+"&amp;AM92&amp;DS$1)</f>
        <v/>
      </c>
      <c r="DT92" s="43" t="str">
        <f t="shared" ref="DT92:DT93" si="1193">IF(AN92="","","|n"&amp;DT$2&amp;"+"&amp;AN92&amp;DT$1)</f>
        <v/>
      </c>
      <c r="DU92" s="43" t="str">
        <f t="shared" ref="DU92:DU93" si="1194">IF(AO92="","","|n"&amp;DU$2&amp;"+"&amp;AO92&amp;DU$1)</f>
        <v/>
      </c>
      <c r="DV92" s="43" t="str">
        <f t="shared" ref="DV92:DV93" si="1195">IF(AP92="","","|n"&amp;DV$2&amp;"+"&amp;AP92&amp;DV$1)</f>
        <v/>
      </c>
      <c r="DW92" s="43" t="str">
        <f t="shared" ref="DW92:DW93" si="1196">IF(AQ92="","","|n"&amp;DW$2&amp;"+"&amp;AQ92&amp;DW$1)</f>
        <v/>
      </c>
      <c r="DX92" s="43" t="str">
        <f t="shared" ref="DX92:DX93" si="1197">IF(AR92="","","|n"&amp;DX$2&amp;"+"&amp;AR92&amp;DX$1)</f>
        <v/>
      </c>
      <c r="DY92" s="43" t="str">
        <f t="shared" ref="DY92:DY93" si="1198">IF(AS92="","","|n"&amp;DY$2&amp;"+"&amp;AS92&amp;DY$1)</f>
        <v/>
      </c>
      <c r="DZ92" s="43" t="str">
        <f t="shared" ref="DZ92:DZ93" si="1199">IF(AT92="","","|n"&amp;DZ$2&amp;"+"&amp;AT92&amp;DZ$1)</f>
        <v/>
      </c>
      <c r="EA92" s="43" t="str">
        <f t="shared" ref="EA92:EA93" si="1200">IF(AU92="","","|n"&amp;EA$2&amp;"+"&amp;AU92&amp;EA$1)</f>
        <v/>
      </c>
      <c r="EB92" s="43" t="str">
        <f t="shared" ref="EB92:EB93" si="1201">IF(AV92="","","|n"&amp;EB$2&amp;"+"&amp;AV92&amp;EB$1)</f>
        <v/>
      </c>
      <c r="EC92" s="43" t="str">
        <f t="shared" ref="EC92:EC93" si="1202">IF(AW92="","","|n"&amp;EC$2&amp;"+"&amp;AW92&amp;EC$1)</f>
        <v/>
      </c>
      <c r="ED92" s="43" t="str">
        <f t="shared" ref="ED92:ED93" si="1203">IF(AX92="","","|n"&amp;ED$2&amp;"+"&amp;AX92&amp;ED$1)</f>
        <v/>
      </c>
      <c r="EE92" s="43" t="str">
        <f t="shared" ref="EE92:EE93" si="1204">IF(AY92="","","|n"&amp;EE$2&amp;"+"&amp;AY92&amp;EE$1)</f>
        <v/>
      </c>
      <c r="EF92" s="43" t="str">
        <f t="shared" ref="EF92:EF93" si="1205">IF(AZ92="","","|n"&amp;EF$2&amp;"+"&amp;AZ92&amp;EF$1)</f>
        <v/>
      </c>
      <c r="EG92" s="43" t="str">
        <f t="shared" ref="EG92:EG93" si="1206">IF(BA92="","","|n"&amp;EG$2&amp;"+"&amp;BA92&amp;EG$1)</f>
        <v/>
      </c>
      <c r="EH92" s="43" t="str">
        <f t="shared" ref="EH92:EH93" si="1207">IF(BB92="","","|n"&amp;EH$2&amp;"+"&amp;BB92&amp;EH$1)</f>
        <v/>
      </c>
      <c r="EI92" s="43" t="str">
        <f t="shared" ref="EI92:EI93" si="1208">IF(BC92="","","|n"&amp;EI$2&amp;"+"&amp;BC92&amp;EI$1)</f>
        <v/>
      </c>
      <c r="EJ92" s="43" t="str">
        <f t="shared" ref="EJ92:EJ93" si="1209">IF(BD92="","","|n"&amp;EJ$2&amp;"+"&amp;BD92&amp;EJ$1)</f>
        <v/>
      </c>
      <c r="EK92" s="43" t="str">
        <f t="shared" ref="EK92:EK93" si="1210">IF(BE92="","","|n"&amp;EK$2&amp;"+"&amp;BE92&amp;EK$1)</f>
        <v/>
      </c>
      <c r="EL92" s="43" t="str">
        <f t="shared" ref="EL92:EL93" si="1211">IF(BF92="","","|n"&amp;EL$2&amp;"+"&amp;BF92&amp;EL$1)</f>
        <v/>
      </c>
      <c r="EM92" s="43" t="str">
        <f t="shared" ref="EM92:EM93" si="1212">IF(BG92="","","|n"&amp;EM$2&amp;"+"&amp;BG92&amp;EM$1)</f>
        <v/>
      </c>
      <c r="EN92" s="43" t="str">
        <f t="shared" ref="EN92:EN93" si="1213">IF(BH92="","","|n"&amp;EN$2&amp;"+"&amp;BH92&amp;EN$1)</f>
        <v/>
      </c>
      <c r="EO92" s="43" t="str">
        <f t="shared" ref="EO92:EO93" si="1214">IF(BI92="","","|n"&amp;EO$2&amp;"+"&amp;BI92&amp;EO$1)</f>
        <v/>
      </c>
      <c r="EP92" s="43" t="str">
        <f t="shared" ref="EP92:EP93" si="1215">IF(BJ92="","","|n"&amp;EP$2&amp;"+"&amp;BJ92&amp;EP$1)</f>
        <v/>
      </c>
      <c r="EQ92" s="43" t="str">
        <f t="shared" ref="EQ92:EQ93" si="1216">IF(BK92="","","|n"&amp;EQ$2&amp;"+"&amp;BK92&amp;EQ$1)</f>
        <v/>
      </c>
      <c r="ER92" s="43" t="str">
        <f t="shared" ref="ER92:ER93" si="1217">IF(BL92="","","|n"&amp;ER$2&amp;"+"&amp;BL92&amp;ER$1)</f>
        <v/>
      </c>
      <c r="ES92" s="43" t="str">
        <f t="shared" ref="ES92:ES93" si="1218">IF(BM92="","","|n"&amp;ES$2&amp;"+"&amp;BM92&amp;ES$1)</f>
        <v/>
      </c>
      <c r="ET92" s="43" t="str">
        <f t="shared" ref="ET92:ET93" si="1219">IF(BN92="","","|n"&amp;ET$2&amp;"+"&amp;BN92&amp;ET$1)</f>
        <v/>
      </c>
      <c r="EU92" s="43" t="str">
        <f t="shared" ref="EU92:EU93" si="1220">IF(BO92="","","|n"&amp;EU$2&amp;"+"&amp;BO92&amp;EU$1)</f>
        <v/>
      </c>
      <c r="EV92" s="43" t="str">
        <f t="shared" ref="EV92:EV93" si="1221">IF(BP92="","","|n"&amp;EV$2&amp;"+"&amp;BP92&amp;EV$1)</f>
        <v/>
      </c>
      <c r="EW92" s="43" t="str">
        <f t="shared" ref="EW92:EW93" si="1222">IF(BQ92="","","|n"&amp;EW$2&amp;"+"&amp;BQ92&amp;EW$1)</f>
        <v/>
      </c>
      <c r="EX92" s="43" t="str">
        <f t="shared" ref="EX92:EX93" si="1223">IF(BR92="","","|n"&amp;EX$2&amp;"+"&amp;BR92&amp;EX$1)</f>
        <v/>
      </c>
      <c r="EY92" s="43" t="str">
        <f t="shared" ref="EY92:EY93" si="1224">IF(BS92="","","|n"&amp;EY$2&amp;"+"&amp;BS92&amp;EY$1)</f>
        <v/>
      </c>
      <c r="EZ92" s="43" t="str">
        <f t="shared" ref="EZ92:EZ93" si="1225">IF(BT92="","","|n"&amp;EZ$2&amp;"+"&amp;BT92&amp;EZ$1)</f>
        <v/>
      </c>
      <c r="FA92" s="43" t="str">
        <f t="shared" ref="FA92:FA93" si="1226">IF(BU92="","","|n"&amp;FA$2&amp;"+"&amp;BU92&amp;FA$1)</f>
        <v/>
      </c>
      <c r="FB92" s="43" t="str">
        <f t="shared" ref="FB92:FB93" si="1227">IF(BV92="","","|n"&amp;FB$2&amp;"+"&amp;BV92&amp;FB$1)</f>
        <v/>
      </c>
      <c r="FC92" s="43" t="str">
        <f t="shared" ref="FC92:FC93" si="1228">IF(BW92="","","|n"&amp;FC$2&amp;"+"&amp;BW92&amp;FC$1)</f>
        <v/>
      </c>
      <c r="FD92" s="43" t="str">
        <f t="shared" ref="FD92:FD93" si="1229">IF(BX92="","","|n"&amp;FD$2&amp;"+"&amp;BX92&amp;FD$1)</f>
        <v/>
      </c>
      <c r="FE92" s="43" t="str">
        <f t="shared" ref="FE92:FE93" si="1230">IF(BY92="","","|n"&amp;FE$2&amp;"+"&amp;BY92&amp;FE$1)</f>
        <v/>
      </c>
      <c r="FF92" s="43" t="str">
        <f t="shared" ref="FF92:FF93" si="1231">IF(BZ92="","","|n"&amp;FF$2&amp;"+"&amp;BZ92&amp;FF$1)</f>
        <v/>
      </c>
      <c r="FG92" s="43" t="str">
        <f t="shared" ref="FG92:FG93" si="1232">IF(CA92="","","|n"&amp;FG$2&amp;"+"&amp;CA92&amp;FG$1)</f>
        <v/>
      </c>
      <c r="FH92" s="43" t="str">
        <f t="shared" ref="FH92:FH93" si="1233">IF(CB92="","","|n"&amp;FH$2&amp;"+"&amp;CB92&amp;FH$1)</f>
        <v/>
      </c>
      <c r="FI92" s="43" t="str">
        <f t="shared" ref="FI92:FI93" si="1234">IF(CC92="","","|n"&amp;FI$2&amp;"+"&amp;CC92&amp;FI$1)</f>
        <v/>
      </c>
      <c r="FJ92" s="43" t="str">
        <f t="shared" ref="FJ92:FJ93" si="1235">IF(CD92="","","|n"&amp;FJ$2&amp;"+"&amp;CD92&amp;FJ$1)</f>
        <v/>
      </c>
      <c r="FK92" s="43" t="str">
        <f t="shared" ref="FK92:FK93" si="1236">IF(CE92="","","|n"&amp;FK$2&amp;"+"&amp;CE92&amp;FK$1)</f>
        <v/>
      </c>
      <c r="FL92" s="43" t="str">
        <f t="shared" ref="FL92:FL93" si="1237">IF(CF92="","","|n"&amp;FL$2&amp;"+"&amp;CF92&amp;FL$1)</f>
        <v/>
      </c>
      <c r="FM92" s="43" t="str">
        <f t="shared" ref="FM92:FM93" si="1238">IF(CG92="","","|n"&amp;FM$2&amp;"+"&amp;CG92&amp;FM$1)</f>
        <v/>
      </c>
      <c r="FN92" s="43" t="str">
        <f t="shared" ref="FN92:FN93" si="1239">IF(CH92="","","|n"&amp;FN$2&amp;"+"&amp;CH92&amp;FN$1)</f>
        <v/>
      </c>
      <c r="FO92" s="43" t="str">
        <f t="shared" ref="FO92:FO93" si="1240">IF(CI92="","","|n"&amp;FO$2&amp;"+"&amp;CI92&amp;FO$1)</f>
        <v/>
      </c>
      <c r="FP92" s="43" t="str">
        <f t="shared" ref="FP92:FP93" si="1241">IF(CJ92="","","|n"&amp;FP$2&amp;"+"&amp;CJ92&amp;FP$1)</f>
        <v/>
      </c>
      <c r="FQ92" s="43" t="str">
        <f t="shared" ref="FQ92:FQ93" si="1242">IF(CK92="","","|n"&amp;FQ$2&amp;"+"&amp;CK92&amp;FQ$1)</f>
        <v/>
      </c>
      <c r="FR92" s="43" t="str">
        <f t="shared" ref="FR92:FR93" si="1243">IF(CL92="","","|n"&amp;FR$2&amp;"+"&amp;CL92&amp;FR$1)</f>
        <v/>
      </c>
      <c r="FS92" s="43" t="str">
        <f t="shared" ref="FS92:FS93" si="1244">IF(CM92="","","|n"&amp;FS$2&amp;"+"&amp;CM92&amp;FS$1)</f>
        <v/>
      </c>
    </row>
    <row r="93" ht="15" spans="1:175">
      <c r="A93" s="4"/>
      <c r="B93" s="4" t="s">
        <v>383</v>
      </c>
      <c r="C93" s="4" t="s">
        <v>384</v>
      </c>
      <c r="T93" s="83" t="s">
        <v>385</v>
      </c>
      <c r="U93" s="59" t="str">
        <f t="shared" si="1168"/>
        <v>ReplaceableTextures\\CommandButtons\\BTNI001.blp</v>
      </c>
      <c r="CN93" s="12" t="str">
        <f t="shared" si="1169"/>
        <v>InitUnitState('I001',,,,,,,,,,)</v>
      </c>
      <c r="CO93" s="12" t="str">
        <f t="shared" si="1170"/>
        <v>InitUnitNormal('I001',,,,,,,,,,)</v>
      </c>
      <c r="CP93" s="12" t="str">
        <f t="shared" si="1171"/>
        <v>InitUnitMagic('I001',,,,,,,,,,)</v>
      </c>
      <c r="CQ93" s="12" t="str">
        <f t="shared" si="1172"/>
        <v>InitUnitAdd('I001',,,,,,,,,,)</v>
      </c>
      <c r="CR93" s="12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146&amp;CR$1&amp;")"</f>
        <v>InitEquipData('I001',,"",,,,,'','','','','','',"ReplaceableTextures\\CommandButtons\\BTNIP01.blp")</v>
      </c>
      <c r="CU93" s="71" t="str">
        <f t="shared" si="1173"/>
        <v>|n</v>
      </c>
      <c r="CV93" s="5" t="str">
        <f t="shared" si="1174"/>
        <v>回复|Cffffd24d80%|r生命，|Cff00ff7f解除|r异常状态</v>
      </c>
      <c r="CW93" s="6"/>
      <c r="CX93" s="6"/>
      <c r="CY93" s="6"/>
      <c r="CZ93" s="6"/>
      <c r="DA93" s="6"/>
      <c r="DB93" s="43" t="str">
        <f t="shared" si="1175"/>
        <v/>
      </c>
      <c r="DC93" s="43" t="str">
        <f t="shared" si="1176"/>
        <v/>
      </c>
      <c r="DD93" s="43" t="str">
        <f t="shared" si="1177"/>
        <v/>
      </c>
      <c r="DE93" s="43" t="str">
        <f t="shared" si="1178"/>
        <v/>
      </c>
      <c r="DF93" s="43" t="str">
        <f t="shared" si="1179"/>
        <v/>
      </c>
      <c r="DG93" s="43" t="str">
        <f t="shared" si="1180"/>
        <v/>
      </c>
      <c r="DH93" s="43" t="str">
        <f t="shared" si="1181"/>
        <v/>
      </c>
      <c r="DI93" s="43" t="str">
        <f t="shared" si="1182"/>
        <v/>
      </c>
      <c r="DJ93" s="43" t="str">
        <f t="shared" si="1183"/>
        <v/>
      </c>
      <c r="DK93" s="43" t="str">
        <f t="shared" si="1184"/>
        <v/>
      </c>
      <c r="DL93" s="43" t="str">
        <f t="shared" si="1185"/>
        <v/>
      </c>
      <c r="DM93" s="43" t="str">
        <f t="shared" si="1186"/>
        <v/>
      </c>
      <c r="DN93" s="43" t="str">
        <f t="shared" si="1187"/>
        <v/>
      </c>
      <c r="DO93" s="43" t="str">
        <f t="shared" si="1188"/>
        <v/>
      </c>
      <c r="DP93" s="43" t="str">
        <f t="shared" si="1189"/>
        <v/>
      </c>
      <c r="DQ93" s="43" t="str">
        <f t="shared" si="1190"/>
        <v/>
      </c>
      <c r="DR93" s="43" t="str">
        <f t="shared" si="1191"/>
        <v/>
      </c>
      <c r="DS93" s="43" t="str">
        <f t="shared" si="1192"/>
        <v/>
      </c>
      <c r="DT93" s="43" t="str">
        <f t="shared" si="1193"/>
        <v/>
      </c>
      <c r="DU93" s="43" t="str">
        <f t="shared" si="1194"/>
        <v/>
      </c>
      <c r="DV93" s="43" t="str">
        <f t="shared" si="1195"/>
        <v/>
      </c>
      <c r="DW93" s="43" t="str">
        <f t="shared" si="1196"/>
        <v/>
      </c>
      <c r="DX93" s="43" t="str">
        <f t="shared" si="1197"/>
        <v/>
      </c>
      <c r="DY93" s="43" t="str">
        <f t="shared" si="1198"/>
        <v/>
      </c>
      <c r="DZ93" s="43" t="str">
        <f t="shared" si="1199"/>
        <v/>
      </c>
      <c r="EA93" s="43" t="str">
        <f t="shared" si="1200"/>
        <v/>
      </c>
      <c r="EB93" s="43" t="str">
        <f t="shared" si="1201"/>
        <v/>
      </c>
      <c r="EC93" s="43" t="str">
        <f t="shared" si="1202"/>
        <v/>
      </c>
      <c r="ED93" s="43" t="str">
        <f t="shared" si="1203"/>
        <v/>
      </c>
      <c r="EE93" s="43" t="str">
        <f t="shared" si="1204"/>
        <v/>
      </c>
      <c r="EF93" s="43" t="str">
        <f t="shared" si="1205"/>
        <v/>
      </c>
      <c r="EG93" s="43" t="str">
        <f t="shared" si="1206"/>
        <v/>
      </c>
      <c r="EH93" s="43" t="str">
        <f t="shared" si="1207"/>
        <v/>
      </c>
      <c r="EI93" s="43" t="str">
        <f t="shared" si="1208"/>
        <v/>
      </c>
      <c r="EJ93" s="43" t="str">
        <f t="shared" si="1209"/>
        <v/>
      </c>
      <c r="EK93" s="43" t="str">
        <f t="shared" si="1210"/>
        <v/>
      </c>
      <c r="EL93" s="43" t="str">
        <f t="shared" si="1211"/>
        <v/>
      </c>
      <c r="EM93" s="43" t="str">
        <f t="shared" si="1212"/>
        <v/>
      </c>
      <c r="EN93" s="43" t="str">
        <f t="shared" si="1213"/>
        <v/>
      </c>
      <c r="EO93" s="43" t="str">
        <f t="shared" si="1214"/>
        <v/>
      </c>
      <c r="EP93" s="43" t="str">
        <f t="shared" si="1215"/>
        <v/>
      </c>
      <c r="EQ93" s="43" t="str">
        <f t="shared" si="1216"/>
        <v/>
      </c>
      <c r="ER93" s="43" t="str">
        <f t="shared" si="1217"/>
        <v/>
      </c>
      <c r="ES93" s="43" t="str">
        <f t="shared" si="1218"/>
        <v/>
      </c>
      <c r="ET93" s="43" t="str">
        <f t="shared" si="1219"/>
        <v/>
      </c>
      <c r="EU93" s="43" t="str">
        <f t="shared" si="1220"/>
        <v/>
      </c>
      <c r="EV93" s="43" t="str">
        <f t="shared" si="1221"/>
        <v/>
      </c>
      <c r="EW93" s="43" t="str">
        <f t="shared" si="1222"/>
        <v/>
      </c>
      <c r="EX93" s="43" t="str">
        <f t="shared" si="1223"/>
        <v/>
      </c>
      <c r="EY93" s="43" t="str">
        <f t="shared" si="1224"/>
        <v/>
      </c>
      <c r="EZ93" s="43" t="str">
        <f t="shared" si="1225"/>
        <v/>
      </c>
      <c r="FA93" s="43" t="str">
        <f t="shared" si="1226"/>
        <v/>
      </c>
      <c r="FB93" s="43" t="str">
        <f t="shared" si="1227"/>
        <v/>
      </c>
      <c r="FC93" s="43" t="str">
        <f t="shared" si="1228"/>
        <v/>
      </c>
      <c r="FD93" s="43" t="str">
        <f t="shared" si="1229"/>
        <v/>
      </c>
      <c r="FE93" s="43" t="str">
        <f t="shared" si="1230"/>
        <v/>
      </c>
      <c r="FF93" s="43" t="str">
        <f t="shared" si="1231"/>
        <v/>
      </c>
      <c r="FG93" s="43" t="str">
        <f t="shared" si="1232"/>
        <v/>
      </c>
      <c r="FH93" s="43" t="str">
        <f t="shared" si="1233"/>
        <v/>
      </c>
      <c r="FI93" s="43" t="str">
        <f t="shared" si="1234"/>
        <v/>
      </c>
      <c r="FJ93" s="43" t="str">
        <f t="shared" si="1235"/>
        <v/>
      </c>
      <c r="FK93" s="43" t="str">
        <f t="shared" si="1236"/>
        <v/>
      </c>
      <c r="FL93" s="43" t="str">
        <f t="shared" si="1237"/>
        <v/>
      </c>
      <c r="FM93" s="43" t="str">
        <f t="shared" si="1238"/>
        <v/>
      </c>
      <c r="FN93" s="43" t="str">
        <f t="shared" si="1239"/>
        <v/>
      </c>
      <c r="FO93" s="43" t="str">
        <f t="shared" si="1240"/>
        <v/>
      </c>
      <c r="FP93" s="43" t="str">
        <f t="shared" si="1241"/>
        <v/>
      </c>
      <c r="FQ93" s="43" t="str">
        <f t="shared" si="1242"/>
        <v/>
      </c>
      <c r="FR93" s="43" t="str">
        <f t="shared" si="1243"/>
        <v/>
      </c>
      <c r="FS93" s="43" t="str">
        <f t="shared" si="1244"/>
        <v/>
      </c>
    </row>
    <row r="94" ht="15" spans="1:175">
      <c r="A94" s="4"/>
      <c r="B94" s="4" t="s">
        <v>386</v>
      </c>
      <c r="C94" s="4" t="s">
        <v>387</v>
      </c>
      <c r="T94" s="83" t="s">
        <v>388</v>
      </c>
      <c r="U94" s="59" t="str">
        <f t="shared" si="1168"/>
        <v>ReplaceableTextures\\CommandButtons\\BTNI002.blp</v>
      </c>
      <c r="CN94" s="12" t="str">
        <f t="shared" si="1169"/>
        <v>InitUnitState('I002',,,,,,,,,,)</v>
      </c>
      <c r="CO94" s="12" t="str">
        <f t="shared" si="1170"/>
        <v>InitUnitNormal('I002',,,,,,,,,,)</v>
      </c>
      <c r="CP94" s="12" t="str">
        <f t="shared" si="1171"/>
        <v>InitUnitMagic('I002',,,,,,,,,,)</v>
      </c>
      <c r="CQ94" s="12" t="str">
        <f t="shared" si="1172"/>
        <v>InitUnitAdd('I002',,,,,,,,,,)</v>
      </c>
      <c r="CR94" s="12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InitEquipData('I002',,"",,,,,'','','','','','',"ReplaceableTextures\\CommandButtons\\BTNIP02.blp")</v>
      </c>
      <c r="CU94" s="71" t="str">
        <f t="shared" ref="CU94:CU95" si="1245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5" t="str">
        <f t="shared" ref="CV94:CV95" si="1246">T94</f>
        <v>回复|Cff00bfff70%|r蓝量</v>
      </c>
      <c r="CW94" s="6"/>
      <c r="CX94" s="6"/>
      <c r="CY94" s="6"/>
      <c r="CZ94" s="6"/>
      <c r="DA94" s="6"/>
      <c r="DB94" s="43" t="str">
        <f t="shared" ref="DB94:DB95" si="1247">IF(V94="","","|n"&amp;DB$2&amp;"+"&amp;V94&amp;DB$1)</f>
        <v/>
      </c>
      <c r="DC94" s="43" t="str">
        <f t="shared" ref="DC94:DC95" si="1248">IF(W94="","","|n"&amp;DC$2&amp;"+"&amp;W94&amp;DC$1)</f>
        <v/>
      </c>
      <c r="DD94" s="43" t="str">
        <f t="shared" ref="DD94:DD95" si="1249">IF(X94="","","|n"&amp;DD$2&amp;"+"&amp;X94&amp;DD$1)</f>
        <v/>
      </c>
      <c r="DE94" s="43" t="str">
        <f t="shared" ref="DE94:DE95" si="1250">IF(Y94="","","|n"&amp;DE$2&amp;"+"&amp;Y94&amp;DE$1)</f>
        <v/>
      </c>
      <c r="DF94" s="43" t="str">
        <f t="shared" ref="DF94:DF95" si="1251">IF(Z94="","","|n"&amp;DF$2&amp;"+"&amp;Z94&amp;DF$1)</f>
        <v/>
      </c>
      <c r="DG94" s="43" t="str">
        <f t="shared" ref="DG94:DG95" si="1252">IF(AA94="","","|n"&amp;DG$2&amp;"+"&amp;AA94&amp;DG$1)</f>
        <v/>
      </c>
      <c r="DH94" s="43" t="str">
        <f t="shared" ref="DH94:DH95" si="1253">IF(AB94="","","|n"&amp;DH$2&amp;"+"&amp;AB94&amp;DH$1)</f>
        <v/>
      </c>
      <c r="DI94" s="43" t="str">
        <f t="shared" ref="DI94:DI95" si="1254">IF(AC94="","","|n"&amp;DI$2&amp;"+"&amp;AC94&amp;DI$1)</f>
        <v/>
      </c>
      <c r="DJ94" s="43" t="str">
        <f t="shared" ref="DJ94:DJ95" si="1255">IF(AD94="","","|n"&amp;DJ$2&amp;"+"&amp;AD94&amp;DJ$1)</f>
        <v/>
      </c>
      <c r="DK94" s="43" t="str">
        <f t="shared" ref="DK94:DK95" si="1256">IF(AE94="","","|n"&amp;DK$2&amp;"+"&amp;AE94&amp;DK$1)</f>
        <v/>
      </c>
      <c r="DL94" s="43" t="str">
        <f t="shared" ref="DL94:DL95" si="1257">IF(AF94="","","|n"&amp;DL$2&amp;"+"&amp;AF94&amp;DL$1)</f>
        <v/>
      </c>
      <c r="DM94" s="43" t="str">
        <f t="shared" ref="DM94:DM95" si="1258">IF(AG94="","","|n"&amp;DM$2&amp;"+"&amp;AG94&amp;DM$1)</f>
        <v/>
      </c>
      <c r="DN94" s="43" t="str">
        <f t="shared" ref="DN94:DN95" si="1259">IF(AH94="","","|n"&amp;DN$2&amp;"+"&amp;AH94&amp;DN$1)</f>
        <v/>
      </c>
      <c r="DO94" s="43" t="str">
        <f t="shared" ref="DO94:DO95" si="1260">IF(AI94="","","|n"&amp;DO$2&amp;"+"&amp;AI94&amp;DO$1)</f>
        <v/>
      </c>
      <c r="DP94" s="43" t="str">
        <f t="shared" ref="DP94:DP95" si="1261">IF(AJ94="","","|n"&amp;DP$2&amp;"+"&amp;AJ94&amp;DP$1)</f>
        <v/>
      </c>
      <c r="DQ94" s="43" t="str">
        <f t="shared" ref="DQ94:DQ95" si="1262">IF(AK94="","","|n"&amp;DQ$2&amp;"+"&amp;AK94&amp;DQ$1)</f>
        <v/>
      </c>
      <c r="DR94" s="43" t="str">
        <f t="shared" ref="DR94:DR95" si="1263">IF(AL94="","","|n"&amp;DR$2&amp;"+"&amp;AL94&amp;DR$1)</f>
        <v/>
      </c>
      <c r="DS94" s="43" t="str">
        <f t="shared" ref="DS94:DS95" si="1264">IF(AM94="","","|n"&amp;DS$2&amp;"+"&amp;AM94&amp;DS$1)</f>
        <v/>
      </c>
      <c r="DT94" s="43" t="str">
        <f t="shared" ref="DT94:DT95" si="1265">IF(AN94="","","|n"&amp;DT$2&amp;"+"&amp;AN94&amp;DT$1)</f>
        <v/>
      </c>
      <c r="DU94" s="43" t="str">
        <f t="shared" ref="DU94:DU95" si="1266">IF(AO94="","","|n"&amp;DU$2&amp;"+"&amp;AO94&amp;DU$1)</f>
        <v/>
      </c>
      <c r="DV94" s="43" t="str">
        <f t="shared" ref="DV94:DV95" si="1267">IF(AP94="","","|n"&amp;DV$2&amp;"+"&amp;AP94&amp;DV$1)</f>
        <v/>
      </c>
      <c r="DW94" s="43" t="str">
        <f t="shared" ref="DW94:DW95" si="1268">IF(AQ94="","","|n"&amp;DW$2&amp;"+"&amp;AQ94&amp;DW$1)</f>
        <v/>
      </c>
      <c r="DX94" s="43" t="str">
        <f t="shared" ref="DX94:DX95" si="1269">IF(AR94="","","|n"&amp;DX$2&amp;"+"&amp;AR94&amp;DX$1)</f>
        <v/>
      </c>
      <c r="DY94" s="43" t="str">
        <f t="shared" ref="DY94:DY95" si="1270">IF(AS94="","","|n"&amp;DY$2&amp;"+"&amp;AS94&amp;DY$1)</f>
        <v/>
      </c>
      <c r="DZ94" s="43" t="str">
        <f t="shared" ref="DZ94:DZ95" si="1271">IF(AT94="","","|n"&amp;DZ$2&amp;"+"&amp;AT94&amp;DZ$1)</f>
        <v/>
      </c>
      <c r="EA94" s="43" t="str">
        <f t="shared" ref="EA94:EA95" si="1272">IF(AU94="","","|n"&amp;EA$2&amp;"+"&amp;AU94&amp;EA$1)</f>
        <v/>
      </c>
      <c r="EB94" s="43" t="str">
        <f t="shared" ref="EB94:EB95" si="1273">IF(AV94="","","|n"&amp;EB$2&amp;"+"&amp;AV94&amp;EB$1)</f>
        <v/>
      </c>
      <c r="EC94" s="43" t="str">
        <f t="shared" ref="EC94:EC95" si="1274">IF(AW94="","","|n"&amp;EC$2&amp;"+"&amp;AW94&amp;EC$1)</f>
        <v/>
      </c>
      <c r="ED94" s="43" t="str">
        <f t="shared" ref="ED94:ED95" si="1275">IF(AX94="","","|n"&amp;ED$2&amp;"+"&amp;AX94&amp;ED$1)</f>
        <v/>
      </c>
      <c r="EE94" s="43" t="str">
        <f t="shared" ref="EE94:EE95" si="1276">IF(AY94="","","|n"&amp;EE$2&amp;"+"&amp;AY94&amp;EE$1)</f>
        <v/>
      </c>
      <c r="EF94" s="43" t="str">
        <f t="shared" ref="EF94:EF95" si="1277">IF(AZ94="","","|n"&amp;EF$2&amp;"+"&amp;AZ94&amp;EF$1)</f>
        <v/>
      </c>
      <c r="EG94" s="43" t="str">
        <f t="shared" ref="EG94:EG95" si="1278">IF(BA94="","","|n"&amp;EG$2&amp;"+"&amp;BA94&amp;EG$1)</f>
        <v/>
      </c>
      <c r="EH94" s="43" t="str">
        <f t="shared" ref="EH94:EH95" si="1279">IF(BB94="","","|n"&amp;EH$2&amp;"+"&amp;BB94&amp;EH$1)</f>
        <v/>
      </c>
      <c r="EI94" s="43" t="str">
        <f t="shared" ref="EI94:EI95" si="1280">IF(BC94="","","|n"&amp;EI$2&amp;"+"&amp;BC94&amp;EI$1)</f>
        <v/>
      </c>
      <c r="EJ94" s="43" t="str">
        <f t="shared" ref="EJ94:EJ95" si="1281">IF(BD94="","","|n"&amp;EJ$2&amp;"+"&amp;BD94&amp;EJ$1)</f>
        <v/>
      </c>
      <c r="EK94" s="43" t="str">
        <f t="shared" ref="EK94:EK95" si="1282">IF(BE94="","","|n"&amp;EK$2&amp;"+"&amp;BE94&amp;EK$1)</f>
        <v/>
      </c>
      <c r="EL94" s="43" t="str">
        <f t="shared" ref="EL94:EL95" si="1283">IF(BF94="","","|n"&amp;EL$2&amp;"+"&amp;BF94&amp;EL$1)</f>
        <v/>
      </c>
      <c r="EM94" s="43" t="str">
        <f t="shared" ref="EM94:EM95" si="1284">IF(BG94="","","|n"&amp;EM$2&amp;"+"&amp;BG94&amp;EM$1)</f>
        <v/>
      </c>
      <c r="EN94" s="43" t="str">
        <f t="shared" ref="EN94:EN95" si="1285">IF(BH94="","","|n"&amp;EN$2&amp;"+"&amp;BH94&amp;EN$1)</f>
        <v/>
      </c>
      <c r="EO94" s="43" t="str">
        <f t="shared" ref="EO94:EO95" si="1286">IF(BI94="","","|n"&amp;EO$2&amp;"+"&amp;BI94&amp;EO$1)</f>
        <v/>
      </c>
      <c r="EP94" s="43" t="str">
        <f t="shared" ref="EP94:EP95" si="1287">IF(BJ94="","","|n"&amp;EP$2&amp;"+"&amp;BJ94&amp;EP$1)</f>
        <v/>
      </c>
      <c r="EQ94" s="43" t="str">
        <f t="shared" ref="EQ94:EQ95" si="1288">IF(BK94="","","|n"&amp;EQ$2&amp;"+"&amp;BK94&amp;EQ$1)</f>
        <v/>
      </c>
      <c r="ER94" s="43" t="str">
        <f t="shared" ref="ER94:ER95" si="1289">IF(BL94="","","|n"&amp;ER$2&amp;"+"&amp;BL94&amp;ER$1)</f>
        <v/>
      </c>
      <c r="ES94" s="43" t="str">
        <f t="shared" ref="ES94:ES95" si="1290">IF(BM94="","","|n"&amp;ES$2&amp;"+"&amp;BM94&amp;ES$1)</f>
        <v/>
      </c>
      <c r="ET94" s="43" t="str">
        <f t="shared" ref="ET94:ET95" si="1291">IF(BN94="","","|n"&amp;ET$2&amp;"+"&amp;BN94&amp;ET$1)</f>
        <v/>
      </c>
      <c r="EU94" s="43" t="str">
        <f t="shared" ref="EU94:EU95" si="1292">IF(BO94="","","|n"&amp;EU$2&amp;"+"&amp;BO94&amp;EU$1)</f>
        <v/>
      </c>
      <c r="EV94" s="43" t="str">
        <f t="shared" ref="EV94:EV95" si="1293">IF(BP94="","","|n"&amp;EV$2&amp;"+"&amp;BP94&amp;EV$1)</f>
        <v/>
      </c>
      <c r="EW94" s="43" t="str">
        <f t="shared" ref="EW94:EW95" si="1294">IF(BQ94="","","|n"&amp;EW$2&amp;"+"&amp;BQ94&amp;EW$1)</f>
        <v/>
      </c>
      <c r="EX94" s="43" t="str">
        <f t="shared" ref="EX94:EX95" si="1295">IF(BR94="","","|n"&amp;EX$2&amp;"+"&amp;BR94&amp;EX$1)</f>
        <v/>
      </c>
      <c r="EY94" s="43" t="str">
        <f t="shared" ref="EY94:EY95" si="1296">IF(BS94="","","|n"&amp;EY$2&amp;"+"&amp;BS94&amp;EY$1)</f>
        <v/>
      </c>
      <c r="EZ94" s="43" t="str">
        <f t="shared" ref="EZ94:EZ95" si="1297">IF(BT94="","","|n"&amp;EZ$2&amp;"+"&amp;BT94&amp;EZ$1)</f>
        <v/>
      </c>
      <c r="FA94" s="43" t="str">
        <f t="shared" ref="FA94:FA95" si="1298">IF(BU94="","","|n"&amp;FA$2&amp;"+"&amp;BU94&amp;FA$1)</f>
        <v/>
      </c>
      <c r="FB94" s="43" t="str">
        <f t="shared" ref="FB94:FB95" si="1299">IF(BV94="","","|n"&amp;FB$2&amp;"+"&amp;BV94&amp;FB$1)</f>
        <v/>
      </c>
      <c r="FC94" s="43" t="str">
        <f t="shared" ref="FC94:FC95" si="1300">IF(BW94="","","|n"&amp;FC$2&amp;"+"&amp;BW94&amp;FC$1)</f>
        <v/>
      </c>
      <c r="FD94" s="43" t="str">
        <f t="shared" ref="FD94:FD95" si="1301">IF(BX94="","","|n"&amp;FD$2&amp;"+"&amp;BX94&amp;FD$1)</f>
        <v/>
      </c>
      <c r="FE94" s="43" t="str">
        <f t="shared" ref="FE94:FE95" si="1302">IF(BY94="","","|n"&amp;FE$2&amp;"+"&amp;BY94&amp;FE$1)</f>
        <v/>
      </c>
      <c r="FF94" s="43" t="str">
        <f t="shared" ref="FF94:FF95" si="1303">IF(BZ94="","","|n"&amp;FF$2&amp;"+"&amp;BZ94&amp;FF$1)</f>
        <v/>
      </c>
      <c r="FG94" s="43" t="str">
        <f t="shared" ref="FG94:FG95" si="1304">IF(CA94="","","|n"&amp;FG$2&amp;"+"&amp;CA94&amp;FG$1)</f>
        <v/>
      </c>
      <c r="FH94" s="43" t="str">
        <f t="shared" ref="FH94:FH95" si="1305">IF(CB94="","","|n"&amp;FH$2&amp;"+"&amp;CB94&amp;FH$1)</f>
        <v/>
      </c>
      <c r="FI94" s="43" t="str">
        <f t="shared" ref="FI94:FI95" si="1306">IF(CC94="","","|n"&amp;FI$2&amp;"+"&amp;CC94&amp;FI$1)</f>
        <v/>
      </c>
      <c r="FJ94" s="43" t="str">
        <f t="shared" ref="FJ94:FJ95" si="1307">IF(CD94="","","|n"&amp;FJ$2&amp;"+"&amp;CD94&amp;FJ$1)</f>
        <v/>
      </c>
      <c r="FK94" s="43" t="str">
        <f t="shared" ref="FK94:FK95" si="1308">IF(CE94="","","|n"&amp;FK$2&amp;"+"&amp;CE94&amp;FK$1)</f>
        <v/>
      </c>
      <c r="FL94" s="43" t="str">
        <f t="shared" ref="FL94:FL95" si="1309">IF(CF94="","","|n"&amp;FL$2&amp;"+"&amp;CF94&amp;FL$1)</f>
        <v/>
      </c>
      <c r="FM94" s="43" t="str">
        <f t="shared" ref="FM94:FM95" si="1310">IF(CG94="","","|n"&amp;FM$2&amp;"+"&amp;CG94&amp;FM$1)</f>
        <v/>
      </c>
      <c r="FN94" s="43" t="str">
        <f t="shared" ref="FN94:FN95" si="1311">IF(CH94="","","|n"&amp;FN$2&amp;"+"&amp;CH94&amp;FN$1)</f>
        <v/>
      </c>
      <c r="FO94" s="43" t="str">
        <f t="shared" ref="FO94:FO95" si="1312">IF(CI94="","","|n"&amp;FO$2&amp;"+"&amp;CI94&amp;FO$1)</f>
        <v/>
      </c>
      <c r="FP94" s="43" t="str">
        <f t="shared" ref="FP94:FP95" si="1313">IF(CJ94="","","|n"&amp;FP$2&amp;"+"&amp;CJ94&amp;FP$1)</f>
        <v/>
      </c>
      <c r="FQ94" s="43" t="str">
        <f t="shared" ref="FQ94:FQ95" si="1314">IF(CK94="","","|n"&amp;FQ$2&amp;"+"&amp;CK94&amp;FQ$1)</f>
        <v/>
      </c>
      <c r="FR94" s="43" t="str">
        <f t="shared" ref="FR94:FR95" si="1315">IF(CL94="","","|n"&amp;FR$2&amp;"+"&amp;CL94&amp;FR$1)</f>
        <v/>
      </c>
      <c r="FS94" s="43" t="str">
        <f t="shared" ref="FS94:FS95" si="1316">IF(CM94="","","|n"&amp;FS$2&amp;"+"&amp;CM94&amp;FS$1)</f>
        <v/>
      </c>
    </row>
    <row r="95" ht="15" spans="1:175">
      <c r="A95" s="4"/>
      <c r="B95" s="4" t="s">
        <v>389</v>
      </c>
      <c r="C95" s="4" t="s">
        <v>390</v>
      </c>
      <c r="T95" s="83" t="s">
        <v>391</v>
      </c>
      <c r="U95" s="59" t="str">
        <f t="shared" si="1168"/>
        <v>ReplaceableTextures\\CommandButtons\\BTNI003.blp</v>
      </c>
      <c r="CN95" s="12" t="str">
        <f t="shared" si="1169"/>
        <v>InitUnitState('I003',,,,,,,,,,)</v>
      </c>
      <c r="CO95" s="12" t="str">
        <f t="shared" si="1170"/>
        <v>InitUnitNormal('I003',,,,,,,,,,)</v>
      </c>
      <c r="CP95" s="12" t="str">
        <f t="shared" si="1171"/>
        <v>InitUnitMagic('I003',,,,,,,,,,)</v>
      </c>
      <c r="CQ95" s="12" t="str">
        <f t="shared" si="1172"/>
        <v>InitUnitAdd('I003',,,,,,,,,,)</v>
      </c>
      <c r="CR95" s="12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InitEquipData('I003',,"",,,,,'','','','','','',"ReplaceableTextures\\CommandButtons\\BTNIP03.blp")</v>
      </c>
      <c r="CU95" s="71" t="str">
        <f t="shared" si="1245"/>
        <v>|n</v>
      </c>
      <c r="CV95" s="5" t="str">
        <f t="shared" si="1246"/>
        <v>攻击速度|Cffff8000+60%|r，持续15秒。</v>
      </c>
      <c r="CW95" s="6"/>
      <c r="CX95" s="6"/>
      <c r="CY95" s="6"/>
      <c r="CZ95" s="6"/>
      <c r="DA95" s="6"/>
      <c r="DB95" s="43" t="str">
        <f t="shared" si="1247"/>
        <v/>
      </c>
      <c r="DC95" s="43" t="str">
        <f t="shared" si="1248"/>
        <v/>
      </c>
      <c r="DD95" s="43" t="str">
        <f t="shared" si="1249"/>
        <v/>
      </c>
      <c r="DE95" s="43" t="str">
        <f t="shared" si="1250"/>
        <v/>
      </c>
      <c r="DF95" s="43" t="str">
        <f t="shared" si="1251"/>
        <v/>
      </c>
      <c r="DG95" s="43" t="str">
        <f t="shared" si="1252"/>
        <v/>
      </c>
      <c r="DH95" s="43" t="str">
        <f t="shared" si="1253"/>
        <v/>
      </c>
      <c r="DI95" s="43" t="str">
        <f t="shared" si="1254"/>
        <v/>
      </c>
      <c r="DJ95" s="43" t="str">
        <f t="shared" si="1255"/>
        <v/>
      </c>
      <c r="DK95" s="43" t="str">
        <f t="shared" si="1256"/>
        <v/>
      </c>
      <c r="DL95" s="43" t="str">
        <f t="shared" si="1257"/>
        <v/>
      </c>
      <c r="DM95" s="43" t="str">
        <f t="shared" si="1258"/>
        <v/>
      </c>
      <c r="DN95" s="43" t="str">
        <f t="shared" si="1259"/>
        <v/>
      </c>
      <c r="DO95" s="43" t="str">
        <f t="shared" si="1260"/>
        <v/>
      </c>
      <c r="DP95" s="43" t="str">
        <f t="shared" si="1261"/>
        <v/>
      </c>
      <c r="DQ95" s="43" t="str">
        <f t="shared" si="1262"/>
        <v/>
      </c>
      <c r="DR95" s="43" t="str">
        <f t="shared" si="1263"/>
        <v/>
      </c>
      <c r="DS95" s="43" t="str">
        <f t="shared" si="1264"/>
        <v/>
      </c>
      <c r="DT95" s="43" t="str">
        <f t="shared" si="1265"/>
        <v/>
      </c>
      <c r="DU95" s="43" t="str">
        <f t="shared" si="1266"/>
        <v/>
      </c>
      <c r="DV95" s="43" t="str">
        <f t="shared" si="1267"/>
        <v/>
      </c>
      <c r="DW95" s="43" t="str">
        <f t="shared" si="1268"/>
        <v/>
      </c>
      <c r="DX95" s="43" t="str">
        <f t="shared" si="1269"/>
        <v/>
      </c>
      <c r="DY95" s="43" t="str">
        <f t="shared" si="1270"/>
        <v/>
      </c>
      <c r="DZ95" s="43" t="str">
        <f t="shared" si="1271"/>
        <v/>
      </c>
      <c r="EA95" s="43" t="str">
        <f t="shared" si="1272"/>
        <v/>
      </c>
      <c r="EB95" s="43" t="str">
        <f t="shared" si="1273"/>
        <v/>
      </c>
      <c r="EC95" s="43" t="str">
        <f t="shared" si="1274"/>
        <v/>
      </c>
      <c r="ED95" s="43" t="str">
        <f t="shared" si="1275"/>
        <v/>
      </c>
      <c r="EE95" s="43" t="str">
        <f t="shared" si="1276"/>
        <v/>
      </c>
      <c r="EF95" s="43" t="str">
        <f t="shared" si="1277"/>
        <v/>
      </c>
      <c r="EG95" s="43" t="str">
        <f t="shared" si="1278"/>
        <v/>
      </c>
      <c r="EH95" s="43" t="str">
        <f t="shared" si="1279"/>
        <v/>
      </c>
      <c r="EI95" s="43" t="str">
        <f t="shared" si="1280"/>
        <v/>
      </c>
      <c r="EJ95" s="43" t="str">
        <f t="shared" si="1281"/>
        <v/>
      </c>
      <c r="EK95" s="43" t="str">
        <f t="shared" si="1282"/>
        <v/>
      </c>
      <c r="EL95" s="43" t="str">
        <f t="shared" si="1283"/>
        <v/>
      </c>
      <c r="EM95" s="43" t="str">
        <f t="shared" si="1284"/>
        <v/>
      </c>
      <c r="EN95" s="43" t="str">
        <f t="shared" si="1285"/>
        <v/>
      </c>
      <c r="EO95" s="43" t="str">
        <f t="shared" si="1286"/>
        <v/>
      </c>
      <c r="EP95" s="43" t="str">
        <f t="shared" si="1287"/>
        <v/>
      </c>
      <c r="EQ95" s="43" t="str">
        <f t="shared" si="1288"/>
        <v/>
      </c>
      <c r="ER95" s="43" t="str">
        <f t="shared" si="1289"/>
        <v/>
      </c>
      <c r="ES95" s="43" t="str">
        <f t="shared" si="1290"/>
        <v/>
      </c>
      <c r="ET95" s="43" t="str">
        <f t="shared" si="1291"/>
        <v/>
      </c>
      <c r="EU95" s="43" t="str">
        <f t="shared" si="1292"/>
        <v/>
      </c>
      <c r="EV95" s="43" t="str">
        <f t="shared" si="1293"/>
        <v/>
      </c>
      <c r="EW95" s="43" t="str">
        <f t="shared" si="1294"/>
        <v/>
      </c>
      <c r="EX95" s="43" t="str">
        <f t="shared" si="1295"/>
        <v/>
      </c>
      <c r="EY95" s="43" t="str">
        <f t="shared" si="1296"/>
        <v/>
      </c>
      <c r="EZ95" s="43" t="str">
        <f t="shared" si="1297"/>
        <v/>
      </c>
      <c r="FA95" s="43" t="str">
        <f t="shared" si="1298"/>
        <v/>
      </c>
      <c r="FB95" s="43" t="str">
        <f t="shared" si="1299"/>
        <v/>
      </c>
      <c r="FC95" s="43" t="str">
        <f t="shared" si="1300"/>
        <v/>
      </c>
      <c r="FD95" s="43" t="str">
        <f t="shared" si="1301"/>
        <v/>
      </c>
      <c r="FE95" s="43" t="str">
        <f t="shared" si="1302"/>
        <v/>
      </c>
      <c r="FF95" s="43" t="str">
        <f t="shared" si="1303"/>
        <v/>
      </c>
      <c r="FG95" s="43" t="str">
        <f t="shared" si="1304"/>
        <v/>
      </c>
      <c r="FH95" s="43" t="str">
        <f t="shared" si="1305"/>
        <v/>
      </c>
      <c r="FI95" s="43" t="str">
        <f t="shared" si="1306"/>
        <v/>
      </c>
      <c r="FJ95" s="43" t="str">
        <f t="shared" si="1307"/>
        <v/>
      </c>
      <c r="FK95" s="43" t="str">
        <f t="shared" si="1308"/>
        <v/>
      </c>
      <c r="FL95" s="43" t="str">
        <f t="shared" si="1309"/>
        <v/>
      </c>
      <c r="FM95" s="43" t="str">
        <f t="shared" si="1310"/>
        <v/>
      </c>
      <c r="FN95" s="43" t="str">
        <f t="shared" si="1311"/>
        <v/>
      </c>
      <c r="FO95" s="43" t="str">
        <f t="shared" si="1312"/>
        <v/>
      </c>
      <c r="FP95" s="43" t="str">
        <f t="shared" si="1313"/>
        <v/>
      </c>
      <c r="FQ95" s="43" t="str">
        <f t="shared" si="1314"/>
        <v/>
      </c>
      <c r="FR95" s="43" t="str">
        <f t="shared" si="1315"/>
        <v/>
      </c>
      <c r="FS95" s="43" t="str">
        <f t="shared" si="1316"/>
        <v/>
      </c>
    </row>
    <row r="96" ht="15" spans="1:175">
      <c r="A96" s="4"/>
      <c r="B96" s="4" t="s">
        <v>392</v>
      </c>
      <c r="C96" s="4" t="s">
        <v>393</v>
      </c>
      <c r="T96" s="83" t="s">
        <v>394</v>
      </c>
      <c r="U96" s="59" t="str">
        <f t="shared" si="1168"/>
        <v>ReplaceableTextures\\CommandButtons\\BTNI004.blp</v>
      </c>
      <c r="CN96" s="12" t="str">
        <f t="shared" si="1169"/>
        <v>InitUnitState('I004',,,,,,,,,,)</v>
      </c>
      <c r="CO96" s="12" t="str">
        <f t="shared" si="1170"/>
        <v>InitUnitNormal('I004',,,,,,,,,,)</v>
      </c>
      <c r="CP96" s="12" t="str">
        <f t="shared" si="1171"/>
        <v>InitUnitMagic('I004',,,,,,,,,,)</v>
      </c>
      <c r="CQ96" s="12" t="str">
        <f t="shared" si="1172"/>
        <v>InitUnitAdd('I004',,,,,,,,,,)</v>
      </c>
      <c r="CR96" s="12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151&amp;CR$1&amp;")"</f>
        <v>InitEquipData('I004',,"",,,,,'','','','','','',"ReplaceableTextures\\CommandButtons\\BTNIT01.blp")</v>
      </c>
      <c r="CU96" s="71" t="str">
        <f t="shared" ref="CU96:CU98" si="1317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5" t="str">
        <f t="shared" ref="CV96:CV98" si="1318">T96</f>
        <v>法术伤害提高|Cff00bfff40%|r，持续15秒。</v>
      </c>
      <c r="CW96" s="6"/>
      <c r="CX96" s="6"/>
      <c r="CY96" s="6"/>
      <c r="CZ96" s="6"/>
      <c r="DA96" s="6"/>
      <c r="DB96" s="43" t="str">
        <f t="shared" ref="DB96:DB98" si="1319">IF(V96="","","|n"&amp;DB$2&amp;"+"&amp;V96&amp;DB$1)</f>
        <v/>
      </c>
      <c r="DC96" s="43" t="str">
        <f t="shared" ref="DC96:DC98" si="1320">IF(W96="","","|n"&amp;DC$2&amp;"+"&amp;W96&amp;DC$1)</f>
        <v/>
      </c>
      <c r="DD96" s="43" t="str">
        <f t="shared" ref="DD96:DD98" si="1321">IF(X96="","","|n"&amp;DD$2&amp;"+"&amp;X96&amp;DD$1)</f>
        <v/>
      </c>
      <c r="DE96" s="43" t="str">
        <f t="shared" ref="DE96:DE98" si="1322">IF(Y96="","","|n"&amp;DE$2&amp;"+"&amp;Y96&amp;DE$1)</f>
        <v/>
      </c>
      <c r="DF96" s="43" t="str">
        <f t="shared" ref="DF96:DF98" si="1323">IF(Z96="","","|n"&amp;DF$2&amp;"+"&amp;Z96&amp;DF$1)</f>
        <v/>
      </c>
      <c r="DG96" s="43" t="str">
        <f t="shared" ref="DG96:DG98" si="1324">IF(AA96="","","|n"&amp;DG$2&amp;"+"&amp;AA96&amp;DG$1)</f>
        <v/>
      </c>
      <c r="DH96" s="43" t="str">
        <f t="shared" ref="DH96:DH98" si="1325">IF(AB96="","","|n"&amp;DH$2&amp;"+"&amp;AB96&amp;DH$1)</f>
        <v/>
      </c>
      <c r="DI96" s="43" t="str">
        <f t="shared" ref="DI96:DI98" si="1326">IF(AC96="","","|n"&amp;DI$2&amp;"+"&amp;AC96&amp;DI$1)</f>
        <v/>
      </c>
      <c r="DJ96" s="43" t="str">
        <f t="shared" ref="DJ96:DJ98" si="1327">IF(AD96="","","|n"&amp;DJ$2&amp;"+"&amp;AD96&amp;DJ$1)</f>
        <v/>
      </c>
      <c r="DK96" s="43" t="str">
        <f t="shared" ref="DK96:DK98" si="1328">IF(AE96="","","|n"&amp;DK$2&amp;"+"&amp;AE96&amp;DK$1)</f>
        <v/>
      </c>
      <c r="DL96" s="43" t="str">
        <f t="shared" ref="DL96:DL98" si="1329">IF(AF96="","","|n"&amp;DL$2&amp;"+"&amp;AF96&amp;DL$1)</f>
        <v/>
      </c>
      <c r="DM96" s="43" t="str">
        <f t="shared" ref="DM96:DM98" si="1330">IF(AG96="","","|n"&amp;DM$2&amp;"+"&amp;AG96&amp;DM$1)</f>
        <v/>
      </c>
      <c r="DN96" s="43" t="str">
        <f t="shared" ref="DN96:DN98" si="1331">IF(AH96="","","|n"&amp;DN$2&amp;"+"&amp;AH96&amp;DN$1)</f>
        <v/>
      </c>
      <c r="DO96" s="43" t="str">
        <f t="shared" ref="DO96:DO98" si="1332">IF(AI96="","","|n"&amp;DO$2&amp;"+"&amp;AI96&amp;DO$1)</f>
        <v/>
      </c>
      <c r="DP96" s="43" t="str">
        <f t="shared" ref="DP96:DP98" si="1333">IF(AJ96="","","|n"&amp;DP$2&amp;"+"&amp;AJ96&amp;DP$1)</f>
        <v/>
      </c>
      <c r="DQ96" s="43" t="str">
        <f t="shared" ref="DQ96:DQ98" si="1334">IF(AK96="","","|n"&amp;DQ$2&amp;"+"&amp;AK96&amp;DQ$1)</f>
        <v/>
      </c>
      <c r="DR96" s="43" t="str">
        <f t="shared" ref="DR96:DR98" si="1335">IF(AL96="","","|n"&amp;DR$2&amp;"+"&amp;AL96&amp;DR$1)</f>
        <v/>
      </c>
      <c r="DS96" s="43" t="str">
        <f t="shared" ref="DS96:DS98" si="1336">IF(AM96="","","|n"&amp;DS$2&amp;"+"&amp;AM96&amp;DS$1)</f>
        <v/>
      </c>
      <c r="DT96" s="43" t="str">
        <f t="shared" ref="DT96:DT98" si="1337">IF(AN96="","","|n"&amp;DT$2&amp;"+"&amp;AN96&amp;DT$1)</f>
        <v/>
      </c>
      <c r="DU96" s="43" t="str">
        <f t="shared" ref="DU96:DU98" si="1338">IF(AO96="","","|n"&amp;DU$2&amp;"+"&amp;AO96&amp;DU$1)</f>
        <v/>
      </c>
      <c r="DV96" s="43" t="str">
        <f t="shared" ref="DV96:DV98" si="1339">IF(AP96="","","|n"&amp;DV$2&amp;"+"&amp;AP96&amp;DV$1)</f>
        <v/>
      </c>
      <c r="DW96" s="43" t="str">
        <f t="shared" ref="DW96:DW98" si="1340">IF(AQ96="","","|n"&amp;DW$2&amp;"+"&amp;AQ96&amp;DW$1)</f>
        <v/>
      </c>
      <c r="DX96" s="43" t="str">
        <f t="shared" ref="DX96:DX98" si="1341">IF(AR96="","","|n"&amp;DX$2&amp;"+"&amp;AR96&amp;DX$1)</f>
        <v/>
      </c>
      <c r="DY96" s="43" t="str">
        <f t="shared" ref="DY96:DY98" si="1342">IF(AS96="","","|n"&amp;DY$2&amp;"+"&amp;AS96&amp;DY$1)</f>
        <v/>
      </c>
      <c r="DZ96" s="43" t="str">
        <f t="shared" ref="DZ96:DZ98" si="1343">IF(AT96="","","|n"&amp;DZ$2&amp;"+"&amp;AT96&amp;DZ$1)</f>
        <v/>
      </c>
      <c r="EA96" s="43" t="str">
        <f t="shared" ref="EA96:EA98" si="1344">IF(AU96="","","|n"&amp;EA$2&amp;"+"&amp;AU96&amp;EA$1)</f>
        <v/>
      </c>
      <c r="EB96" s="43" t="str">
        <f t="shared" ref="EB96:EB98" si="1345">IF(AV96="","","|n"&amp;EB$2&amp;"+"&amp;AV96&amp;EB$1)</f>
        <v/>
      </c>
      <c r="EC96" s="43" t="str">
        <f t="shared" ref="EC96:EC98" si="1346">IF(AW96="","","|n"&amp;EC$2&amp;"+"&amp;AW96&amp;EC$1)</f>
        <v/>
      </c>
      <c r="ED96" s="43" t="str">
        <f t="shared" ref="ED96:ED98" si="1347">IF(AX96="","","|n"&amp;ED$2&amp;"+"&amp;AX96&amp;ED$1)</f>
        <v/>
      </c>
      <c r="EE96" s="43" t="str">
        <f t="shared" ref="EE96:EE98" si="1348">IF(AY96="","","|n"&amp;EE$2&amp;"+"&amp;AY96&amp;EE$1)</f>
        <v/>
      </c>
      <c r="EF96" s="43" t="str">
        <f t="shared" ref="EF96:EF98" si="1349">IF(AZ96="","","|n"&amp;EF$2&amp;"+"&amp;AZ96&amp;EF$1)</f>
        <v/>
      </c>
      <c r="EG96" s="43" t="str">
        <f t="shared" ref="EG96:EG98" si="1350">IF(BA96="","","|n"&amp;EG$2&amp;"+"&amp;BA96&amp;EG$1)</f>
        <v/>
      </c>
      <c r="EH96" s="43" t="str">
        <f t="shared" ref="EH96:EH98" si="1351">IF(BB96="","","|n"&amp;EH$2&amp;"+"&amp;BB96&amp;EH$1)</f>
        <v/>
      </c>
      <c r="EI96" s="43" t="str">
        <f t="shared" ref="EI96:EI98" si="1352">IF(BC96="","","|n"&amp;EI$2&amp;"+"&amp;BC96&amp;EI$1)</f>
        <v/>
      </c>
      <c r="EJ96" s="43" t="str">
        <f t="shared" ref="EJ96:EJ98" si="1353">IF(BD96="","","|n"&amp;EJ$2&amp;"+"&amp;BD96&amp;EJ$1)</f>
        <v/>
      </c>
      <c r="EK96" s="43" t="str">
        <f t="shared" ref="EK96:EK98" si="1354">IF(BE96="","","|n"&amp;EK$2&amp;"+"&amp;BE96&amp;EK$1)</f>
        <v/>
      </c>
      <c r="EL96" s="43" t="str">
        <f t="shared" ref="EL96:EL98" si="1355">IF(BF96="","","|n"&amp;EL$2&amp;"+"&amp;BF96&amp;EL$1)</f>
        <v/>
      </c>
      <c r="EM96" s="43" t="str">
        <f t="shared" ref="EM96:EM98" si="1356">IF(BG96="","","|n"&amp;EM$2&amp;"+"&amp;BG96&amp;EM$1)</f>
        <v/>
      </c>
      <c r="EN96" s="43" t="str">
        <f t="shared" ref="EN96:EN98" si="1357">IF(BH96="","","|n"&amp;EN$2&amp;"+"&amp;BH96&amp;EN$1)</f>
        <v/>
      </c>
      <c r="EO96" s="43" t="str">
        <f t="shared" ref="EO96:EO98" si="1358">IF(BI96="","","|n"&amp;EO$2&amp;"+"&amp;BI96&amp;EO$1)</f>
        <v/>
      </c>
      <c r="EP96" s="43" t="str">
        <f t="shared" ref="EP96:EP98" si="1359">IF(BJ96="","","|n"&amp;EP$2&amp;"+"&amp;BJ96&amp;EP$1)</f>
        <v/>
      </c>
      <c r="EQ96" s="43" t="str">
        <f t="shared" ref="EQ96:EQ98" si="1360">IF(BK96="","","|n"&amp;EQ$2&amp;"+"&amp;BK96&amp;EQ$1)</f>
        <v/>
      </c>
      <c r="ER96" s="43" t="str">
        <f t="shared" ref="ER96:ER98" si="1361">IF(BL96="","","|n"&amp;ER$2&amp;"+"&amp;BL96&amp;ER$1)</f>
        <v/>
      </c>
      <c r="ES96" s="43" t="str">
        <f t="shared" ref="ES96:ES98" si="1362">IF(BM96="","","|n"&amp;ES$2&amp;"+"&amp;BM96&amp;ES$1)</f>
        <v/>
      </c>
      <c r="ET96" s="43" t="str">
        <f t="shared" ref="ET96:ET98" si="1363">IF(BN96="","","|n"&amp;ET$2&amp;"+"&amp;BN96&amp;ET$1)</f>
        <v/>
      </c>
      <c r="EU96" s="43" t="str">
        <f t="shared" ref="EU96:EU98" si="1364">IF(BO96="","","|n"&amp;EU$2&amp;"+"&amp;BO96&amp;EU$1)</f>
        <v/>
      </c>
      <c r="EV96" s="43" t="str">
        <f t="shared" ref="EV96:EV98" si="1365">IF(BP96="","","|n"&amp;EV$2&amp;"+"&amp;BP96&amp;EV$1)</f>
        <v/>
      </c>
      <c r="EW96" s="43" t="str">
        <f t="shared" ref="EW96:EW98" si="1366">IF(BQ96="","","|n"&amp;EW$2&amp;"+"&amp;BQ96&amp;EW$1)</f>
        <v/>
      </c>
      <c r="EX96" s="43" t="str">
        <f t="shared" ref="EX96:EX98" si="1367">IF(BR96="","","|n"&amp;EX$2&amp;"+"&amp;BR96&amp;EX$1)</f>
        <v/>
      </c>
      <c r="EY96" s="43" t="str">
        <f t="shared" ref="EY96:EY98" si="1368">IF(BS96="","","|n"&amp;EY$2&amp;"+"&amp;BS96&amp;EY$1)</f>
        <v/>
      </c>
      <c r="EZ96" s="43" t="str">
        <f t="shared" ref="EZ96:EZ98" si="1369">IF(BT96="","","|n"&amp;EZ$2&amp;"+"&amp;BT96&amp;EZ$1)</f>
        <v/>
      </c>
      <c r="FA96" s="43" t="str">
        <f t="shared" ref="FA96:FA98" si="1370">IF(BU96="","","|n"&amp;FA$2&amp;"+"&amp;BU96&amp;FA$1)</f>
        <v/>
      </c>
      <c r="FB96" s="43" t="str">
        <f t="shared" ref="FB96:FB98" si="1371">IF(BV96="","","|n"&amp;FB$2&amp;"+"&amp;BV96&amp;FB$1)</f>
        <v/>
      </c>
      <c r="FC96" s="43" t="str">
        <f t="shared" ref="FC96:FC98" si="1372">IF(BW96="","","|n"&amp;FC$2&amp;"+"&amp;BW96&amp;FC$1)</f>
        <v/>
      </c>
      <c r="FD96" s="43" t="str">
        <f t="shared" ref="FD96:FD98" si="1373">IF(BX96="","","|n"&amp;FD$2&amp;"+"&amp;BX96&amp;FD$1)</f>
        <v/>
      </c>
      <c r="FE96" s="43" t="str">
        <f t="shared" ref="FE96:FE98" si="1374">IF(BY96="","","|n"&amp;FE$2&amp;"+"&amp;BY96&amp;FE$1)</f>
        <v/>
      </c>
      <c r="FF96" s="43" t="str">
        <f t="shared" ref="FF96:FF98" si="1375">IF(BZ96="","","|n"&amp;FF$2&amp;"+"&amp;BZ96&amp;FF$1)</f>
        <v/>
      </c>
      <c r="FG96" s="43" t="str">
        <f t="shared" ref="FG96:FG98" si="1376">IF(CA96="","","|n"&amp;FG$2&amp;"+"&amp;CA96&amp;FG$1)</f>
        <v/>
      </c>
      <c r="FH96" s="43" t="str">
        <f t="shared" ref="FH96:FH98" si="1377">IF(CB96="","","|n"&amp;FH$2&amp;"+"&amp;CB96&amp;FH$1)</f>
        <v/>
      </c>
      <c r="FI96" s="43" t="str">
        <f t="shared" ref="FI96:FI98" si="1378">IF(CC96="","","|n"&amp;FI$2&amp;"+"&amp;CC96&amp;FI$1)</f>
        <v/>
      </c>
      <c r="FJ96" s="43" t="str">
        <f t="shared" ref="FJ96:FJ98" si="1379">IF(CD96="","","|n"&amp;FJ$2&amp;"+"&amp;CD96&amp;FJ$1)</f>
        <v/>
      </c>
      <c r="FK96" s="43" t="str">
        <f t="shared" ref="FK96:FK98" si="1380">IF(CE96="","","|n"&amp;FK$2&amp;"+"&amp;CE96&amp;FK$1)</f>
        <v/>
      </c>
      <c r="FL96" s="43" t="str">
        <f t="shared" ref="FL96:FL98" si="1381">IF(CF96="","","|n"&amp;FL$2&amp;"+"&amp;CF96&amp;FL$1)</f>
        <v/>
      </c>
      <c r="FM96" s="43" t="str">
        <f t="shared" ref="FM96:FM98" si="1382">IF(CG96="","","|n"&amp;FM$2&amp;"+"&amp;CG96&amp;FM$1)</f>
        <v/>
      </c>
      <c r="FN96" s="43" t="str">
        <f t="shared" ref="FN96:FN98" si="1383">IF(CH96="","","|n"&amp;FN$2&amp;"+"&amp;CH96&amp;FN$1)</f>
        <v/>
      </c>
      <c r="FO96" s="43" t="str">
        <f t="shared" ref="FO96:FO98" si="1384">IF(CI96="","","|n"&amp;FO$2&amp;"+"&amp;CI96&amp;FO$1)</f>
        <v/>
      </c>
      <c r="FP96" s="43" t="str">
        <f t="shared" ref="FP96:FP98" si="1385">IF(CJ96="","","|n"&amp;FP$2&amp;"+"&amp;CJ96&amp;FP$1)</f>
        <v/>
      </c>
      <c r="FQ96" s="43" t="str">
        <f t="shared" ref="FQ96:FQ98" si="1386">IF(CK96="","","|n"&amp;FQ$2&amp;"+"&amp;CK96&amp;FQ$1)</f>
        <v/>
      </c>
      <c r="FR96" s="43" t="str">
        <f t="shared" ref="FR96:FR98" si="1387">IF(CL96="","","|n"&amp;FR$2&amp;"+"&amp;CL96&amp;FR$1)</f>
        <v/>
      </c>
      <c r="FS96" s="43" t="str">
        <f t="shared" ref="FS96:FS98" si="1388">IF(CM96="","","|n"&amp;FS$2&amp;"+"&amp;CM96&amp;FS$1)</f>
        <v/>
      </c>
    </row>
    <row r="97" ht="15" spans="1:175">
      <c r="A97" s="4"/>
      <c r="B97" s="4" t="s">
        <v>395</v>
      </c>
      <c r="C97" s="4" t="s">
        <v>396</v>
      </c>
      <c r="T97" s="83" t="s">
        <v>397</v>
      </c>
      <c r="U97" s="59" t="str">
        <f t="shared" si="1168"/>
        <v>ReplaceableTextures\\CommandButtons\\BTNI005.blp</v>
      </c>
      <c r="CN97" s="12" t="str">
        <f t="shared" si="1169"/>
        <v>InitUnitState('I005',,,,,,,,,,)</v>
      </c>
      <c r="CO97" s="12" t="str">
        <f t="shared" si="1170"/>
        <v>InitUnitNormal('I005',,,,,,,,,,)</v>
      </c>
      <c r="CP97" s="12" t="str">
        <f t="shared" si="1171"/>
        <v>InitUnitMagic('I005',,,,,,,,,,)</v>
      </c>
      <c r="CQ97" s="12" t="str">
        <f t="shared" si="1172"/>
        <v>InitUnitAdd('I005',,,,,,,,,,)</v>
      </c>
      <c r="CR97" s="12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152&amp;CR$1&amp;")"</f>
        <v>InitEquipData('I005',,"",,,,,'','','','','','',"ReplaceableTextures\\CommandButtons\\BTNIT02.blp")</v>
      </c>
      <c r="CU97" s="71" t="str">
        <f t="shared" ref="CU97" si="1389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5" t="str">
        <f t="shared" ref="CV97" si="1390">T97</f>
        <v>物理伤害提高|Cffff800040%|r，持续15秒。</v>
      </c>
      <c r="CW97" s="6"/>
      <c r="CX97" s="6"/>
      <c r="CY97" s="6"/>
      <c r="CZ97" s="6"/>
      <c r="DA97" s="6"/>
      <c r="DB97" s="43" t="str">
        <f t="shared" ref="DB97" si="1391">IF(V97="","","|n"&amp;DB$2&amp;"+"&amp;V97&amp;DB$1)</f>
        <v/>
      </c>
      <c r="DC97" s="43" t="str">
        <f t="shared" ref="DC97" si="1392">IF(W97="","","|n"&amp;DC$2&amp;"+"&amp;W97&amp;DC$1)</f>
        <v/>
      </c>
      <c r="DD97" s="43" t="str">
        <f t="shared" ref="DD97" si="1393">IF(X97="","","|n"&amp;DD$2&amp;"+"&amp;X97&amp;DD$1)</f>
        <v/>
      </c>
      <c r="DE97" s="43" t="str">
        <f t="shared" ref="DE97" si="1394">IF(Y97="","","|n"&amp;DE$2&amp;"+"&amp;Y97&amp;DE$1)</f>
        <v/>
      </c>
      <c r="DF97" s="43" t="str">
        <f t="shared" ref="DF97" si="1395">IF(Z97="","","|n"&amp;DF$2&amp;"+"&amp;Z97&amp;DF$1)</f>
        <v/>
      </c>
      <c r="DG97" s="43" t="str">
        <f t="shared" ref="DG97" si="1396">IF(AA97="","","|n"&amp;DG$2&amp;"+"&amp;AA97&amp;DG$1)</f>
        <v/>
      </c>
      <c r="DH97" s="43" t="str">
        <f t="shared" ref="DH97" si="1397">IF(AB97="","","|n"&amp;DH$2&amp;"+"&amp;AB97&amp;DH$1)</f>
        <v/>
      </c>
      <c r="DI97" s="43" t="str">
        <f t="shared" ref="DI97" si="1398">IF(AC97="","","|n"&amp;DI$2&amp;"+"&amp;AC97&amp;DI$1)</f>
        <v/>
      </c>
      <c r="DJ97" s="43" t="str">
        <f t="shared" ref="DJ97" si="1399">IF(AD97="","","|n"&amp;DJ$2&amp;"+"&amp;AD97&amp;DJ$1)</f>
        <v/>
      </c>
      <c r="DK97" s="43" t="str">
        <f t="shared" ref="DK97" si="1400">IF(AE97="","","|n"&amp;DK$2&amp;"+"&amp;AE97&amp;DK$1)</f>
        <v/>
      </c>
      <c r="DL97" s="43" t="str">
        <f t="shared" ref="DL97" si="1401">IF(AF97="","","|n"&amp;DL$2&amp;"+"&amp;AF97&amp;DL$1)</f>
        <v/>
      </c>
      <c r="DM97" s="43" t="str">
        <f t="shared" ref="DM97" si="1402">IF(AG97="","","|n"&amp;DM$2&amp;"+"&amp;AG97&amp;DM$1)</f>
        <v/>
      </c>
      <c r="DN97" s="43" t="str">
        <f t="shared" ref="DN97" si="1403">IF(AH97="","","|n"&amp;DN$2&amp;"+"&amp;AH97&amp;DN$1)</f>
        <v/>
      </c>
      <c r="DO97" s="43" t="str">
        <f t="shared" ref="DO97" si="1404">IF(AI97="","","|n"&amp;DO$2&amp;"+"&amp;AI97&amp;DO$1)</f>
        <v/>
      </c>
      <c r="DP97" s="43" t="str">
        <f t="shared" ref="DP97" si="1405">IF(AJ97="","","|n"&amp;DP$2&amp;"+"&amp;AJ97&amp;DP$1)</f>
        <v/>
      </c>
      <c r="DQ97" s="43" t="str">
        <f t="shared" ref="DQ97" si="1406">IF(AK97="","","|n"&amp;DQ$2&amp;"+"&amp;AK97&amp;DQ$1)</f>
        <v/>
      </c>
      <c r="DR97" s="43" t="str">
        <f t="shared" ref="DR97" si="1407">IF(AL97="","","|n"&amp;DR$2&amp;"+"&amp;AL97&amp;DR$1)</f>
        <v/>
      </c>
      <c r="DS97" s="43" t="str">
        <f t="shared" ref="DS97" si="1408">IF(AM97="","","|n"&amp;DS$2&amp;"+"&amp;AM97&amp;DS$1)</f>
        <v/>
      </c>
      <c r="DT97" s="43" t="str">
        <f t="shared" ref="DT97" si="1409">IF(AN97="","","|n"&amp;DT$2&amp;"+"&amp;AN97&amp;DT$1)</f>
        <v/>
      </c>
      <c r="DU97" s="43" t="str">
        <f t="shared" ref="DU97" si="1410">IF(AO97="","","|n"&amp;DU$2&amp;"+"&amp;AO97&amp;DU$1)</f>
        <v/>
      </c>
      <c r="DV97" s="43" t="str">
        <f t="shared" ref="DV97" si="1411">IF(AP97="","","|n"&amp;DV$2&amp;"+"&amp;AP97&amp;DV$1)</f>
        <v/>
      </c>
      <c r="DW97" s="43" t="str">
        <f t="shared" ref="DW97" si="1412">IF(AQ97="","","|n"&amp;DW$2&amp;"+"&amp;AQ97&amp;DW$1)</f>
        <v/>
      </c>
      <c r="DX97" s="43" t="str">
        <f t="shared" ref="DX97" si="1413">IF(AR97="","","|n"&amp;DX$2&amp;"+"&amp;AR97&amp;DX$1)</f>
        <v/>
      </c>
      <c r="DY97" s="43" t="str">
        <f t="shared" ref="DY97" si="1414">IF(AS97="","","|n"&amp;DY$2&amp;"+"&amp;AS97&amp;DY$1)</f>
        <v/>
      </c>
      <c r="DZ97" s="43" t="str">
        <f t="shared" ref="DZ97" si="1415">IF(AT97="","","|n"&amp;DZ$2&amp;"+"&amp;AT97&amp;DZ$1)</f>
        <v/>
      </c>
      <c r="EA97" s="43" t="str">
        <f t="shared" ref="EA97" si="1416">IF(AU97="","","|n"&amp;EA$2&amp;"+"&amp;AU97&amp;EA$1)</f>
        <v/>
      </c>
      <c r="EB97" s="43" t="str">
        <f t="shared" ref="EB97" si="1417">IF(AV97="","","|n"&amp;EB$2&amp;"+"&amp;AV97&amp;EB$1)</f>
        <v/>
      </c>
      <c r="EC97" s="43" t="str">
        <f t="shared" ref="EC97" si="1418">IF(AW97="","","|n"&amp;EC$2&amp;"+"&amp;AW97&amp;EC$1)</f>
        <v/>
      </c>
      <c r="ED97" s="43" t="str">
        <f t="shared" ref="ED97" si="1419">IF(AX97="","","|n"&amp;ED$2&amp;"+"&amp;AX97&amp;ED$1)</f>
        <v/>
      </c>
      <c r="EE97" s="43" t="str">
        <f t="shared" ref="EE97" si="1420">IF(AY97="","","|n"&amp;EE$2&amp;"+"&amp;AY97&amp;EE$1)</f>
        <v/>
      </c>
      <c r="EF97" s="43" t="str">
        <f t="shared" ref="EF97" si="1421">IF(AZ97="","","|n"&amp;EF$2&amp;"+"&amp;AZ97&amp;EF$1)</f>
        <v/>
      </c>
      <c r="EG97" s="43" t="str">
        <f t="shared" ref="EG97" si="1422">IF(BA97="","","|n"&amp;EG$2&amp;"+"&amp;BA97&amp;EG$1)</f>
        <v/>
      </c>
      <c r="EH97" s="43" t="str">
        <f t="shared" ref="EH97" si="1423">IF(BB97="","","|n"&amp;EH$2&amp;"+"&amp;BB97&amp;EH$1)</f>
        <v/>
      </c>
      <c r="EI97" s="43" t="str">
        <f t="shared" ref="EI97" si="1424">IF(BC97="","","|n"&amp;EI$2&amp;"+"&amp;BC97&amp;EI$1)</f>
        <v/>
      </c>
      <c r="EJ97" s="43" t="str">
        <f t="shared" ref="EJ97" si="1425">IF(BD97="","","|n"&amp;EJ$2&amp;"+"&amp;BD97&amp;EJ$1)</f>
        <v/>
      </c>
      <c r="EK97" s="43" t="str">
        <f t="shared" ref="EK97" si="1426">IF(BE97="","","|n"&amp;EK$2&amp;"+"&amp;BE97&amp;EK$1)</f>
        <v/>
      </c>
      <c r="EL97" s="43" t="str">
        <f t="shared" ref="EL97" si="1427">IF(BF97="","","|n"&amp;EL$2&amp;"+"&amp;BF97&amp;EL$1)</f>
        <v/>
      </c>
      <c r="EM97" s="43" t="str">
        <f t="shared" ref="EM97" si="1428">IF(BG97="","","|n"&amp;EM$2&amp;"+"&amp;BG97&amp;EM$1)</f>
        <v/>
      </c>
      <c r="EN97" s="43" t="str">
        <f t="shared" ref="EN97" si="1429">IF(BH97="","","|n"&amp;EN$2&amp;"+"&amp;BH97&amp;EN$1)</f>
        <v/>
      </c>
      <c r="EO97" s="43" t="str">
        <f t="shared" ref="EO97" si="1430">IF(BI97="","","|n"&amp;EO$2&amp;"+"&amp;BI97&amp;EO$1)</f>
        <v/>
      </c>
      <c r="EP97" s="43" t="str">
        <f t="shared" ref="EP97" si="1431">IF(BJ97="","","|n"&amp;EP$2&amp;"+"&amp;BJ97&amp;EP$1)</f>
        <v/>
      </c>
      <c r="EQ97" s="43" t="str">
        <f t="shared" ref="EQ97" si="1432">IF(BK97="","","|n"&amp;EQ$2&amp;"+"&amp;BK97&amp;EQ$1)</f>
        <v/>
      </c>
      <c r="ER97" s="43" t="str">
        <f t="shared" ref="ER97" si="1433">IF(BL97="","","|n"&amp;ER$2&amp;"+"&amp;BL97&amp;ER$1)</f>
        <v/>
      </c>
      <c r="ES97" s="43" t="str">
        <f t="shared" ref="ES97" si="1434">IF(BM97="","","|n"&amp;ES$2&amp;"+"&amp;BM97&amp;ES$1)</f>
        <v/>
      </c>
      <c r="ET97" s="43" t="str">
        <f t="shared" ref="ET97" si="1435">IF(BN97="","","|n"&amp;ET$2&amp;"+"&amp;BN97&amp;ET$1)</f>
        <v/>
      </c>
      <c r="EU97" s="43" t="str">
        <f t="shared" ref="EU97" si="1436">IF(BO97="","","|n"&amp;EU$2&amp;"+"&amp;BO97&amp;EU$1)</f>
        <v/>
      </c>
      <c r="EV97" s="43" t="str">
        <f t="shared" ref="EV97" si="1437">IF(BP97="","","|n"&amp;EV$2&amp;"+"&amp;BP97&amp;EV$1)</f>
        <v/>
      </c>
      <c r="EW97" s="43" t="str">
        <f t="shared" ref="EW97" si="1438">IF(BQ97="","","|n"&amp;EW$2&amp;"+"&amp;BQ97&amp;EW$1)</f>
        <v/>
      </c>
      <c r="EX97" s="43" t="str">
        <f t="shared" ref="EX97" si="1439">IF(BR97="","","|n"&amp;EX$2&amp;"+"&amp;BR97&amp;EX$1)</f>
        <v/>
      </c>
      <c r="EY97" s="43" t="str">
        <f t="shared" ref="EY97" si="1440">IF(BS97="","","|n"&amp;EY$2&amp;"+"&amp;BS97&amp;EY$1)</f>
        <v/>
      </c>
      <c r="EZ97" s="43" t="str">
        <f t="shared" ref="EZ97" si="1441">IF(BT97="","","|n"&amp;EZ$2&amp;"+"&amp;BT97&amp;EZ$1)</f>
        <v/>
      </c>
      <c r="FA97" s="43" t="str">
        <f t="shared" ref="FA97" si="1442">IF(BU97="","","|n"&amp;FA$2&amp;"+"&amp;BU97&amp;FA$1)</f>
        <v/>
      </c>
      <c r="FB97" s="43" t="str">
        <f t="shared" ref="FB97" si="1443">IF(BV97="","","|n"&amp;FB$2&amp;"+"&amp;BV97&amp;FB$1)</f>
        <v/>
      </c>
      <c r="FC97" s="43" t="str">
        <f t="shared" ref="FC97" si="1444">IF(BW97="","","|n"&amp;FC$2&amp;"+"&amp;BW97&amp;FC$1)</f>
        <v/>
      </c>
      <c r="FD97" s="43" t="str">
        <f t="shared" ref="FD97" si="1445">IF(BX97="","","|n"&amp;FD$2&amp;"+"&amp;BX97&amp;FD$1)</f>
        <v/>
      </c>
      <c r="FE97" s="43" t="str">
        <f t="shared" ref="FE97" si="1446">IF(BY97="","","|n"&amp;FE$2&amp;"+"&amp;BY97&amp;FE$1)</f>
        <v/>
      </c>
      <c r="FF97" s="43" t="str">
        <f t="shared" ref="FF97" si="1447">IF(BZ97="","","|n"&amp;FF$2&amp;"+"&amp;BZ97&amp;FF$1)</f>
        <v/>
      </c>
      <c r="FG97" s="43" t="str">
        <f t="shared" ref="FG97" si="1448">IF(CA97="","","|n"&amp;FG$2&amp;"+"&amp;CA97&amp;FG$1)</f>
        <v/>
      </c>
      <c r="FH97" s="43" t="str">
        <f t="shared" ref="FH97" si="1449">IF(CB97="","","|n"&amp;FH$2&amp;"+"&amp;CB97&amp;FH$1)</f>
        <v/>
      </c>
      <c r="FI97" s="43" t="str">
        <f t="shared" ref="FI97" si="1450">IF(CC97="","","|n"&amp;FI$2&amp;"+"&amp;CC97&amp;FI$1)</f>
        <v/>
      </c>
      <c r="FJ97" s="43" t="str">
        <f t="shared" ref="FJ97" si="1451">IF(CD97="","","|n"&amp;FJ$2&amp;"+"&amp;CD97&amp;FJ$1)</f>
        <v/>
      </c>
      <c r="FK97" s="43" t="str">
        <f t="shared" ref="FK97" si="1452">IF(CE97="","","|n"&amp;FK$2&amp;"+"&amp;CE97&amp;FK$1)</f>
        <v/>
      </c>
      <c r="FL97" s="43" t="str">
        <f t="shared" ref="FL97" si="1453">IF(CF97="","","|n"&amp;FL$2&amp;"+"&amp;CF97&amp;FL$1)</f>
        <v/>
      </c>
      <c r="FM97" s="43" t="str">
        <f t="shared" ref="FM97" si="1454">IF(CG97="","","|n"&amp;FM$2&amp;"+"&amp;CG97&amp;FM$1)</f>
        <v/>
      </c>
      <c r="FN97" s="43" t="str">
        <f t="shared" ref="FN97" si="1455">IF(CH97="","","|n"&amp;FN$2&amp;"+"&amp;CH97&amp;FN$1)</f>
        <v/>
      </c>
      <c r="FO97" s="43" t="str">
        <f t="shared" ref="FO97" si="1456">IF(CI97="","","|n"&amp;FO$2&amp;"+"&amp;CI97&amp;FO$1)</f>
        <v/>
      </c>
      <c r="FP97" s="43" t="str">
        <f t="shared" ref="FP97" si="1457">IF(CJ97="","","|n"&amp;FP$2&amp;"+"&amp;CJ97&amp;FP$1)</f>
        <v/>
      </c>
      <c r="FQ97" s="43" t="str">
        <f t="shared" ref="FQ97" si="1458">IF(CK97="","","|n"&amp;FQ$2&amp;"+"&amp;CK97&amp;FQ$1)</f>
        <v/>
      </c>
      <c r="FR97" s="43" t="str">
        <f t="shared" ref="FR97" si="1459">IF(CL97="","","|n"&amp;FR$2&amp;"+"&amp;CL97&amp;FR$1)</f>
        <v/>
      </c>
      <c r="FS97" s="43" t="str">
        <f t="shared" ref="FS97" si="1460">IF(CM97="","","|n"&amp;FS$2&amp;"+"&amp;CM97&amp;FS$1)</f>
        <v/>
      </c>
    </row>
    <row r="98" ht="57.6" spans="1:175">
      <c r="A98" s="4"/>
      <c r="B98" s="4" t="s">
        <v>398</v>
      </c>
      <c r="C98" s="4" t="s">
        <v>399</v>
      </c>
      <c r="T98" s="82" t="s">
        <v>400</v>
      </c>
      <c r="U98" s="59" t="str">
        <f t="shared" si="1168"/>
        <v>ReplaceableTextures\\CommandButtons\\BTNI011.blp</v>
      </c>
      <c r="CN98" s="12" t="str">
        <f t="shared" si="1169"/>
        <v>InitUnitState('I011',,,,,,,,,,)</v>
      </c>
      <c r="CO98" s="12" t="str">
        <f t="shared" si="1170"/>
        <v>InitUnitNormal('I011',,,,,,,,,,)</v>
      </c>
      <c r="CP98" s="12" t="str">
        <f t="shared" si="1171"/>
        <v>InitUnitMagic('I011',,,,,,,,,,)</v>
      </c>
      <c r="CQ98" s="12" t="str">
        <f t="shared" si="1172"/>
        <v>InitUnitAdd('I011',,,,,,,,,,)</v>
      </c>
      <c r="CR98" s="12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152&amp;CR$1&amp;")"</f>
        <v>InitEquipData('I011',,"",,,,,'','','','','','',"ReplaceableTextures\\CommandButtons\\BTNIT02.blp")</v>
      </c>
      <c r="CU98" s="71" t="str">
        <f t="shared" si="1317"/>
        <v>|n</v>
      </c>
      <c r="CV98" s="5" t="str">
        <f t="shared" si="1318"/>
        <v>击杀|Cffffd24d600|r只怪物后可获得：|n|n|Cffffd24d金币：|r|n5556|n|n|Cffffd24d攻击和法强：|r|n598~998</v>
      </c>
      <c r="CW98" s="6"/>
      <c r="CX98" s="6"/>
      <c r="CY98" s="6"/>
      <c r="CZ98" s="6"/>
      <c r="DA98" s="6"/>
      <c r="DB98" s="43" t="str">
        <f t="shared" si="1319"/>
        <v/>
      </c>
      <c r="DC98" s="43" t="str">
        <f t="shared" si="1320"/>
        <v/>
      </c>
      <c r="DD98" s="43" t="str">
        <f t="shared" si="1321"/>
        <v/>
      </c>
      <c r="DE98" s="43" t="str">
        <f t="shared" si="1322"/>
        <v/>
      </c>
      <c r="DF98" s="43" t="str">
        <f t="shared" si="1323"/>
        <v/>
      </c>
      <c r="DG98" s="43" t="str">
        <f t="shared" si="1324"/>
        <v/>
      </c>
      <c r="DH98" s="43" t="str">
        <f t="shared" si="1325"/>
        <v/>
      </c>
      <c r="DI98" s="43" t="str">
        <f t="shared" si="1326"/>
        <v/>
      </c>
      <c r="DJ98" s="43" t="str">
        <f t="shared" si="1327"/>
        <v/>
      </c>
      <c r="DK98" s="43" t="str">
        <f t="shared" si="1328"/>
        <v/>
      </c>
      <c r="DL98" s="43" t="str">
        <f t="shared" si="1329"/>
        <v/>
      </c>
      <c r="DM98" s="43" t="str">
        <f t="shared" si="1330"/>
        <v/>
      </c>
      <c r="DN98" s="43" t="str">
        <f t="shared" si="1331"/>
        <v/>
      </c>
      <c r="DO98" s="43" t="str">
        <f t="shared" si="1332"/>
        <v/>
      </c>
      <c r="DP98" s="43" t="str">
        <f t="shared" si="1333"/>
        <v/>
      </c>
      <c r="DQ98" s="43" t="str">
        <f t="shared" si="1334"/>
        <v/>
      </c>
      <c r="DR98" s="43" t="str">
        <f t="shared" si="1335"/>
        <v/>
      </c>
      <c r="DS98" s="43" t="str">
        <f t="shared" si="1336"/>
        <v/>
      </c>
      <c r="DT98" s="43" t="str">
        <f t="shared" si="1337"/>
        <v/>
      </c>
      <c r="DU98" s="43" t="str">
        <f t="shared" si="1338"/>
        <v/>
      </c>
      <c r="DV98" s="43" t="str">
        <f t="shared" si="1339"/>
        <v/>
      </c>
      <c r="DW98" s="43" t="str">
        <f t="shared" si="1340"/>
        <v/>
      </c>
      <c r="DX98" s="43" t="str">
        <f t="shared" si="1341"/>
        <v/>
      </c>
      <c r="DY98" s="43" t="str">
        <f t="shared" si="1342"/>
        <v/>
      </c>
      <c r="DZ98" s="43" t="str">
        <f t="shared" si="1343"/>
        <v/>
      </c>
      <c r="EA98" s="43" t="str">
        <f t="shared" si="1344"/>
        <v/>
      </c>
      <c r="EB98" s="43" t="str">
        <f t="shared" si="1345"/>
        <v/>
      </c>
      <c r="EC98" s="43" t="str">
        <f t="shared" si="1346"/>
        <v/>
      </c>
      <c r="ED98" s="43" t="str">
        <f t="shared" si="1347"/>
        <v/>
      </c>
      <c r="EE98" s="43" t="str">
        <f t="shared" si="1348"/>
        <v/>
      </c>
      <c r="EF98" s="43" t="str">
        <f t="shared" si="1349"/>
        <v/>
      </c>
      <c r="EG98" s="43" t="str">
        <f t="shared" si="1350"/>
        <v/>
      </c>
      <c r="EH98" s="43" t="str">
        <f t="shared" si="1351"/>
        <v/>
      </c>
      <c r="EI98" s="43" t="str">
        <f t="shared" si="1352"/>
        <v/>
      </c>
      <c r="EJ98" s="43" t="str">
        <f t="shared" si="1353"/>
        <v/>
      </c>
      <c r="EK98" s="43" t="str">
        <f t="shared" si="1354"/>
        <v/>
      </c>
      <c r="EL98" s="43" t="str">
        <f t="shared" si="1355"/>
        <v/>
      </c>
      <c r="EM98" s="43" t="str">
        <f t="shared" si="1356"/>
        <v/>
      </c>
      <c r="EN98" s="43" t="str">
        <f t="shared" si="1357"/>
        <v/>
      </c>
      <c r="EO98" s="43" t="str">
        <f t="shared" si="1358"/>
        <v/>
      </c>
      <c r="EP98" s="43" t="str">
        <f t="shared" si="1359"/>
        <v/>
      </c>
      <c r="EQ98" s="43" t="str">
        <f t="shared" si="1360"/>
        <v/>
      </c>
      <c r="ER98" s="43" t="str">
        <f t="shared" si="1361"/>
        <v/>
      </c>
      <c r="ES98" s="43" t="str">
        <f t="shared" si="1362"/>
        <v/>
      </c>
      <c r="ET98" s="43" t="str">
        <f t="shared" si="1363"/>
        <v/>
      </c>
      <c r="EU98" s="43" t="str">
        <f t="shared" si="1364"/>
        <v/>
      </c>
      <c r="EV98" s="43" t="str">
        <f t="shared" si="1365"/>
        <v/>
      </c>
      <c r="EW98" s="43" t="str">
        <f t="shared" si="1366"/>
        <v/>
      </c>
      <c r="EX98" s="43" t="str">
        <f t="shared" si="1367"/>
        <v/>
      </c>
      <c r="EY98" s="43" t="str">
        <f t="shared" si="1368"/>
        <v/>
      </c>
      <c r="EZ98" s="43" t="str">
        <f t="shared" si="1369"/>
        <v/>
      </c>
      <c r="FA98" s="43" t="str">
        <f t="shared" si="1370"/>
        <v/>
      </c>
      <c r="FB98" s="43" t="str">
        <f t="shared" si="1371"/>
        <v/>
      </c>
      <c r="FC98" s="43" t="str">
        <f t="shared" si="1372"/>
        <v/>
      </c>
      <c r="FD98" s="43" t="str">
        <f t="shared" si="1373"/>
        <v/>
      </c>
      <c r="FE98" s="43" t="str">
        <f t="shared" si="1374"/>
        <v/>
      </c>
      <c r="FF98" s="43" t="str">
        <f t="shared" si="1375"/>
        <v/>
      </c>
      <c r="FG98" s="43" t="str">
        <f t="shared" si="1376"/>
        <v/>
      </c>
      <c r="FH98" s="43" t="str">
        <f t="shared" si="1377"/>
        <v/>
      </c>
      <c r="FI98" s="43" t="str">
        <f t="shared" si="1378"/>
        <v/>
      </c>
      <c r="FJ98" s="43" t="str">
        <f t="shared" si="1379"/>
        <v/>
      </c>
      <c r="FK98" s="43" t="str">
        <f t="shared" si="1380"/>
        <v/>
      </c>
      <c r="FL98" s="43" t="str">
        <f t="shared" si="1381"/>
        <v/>
      </c>
      <c r="FM98" s="43" t="str">
        <f t="shared" si="1382"/>
        <v/>
      </c>
      <c r="FN98" s="43" t="str">
        <f t="shared" si="1383"/>
        <v/>
      </c>
      <c r="FO98" s="43" t="str">
        <f t="shared" si="1384"/>
        <v/>
      </c>
      <c r="FP98" s="43" t="str">
        <f t="shared" si="1385"/>
        <v/>
      </c>
      <c r="FQ98" s="43" t="str">
        <f t="shared" si="1386"/>
        <v/>
      </c>
      <c r="FR98" s="43" t="str">
        <f t="shared" si="1387"/>
        <v/>
      </c>
      <c r="FS98" s="43" t="str">
        <f t="shared" si="1388"/>
        <v/>
      </c>
    </row>
    <row r="99" ht="57.6" spans="1:175">
      <c r="A99" s="4"/>
      <c r="B99" s="4" t="s">
        <v>401</v>
      </c>
      <c r="C99" s="4" t="s">
        <v>402</v>
      </c>
      <c r="T99" s="82" t="s">
        <v>403</v>
      </c>
      <c r="U99" s="59" t="str">
        <f t="shared" si="1168"/>
        <v>ReplaceableTextures\\CommandButtons\\BTNI012.blp</v>
      </c>
      <c r="CN99" s="12" t="str">
        <f t="shared" si="1169"/>
        <v>InitUnitState('I012',,,,,,,,,,)</v>
      </c>
      <c r="CO99" s="12" t="str">
        <f t="shared" si="1170"/>
        <v>InitUnitNormal('I012',,,,,,,,,,)</v>
      </c>
      <c r="CP99" s="12" t="str">
        <f t="shared" si="1171"/>
        <v>InitUnitMagic('I012',,,,,,,,,,)</v>
      </c>
      <c r="CQ99" s="12" t="str">
        <f t="shared" si="1172"/>
        <v>InitUnitAdd('I012',,,,,,,,,,)</v>
      </c>
      <c r="CR99" s="12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153&amp;CR$1&amp;")"</f>
        <v>InitEquipData('I012',,"",,,,,'','','','','','',"ReplaceableTextures\\CommandButtons\\BTNIT03.blp")</v>
      </c>
      <c r="CU99" s="71" t="str">
        <f t="shared" ref="CU99:CU100" si="1461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5" t="str">
        <f t="shared" ref="CV99:CV100" si="1462">T99</f>
        <v>击杀|Cffffd24d600|r只怪物后可获得：|n|n|Cffffd24d金币：|r|n30769|n|n|Cffffd24d攻击和法强：|r|n2100~3500</v>
      </c>
      <c r="CW99" s="6"/>
      <c r="CX99" s="6"/>
      <c r="CY99" s="6"/>
      <c r="CZ99" s="6"/>
      <c r="DA99" s="6"/>
      <c r="DB99" s="43" t="str">
        <f t="shared" ref="DB99:DB100" si="1463">IF(V99="","","|n"&amp;DB$2&amp;"+"&amp;V99&amp;DB$1)</f>
        <v/>
      </c>
      <c r="DC99" s="43" t="str">
        <f t="shared" ref="DC99:DC100" si="1464">IF(W99="","","|n"&amp;DC$2&amp;"+"&amp;W99&amp;DC$1)</f>
        <v/>
      </c>
      <c r="DD99" s="43" t="str">
        <f t="shared" ref="DD99:DD100" si="1465">IF(X99="","","|n"&amp;DD$2&amp;"+"&amp;X99&amp;DD$1)</f>
        <v/>
      </c>
      <c r="DE99" s="43" t="str">
        <f t="shared" ref="DE99:DE100" si="1466">IF(Y99="","","|n"&amp;DE$2&amp;"+"&amp;Y99&amp;DE$1)</f>
        <v/>
      </c>
      <c r="DF99" s="43" t="str">
        <f t="shared" ref="DF99:DF100" si="1467">IF(Z99="","","|n"&amp;DF$2&amp;"+"&amp;Z99&amp;DF$1)</f>
        <v/>
      </c>
      <c r="DG99" s="43" t="str">
        <f t="shared" ref="DG99:DG100" si="1468">IF(AA99="","","|n"&amp;DG$2&amp;"+"&amp;AA99&amp;DG$1)</f>
        <v/>
      </c>
      <c r="DH99" s="43" t="str">
        <f t="shared" ref="DH99:DH100" si="1469">IF(AB99="","","|n"&amp;DH$2&amp;"+"&amp;AB99&amp;DH$1)</f>
        <v/>
      </c>
      <c r="DI99" s="43" t="str">
        <f t="shared" ref="DI99:DI100" si="1470">IF(AC99="","","|n"&amp;DI$2&amp;"+"&amp;AC99&amp;DI$1)</f>
        <v/>
      </c>
      <c r="DJ99" s="43" t="str">
        <f t="shared" ref="DJ99:DJ100" si="1471">IF(AD99="","","|n"&amp;DJ$2&amp;"+"&amp;AD99&amp;DJ$1)</f>
        <v/>
      </c>
      <c r="DK99" s="43" t="str">
        <f t="shared" ref="DK99:DK100" si="1472">IF(AE99="","","|n"&amp;DK$2&amp;"+"&amp;AE99&amp;DK$1)</f>
        <v/>
      </c>
      <c r="DL99" s="43" t="str">
        <f t="shared" ref="DL99:DL100" si="1473">IF(AF99="","","|n"&amp;DL$2&amp;"+"&amp;AF99&amp;DL$1)</f>
        <v/>
      </c>
      <c r="DM99" s="43" t="str">
        <f t="shared" ref="DM99:DM100" si="1474">IF(AG99="","","|n"&amp;DM$2&amp;"+"&amp;AG99&amp;DM$1)</f>
        <v/>
      </c>
      <c r="DN99" s="43" t="str">
        <f t="shared" ref="DN99:DN100" si="1475">IF(AH99="","","|n"&amp;DN$2&amp;"+"&amp;AH99&amp;DN$1)</f>
        <v/>
      </c>
      <c r="DO99" s="43" t="str">
        <f t="shared" ref="DO99:DO100" si="1476">IF(AI99="","","|n"&amp;DO$2&amp;"+"&amp;AI99&amp;DO$1)</f>
        <v/>
      </c>
      <c r="DP99" s="43" t="str">
        <f t="shared" ref="DP99:DP100" si="1477">IF(AJ99="","","|n"&amp;DP$2&amp;"+"&amp;AJ99&amp;DP$1)</f>
        <v/>
      </c>
      <c r="DQ99" s="43" t="str">
        <f t="shared" ref="DQ99:DQ100" si="1478">IF(AK99="","","|n"&amp;DQ$2&amp;"+"&amp;AK99&amp;DQ$1)</f>
        <v/>
      </c>
      <c r="DR99" s="43" t="str">
        <f t="shared" ref="DR99:DR100" si="1479">IF(AL99="","","|n"&amp;DR$2&amp;"+"&amp;AL99&amp;DR$1)</f>
        <v/>
      </c>
      <c r="DS99" s="43" t="str">
        <f t="shared" ref="DS99:DS100" si="1480">IF(AM99="","","|n"&amp;DS$2&amp;"+"&amp;AM99&amp;DS$1)</f>
        <v/>
      </c>
      <c r="DT99" s="43" t="str">
        <f t="shared" ref="DT99:DT100" si="1481">IF(AN99="","","|n"&amp;DT$2&amp;"+"&amp;AN99&amp;DT$1)</f>
        <v/>
      </c>
      <c r="DU99" s="43" t="str">
        <f t="shared" ref="DU99:DU100" si="1482">IF(AO99="","","|n"&amp;DU$2&amp;"+"&amp;AO99&amp;DU$1)</f>
        <v/>
      </c>
      <c r="DV99" s="43" t="str">
        <f t="shared" ref="DV99:DV100" si="1483">IF(AP99="","","|n"&amp;DV$2&amp;"+"&amp;AP99&amp;DV$1)</f>
        <v/>
      </c>
      <c r="DW99" s="43" t="str">
        <f t="shared" ref="DW99:DW100" si="1484">IF(AQ99="","","|n"&amp;DW$2&amp;"+"&amp;AQ99&amp;DW$1)</f>
        <v/>
      </c>
      <c r="DX99" s="43" t="str">
        <f t="shared" ref="DX99:DX100" si="1485">IF(AR99="","","|n"&amp;DX$2&amp;"+"&amp;AR99&amp;DX$1)</f>
        <v/>
      </c>
      <c r="DY99" s="43" t="str">
        <f t="shared" ref="DY99:DY100" si="1486">IF(AS99="","","|n"&amp;DY$2&amp;"+"&amp;AS99&amp;DY$1)</f>
        <v/>
      </c>
      <c r="DZ99" s="43" t="str">
        <f t="shared" ref="DZ99:DZ100" si="1487">IF(AT99="","","|n"&amp;DZ$2&amp;"+"&amp;AT99&amp;DZ$1)</f>
        <v/>
      </c>
      <c r="EA99" s="43" t="str">
        <f t="shared" ref="EA99:EA100" si="1488">IF(AU99="","","|n"&amp;EA$2&amp;"+"&amp;AU99&amp;EA$1)</f>
        <v/>
      </c>
      <c r="EB99" s="43" t="str">
        <f t="shared" ref="EB99:EB100" si="1489">IF(AV99="","","|n"&amp;EB$2&amp;"+"&amp;AV99&amp;EB$1)</f>
        <v/>
      </c>
      <c r="EC99" s="43" t="str">
        <f t="shared" ref="EC99:EC100" si="1490">IF(AW99="","","|n"&amp;EC$2&amp;"+"&amp;AW99&amp;EC$1)</f>
        <v/>
      </c>
      <c r="ED99" s="43" t="str">
        <f t="shared" ref="ED99:ED100" si="1491">IF(AX99="","","|n"&amp;ED$2&amp;"+"&amp;AX99&amp;ED$1)</f>
        <v/>
      </c>
      <c r="EE99" s="43" t="str">
        <f t="shared" ref="EE99:EE100" si="1492">IF(AY99="","","|n"&amp;EE$2&amp;"+"&amp;AY99&amp;EE$1)</f>
        <v/>
      </c>
      <c r="EF99" s="43" t="str">
        <f t="shared" ref="EF99:EF100" si="1493">IF(AZ99="","","|n"&amp;EF$2&amp;"+"&amp;AZ99&amp;EF$1)</f>
        <v/>
      </c>
      <c r="EG99" s="43" t="str">
        <f t="shared" ref="EG99:EG100" si="1494">IF(BA99="","","|n"&amp;EG$2&amp;"+"&amp;BA99&amp;EG$1)</f>
        <v/>
      </c>
      <c r="EH99" s="43" t="str">
        <f t="shared" ref="EH99:EH100" si="1495">IF(BB99="","","|n"&amp;EH$2&amp;"+"&amp;BB99&amp;EH$1)</f>
        <v/>
      </c>
      <c r="EI99" s="43" t="str">
        <f t="shared" ref="EI99:EI100" si="1496">IF(BC99="","","|n"&amp;EI$2&amp;"+"&amp;BC99&amp;EI$1)</f>
        <v/>
      </c>
      <c r="EJ99" s="43" t="str">
        <f t="shared" ref="EJ99:EJ100" si="1497">IF(BD99="","","|n"&amp;EJ$2&amp;"+"&amp;BD99&amp;EJ$1)</f>
        <v/>
      </c>
      <c r="EK99" s="43" t="str">
        <f t="shared" ref="EK99:EK100" si="1498">IF(BE99="","","|n"&amp;EK$2&amp;"+"&amp;BE99&amp;EK$1)</f>
        <v/>
      </c>
      <c r="EL99" s="43" t="str">
        <f t="shared" ref="EL99:EL100" si="1499">IF(BF99="","","|n"&amp;EL$2&amp;"+"&amp;BF99&amp;EL$1)</f>
        <v/>
      </c>
      <c r="EM99" s="43" t="str">
        <f t="shared" ref="EM99:EM100" si="1500">IF(BG99="","","|n"&amp;EM$2&amp;"+"&amp;BG99&amp;EM$1)</f>
        <v/>
      </c>
      <c r="EN99" s="43" t="str">
        <f t="shared" ref="EN99:EN100" si="1501">IF(BH99="","","|n"&amp;EN$2&amp;"+"&amp;BH99&amp;EN$1)</f>
        <v/>
      </c>
      <c r="EO99" s="43" t="str">
        <f t="shared" ref="EO99:EO100" si="1502">IF(BI99="","","|n"&amp;EO$2&amp;"+"&amp;BI99&amp;EO$1)</f>
        <v/>
      </c>
      <c r="EP99" s="43" t="str">
        <f t="shared" ref="EP99:EP100" si="1503">IF(BJ99="","","|n"&amp;EP$2&amp;"+"&amp;BJ99&amp;EP$1)</f>
        <v/>
      </c>
      <c r="EQ99" s="43" t="str">
        <f t="shared" ref="EQ99:EQ100" si="1504">IF(BK99="","","|n"&amp;EQ$2&amp;"+"&amp;BK99&amp;EQ$1)</f>
        <v/>
      </c>
      <c r="ER99" s="43" t="str">
        <f t="shared" ref="ER99:ER100" si="1505">IF(BL99="","","|n"&amp;ER$2&amp;"+"&amp;BL99&amp;ER$1)</f>
        <v/>
      </c>
      <c r="ES99" s="43" t="str">
        <f t="shared" ref="ES99:ES100" si="1506">IF(BM99="","","|n"&amp;ES$2&amp;"+"&amp;BM99&amp;ES$1)</f>
        <v/>
      </c>
      <c r="ET99" s="43" t="str">
        <f t="shared" ref="ET99:ET100" si="1507">IF(BN99="","","|n"&amp;ET$2&amp;"+"&amp;BN99&amp;ET$1)</f>
        <v/>
      </c>
      <c r="EU99" s="43" t="str">
        <f t="shared" ref="EU99:EU100" si="1508">IF(BO99="","","|n"&amp;EU$2&amp;"+"&amp;BO99&amp;EU$1)</f>
        <v/>
      </c>
      <c r="EV99" s="43" t="str">
        <f t="shared" ref="EV99:EV100" si="1509">IF(BP99="","","|n"&amp;EV$2&amp;"+"&amp;BP99&amp;EV$1)</f>
        <v/>
      </c>
      <c r="EW99" s="43" t="str">
        <f t="shared" ref="EW99:EW100" si="1510">IF(BQ99="","","|n"&amp;EW$2&amp;"+"&amp;BQ99&amp;EW$1)</f>
        <v/>
      </c>
      <c r="EX99" s="43" t="str">
        <f t="shared" ref="EX99:EX100" si="1511">IF(BR99="","","|n"&amp;EX$2&amp;"+"&amp;BR99&amp;EX$1)</f>
        <v/>
      </c>
      <c r="EY99" s="43" t="str">
        <f t="shared" ref="EY99:EY100" si="1512">IF(BS99="","","|n"&amp;EY$2&amp;"+"&amp;BS99&amp;EY$1)</f>
        <v/>
      </c>
      <c r="EZ99" s="43" t="str">
        <f t="shared" ref="EZ99:EZ100" si="1513">IF(BT99="","","|n"&amp;EZ$2&amp;"+"&amp;BT99&amp;EZ$1)</f>
        <v/>
      </c>
      <c r="FA99" s="43" t="str">
        <f t="shared" ref="FA99:FA100" si="1514">IF(BU99="","","|n"&amp;FA$2&amp;"+"&amp;BU99&amp;FA$1)</f>
        <v/>
      </c>
      <c r="FB99" s="43" t="str">
        <f t="shared" ref="FB99:FB100" si="1515">IF(BV99="","","|n"&amp;FB$2&amp;"+"&amp;BV99&amp;FB$1)</f>
        <v/>
      </c>
      <c r="FC99" s="43" t="str">
        <f t="shared" ref="FC99:FC100" si="1516">IF(BW99="","","|n"&amp;FC$2&amp;"+"&amp;BW99&amp;FC$1)</f>
        <v/>
      </c>
      <c r="FD99" s="43" t="str">
        <f t="shared" ref="FD99:FD100" si="1517">IF(BX99="","","|n"&amp;FD$2&amp;"+"&amp;BX99&amp;FD$1)</f>
        <v/>
      </c>
      <c r="FE99" s="43" t="str">
        <f t="shared" ref="FE99:FE100" si="1518">IF(BY99="","","|n"&amp;FE$2&amp;"+"&amp;BY99&amp;FE$1)</f>
        <v/>
      </c>
      <c r="FF99" s="43" t="str">
        <f t="shared" ref="FF99:FF100" si="1519">IF(BZ99="","","|n"&amp;FF$2&amp;"+"&amp;BZ99&amp;FF$1)</f>
        <v/>
      </c>
      <c r="FG99" s="43" t="str">
        <f t="shared" ref="FG99:FG100" si="1520">IF(CA99="","","|n"&amp;FG$2&amp;"+"&amp;CA99&amp;FG$1)</f>
        <v/>
      </c>
      <c r="FH99" s="43" t="str">
        <f t="shared" ref="FH99:FH100" si="1521">IF(CB99="","","|n"&amp;FH$2&amp;"+"&amp;CB99&amp;FH$1)</f>
        <v/>
      </c>
      <c r="FI99" s="43" t="str">
        <f t="shared" ref="FI99:FI100" si="1522">IF(CC99="","","|n"&amp;FI$2&amp;"+"&amp;CC99&amp;FI$1)</f>
        <v/>
      </c>
      <c r="FJ99" s="43" t="str">
        <f t="shared" ref="FJ99:FJ100" si="1523">IF(CD99="","","|n"&amp;FJ$2&amp;"+"&amp;CD99&amp;FJ$1)</f>
        <v/>
      </c>
      <c r="FK99" s="43" t="str">
        <f t="shared" ref="FK99:FK100" si="1524">IF(CE99="","","|n"&amp;FK$2&amp;"+"&amp;CE99&amp;FK$1)</f>
        <v/>
      </c>
      <c r="FL99" s="43" t="str">
        <f t="shared" ref="FL99:FL100" si="1525">IF(CF99="","","|n"&amp;FL$2&amp;"+"&amp;CF99&amp;FL$1)</f>
        <v/>
      </c>
      <c r="FM99" s="43" t="str">
        <f t="shared" ref="FM99:FM100" si="1526">IF(CG99="","","|n"&amp;FM$2&amp;"+"&amp;CG99&amp;FM$1)</f>
        <v/>
      </c>
      <c r="FN99" s="43" t="str">
        <f t="shared" ref="FN99:FN100" si="1527">IF(CH99="","","|n"&amp;FN$2&amp;"+"&amp;CH99&amp;FN$1)</f>
        <v/>
      </c>
      <c r="FO99" s="43" t="str">
        <f t="shared" ref="FO99:FO100" si="1528">IF(CI99="","","|n"&amp;FO$2&amp;"+"&amp;CI99&amp;FO$1)</f>
        <v/>
      </c>
      <c r="FP99" s="43" t="str">
        <f t="shared" ref="FP99:FP100" si="1529">IF(CJ99="","","|n"&amp;FP$2&amp;"+"&amp;CJ99&amp;FP$1)</f>
        <v/>
      </c>
      <c r="FQ99" s="43" t="str">
        <f t="shared" ref="FQ99:FQ100" si="1530">IF(CK99="","","|n"&amp;FQ$2&amp;"+"&amp;CK99&amp;FQ$1)</f>
        <v/>
      </c>
      <c r="FR99" s="43" t="str">
        <f t="shared" ref="FR99:FR100" si="1531">IF(CL99="","","|n"&amp;FR$2&amp;"+"&amp;CL99&amp;FR$1)</f>
        <v/>
      </c>
      <c r="FS99" s="43" t="str">
        <f t="shared" ref="FS99:FS100" si="1532">IF(CM99="","","|n"&amp;FS$2&amp;"+"&amp;CM99&amp;FS$1)</f>
        <v/>
      </c>
    </row>
    <row r="100" ht="57.6" spans="1:175">
      <c r="A100" s="4"/>
      <c r="B100" s="4" t="s">
        <v>404</v>
      </c>
      <c r="C100" s="4" t="s">
        <v>405</v>
      </c>
      <c r="T100" s="82" t="s">
        <v>406</v>
      </c>
      <c r="U100" s="59" t="str">
        <f t="shared" si="1168"/>
        <v>ReplaceableTextures\\CommandButtons\\BTNI013.blp</v>
      </c>
      <c r="CN100" s="12" t="str">
        <f t="shared" si="1169"/>
        <v>InitUnitState('I013',,,,,,,,,,)</v>
      </c>
      <c r="CO100" s="12" t="str">
        <f t="shared" si="1170"/>
        <v>InitUnitNormal('I013',,,,,,,,,,)</v>
      </c>
      <c r="CP100" s="12" t="str">
        <f t="shared" si="1171"/>
        <v>InitUnitMagic('I013',,,,,,,,,,)</v>
      </c>
      <c r="CQ100" s="12" t="str">
        <f t="shared" si="1172"/>
        <v>InitUnitAdd('I013',,,,,,,,,,)</v>
      </c>
      <c r="CR100" s="12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InitEquipData('I013',,"",,,,,'','','','','','',"ReplaceableTextures\\CommandButtons\\BTNIT04.blp")</v>
      </c>
      <c r="CU100" s="71" t="str">
        <f t="shared" si="1461"/>
        <v>|n</v>
      </c>
      <c r="CV100" s="5" t="str">
        <f t="shared" si="1462"/>
        <v>击杀|Cffffd24d600|r只怪物后可获得：|n|n|Cffffd24d金币：|r|n47619 |n|n|Cffffd24d攻击和法强：|r|n6000~10000</v>
      </c>
      <c r="CW100" s="6"/>
      <c r="CX100" s="6"/>
      <c r="CY100" s="6"/>
      <c r="CZ100" s="6"/>
      <c r="DA100" s="6"/>
      <c r="DB100" s="43" t="str">
        <f t="shared" si="1463"/>
        <v/>
      </c>
      <c r="DC100" s="43" t="str">
        <f t="shared" si="1464"/>
        <v/>
      </c>
      <c r="DD100" s="43" t="str">
        <f t="shared" si="1465"/>
        <v/>
      </c>
      <c r="DE100" s="43" t="str">
        <f t="shared" si="1466"/>
        <v/>
      </c>
      <c r="DF100" s="43" t="str">
        <f t="shared" si="1467"/>
        <v/>
      </c>
      <c r="DG100" s="43" t="str">
        <f t="shared" si="1468"/>
        <v/>
      </c>
      <c r="DH100" s="43" t="str">
        <f t="shared" si="1469"/>
        <v/>
      </c>
      <c r="DI100" s="43" t="str">
        <f t="shared" si="1470"/>
        <v/>
      </c>
      <c r="DJ100" s="43" t="str">
        <f t="shared" si="1471"/>
        <v/>
      </c>
      <c r="DK100" s="43" t="str">
        <f t="shared" si="1472"/>
        <v/>
      </c>
      <c r="DL100" s="43" t="str">
        <f t="shared" si="1473"/>
        <v/>
      </c>
      <c r="DM100" s="43" t="str">
        <f t="shared" si="1474"/>
        <v/>
      </c>
      <c r="DN100" s="43" t="str">
        <f t="shared" si="1475"/>
        <v/>
      </c>
      <c r="DO100" s="43" t="str">
        <f t="shared" si="1476"/>
        <v/>
      </c>
      <c r="DP100" s="43" t="str">
        <f t="shared" si="1477"/>
        <v/>
      </c>
      <c r="DQ100" s="43" t="str">
        <f t="shared" si="1478"/>
        <v/>
      </c>
      <c r="DR100" s="43" t="str">
        <f t="shared" si="1479"/>
        <v/>
      </c>
      <c r="DS100" s="43" t="str">
        <f t="shared" si="1480"/>
        <v/>
      </c>
      <c r="DT100" s="43" t="str">
        <f t="shared" si="1481"/>
        <v/>
      </c>
      <c r="DU100" s="43" t="str">
        <f t="shared" si="1482"/>
        <v/>
      </c>
      <c r="DV100" s="43" t="str">
        <f t="shared" si="1483"/>
        <v/>
      </c>
      <c r="DW100" s="43" t="str">
        <f t="shared" si="1484"/>
        <v/>
      </c>
      <c r="DX100" s="43" t="str">
        <f t="shared" si="1485"/>
        <v/>
      </c>
      <c r="DY100" s="43" t="str">
        <f t="shared" si="1486"/>
        <v/>
      </c>
      <c r="DZ100" s="43" t="str">
        <f t="shared" si="1487"/>
        <v/>
      </c>
      <c r="EA100" s="43" t="str">
        <f t="shared" si="1488"/>
        <v/>
      </c>
      <c r="EB100" s="43" t="str">
        <f t="shared" si="1489"/>
        <v/>
      </c>
      <c r="EC100" s="43" t="str">
        <f t="shared" si="1490"/>
        <v/>
      </c>
      <c r="ED100" s="43" t="str">
        <f t="shared" si="1491"/>
        <v/>
      </c>
      <c r="EE100" s="43" t="str">
        <f t="shared" si="1492"/>
        <v/>
      </c>
      <c r="EF100" s="43" t="str">
        <f t="shared" si="1493"/>
        <v/>
      </c>
      <c r="EG100" s="43" t="str">
        <f t="shared" si="1494"/>
        <v/>
      </c>
      <c r="EH100" s="43" t="str">
        <f t="shared" si="1495"/>
        <v/>
      </c>
      <c r="EI100" s="43" t="str">
        <f t="shared" si="1496"/>
        <v/>
      </c>
      <c r="EJ100" s="43" t="str">
        <f t="shared" si="1497"/>
        <v/>
      </c>
      <c r="EK100" s="43" t="str">
        <f t="shared" si="1498"/>
        <v/>
      </c>
      <c r="EL100" s="43" t="str">
        <f t="shared" si="1499"/>
        <v/>
      </c>
      <c r="EM100" s="43" t="str">
        <f t="shared" si="1500"/>
        <v/>
      </c>
      <c r="EN100" s="43" t="str">
        <f t="shared" si="1501"/>
        <v/>
      </c>
      <c r="EO100" s="43" t="str">
        <f t="shared" si="1502"/>
        <v/>
      </c>
      <c r="EP100" s="43" t="str">
        <f t="shared" si="1503"/>
        <v/>
      </c>
      <c r="EQ100" s="43" t="str">
        <f t="shared" si="1504"/>
        <v/>
      </c>
      <c r="ER100" s="43" t="str">
        <f t="shared" si="1505"/>
        <v/>
      </c>
      <c r="ES100" s="43" t="str">
        <f t="shared" si="1506"/>
        <v/>
      </c>
      <c r="ET100" s="43" t="str">
        <f t="shared" si="1507"/>
        <v/>
      </c>
      <c r="EU100" s="43" t="str">
        <f t="shared" si="1508"/>
        <v/>
      </c>
      <c r="EV100" s="43" t="str">
        <f t="shared" si="1509"/>
        <v/>
      </c>
      <c r="EW100" s="43" t="str">
        <f t="shared" si="1510"/>
        <v/>
      </c>
      <c r="EX100" s="43" t="str">
        <f t="shared" si="1511"/>
        <v/>
      </c>
      <c r="EY100" s="43" t="str">
        <f t="shared" si="1512"/>
        <v/>
      </c>
      <c r="EZ100" s="43" t="str">
        <f t="shared" si="1513"/>
        <v/>
      </c>
      <c r="FA100" s="43" t="str">
        <f t="shared" si="1514"/>
        <v/>
      </c>
      <c r="FB100" s="43" t="str">
        <f t="shared" si="1515"/>
        <v/>
      </c>
      <c r="FC100" s="43" t="str">
        <f t="shared" si="1516"/>
        <v/>
      </c>
      <c r="FD100" s="43" t="str">
        <f t="shared" si="1517"/>
        <v/>
      </c>
      <c r="FE100" s="43" t="str">
        <f t="shared" si="1518"/>
        <v/>
      </c>
      <c r="FF100" s="43" t="str">
        <f t="shared" si="1519"/>
        <v/>
      </c>
      <c r="FG100" s="43" t="str">
        <f t="shared" si="1520"/>
        <v/>
      </c>
      <c r="FH100" s="43" t="str">
        <f t="shared" si="1521"/>
        <v/>
      </c>
      <c r="FI100" s="43" t="str">
        <f t="shared" si="1522"/>
        <v/>
      </c>
      <c r="FJ100" s="43" t="str">
        <f t="shared" si="1523"/>
        <v/>
      </c>
      <c r="FK100" s="43" t="str">
        <f t="shared" si="1524"/>
        <v/>
      </c>
      <c r="FL100" s="43" t="str">
        <f t="shared" si="1525"/>
        <v/>
      </c>
      <c r="FM100" s="43" t="str">
        <f t="shared" si="1526"/>
        <v/>
      </c>
      <c r="FN100" s="43" t="str">
        <f t="shared" si="1527"/>
        <v/>
      </c>
      <c r="FO100" s="43" t="str">
        <f t="shared" si="1528"/>
        <v/>
      </c>
      <c r="FP100" s="43" t="str">
        <f t="shared" si="1529"/>
        <v/>
      </c>
      <c r="FQ100" s="43" t="str">
        <f t="shared" si="1530"/>
        <v/>
      </c>
      <c r="FR100" s="43" t="str">
        <f t="shared" si="1531"/>
        <v/>
      </c>
      <c r="FS100" s="43" t="str">
        <f t="shared" si="1532"/>
        <v/>
      </c>
    </row>
    <row r="101" ht="57.6" spans="1:175">
      <c r="A101" s="4"/>
      <c r="B101" s="4" t="s">
        <v>407</v>
      </c>
      <c r="C101" s="4" t="s">
        <v>408</v>
      </c>
      <c r="T101" s="82" t="s">
        <v>409</v>
      </c>
      <c r="U101" s="59" t="str">
        <f t="shared" si="1168"/>
        <v>ReplaceableTextures\\CommandButtons\\BTNI014.blp</v>
      </c>
      <c r="CN101" s="12" t="str">
        <f t="shared" si="1169"/>
        <v>InitUnitState('I014',,,,,,,,,,)</v>
      </c>
      <c r="CO101" s="12" t="str">
        <f t="shared" si="1170"/>
        <v>InitUnitNormal('I014',,,,,,,,,,)</v>
      </c>
      <c r="CP101" s="12" t="str">
        <f t="shared" si="1171"/>
        <v>InitUnitMagic('I014',,,,,,,,,,)</v>
      </c>
      <c r="CQ101" s="12" t="str">
        <f t="shared" si="1172"/>
        <v>InitUnitAdd('I014',,,,,,,,,,)</v>
      </c>
      <c r="CR101" s="12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InitEquipData('I014',,"",,,,,'','','','','','',"ReplaceableTextures\\CommandButtons\\BTNIT05.blp")</v>
      </c>
      <c r="CU101" s="71" t="str">
        <f t="shared" ref="CU101:CU140" si="1533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5" t="str">
        <f t="shared" ref="CV101:CV140" si="1534">T101</f>
        <v>击杀|Cffffd24d600|r只怪物后可获得：|n|n|Cffffd24d金币：|r|n80952  |n|n|Cffffd24d攻击和法强：|r|n11880~19800</v>
      </c>
      <c r="CW101" s="6"/>
      <c r="CX101" s="6"/>
      <c r="CY101" s="6"/>
      <c r="CZ101" s="6"/>
      <c r="DA101" s="6"/>
      <c r="DB101" s="43" t="str">
        <f t="shared" ref="DB101:DB140" si="1535">IF(V101="","","|n"&amp;DB$2&amp;"+"&amp;V101&amp;DB$1)</f>
        <v/>
      </c>
      <c r="DC101" s="43" t="str">
        <f t="shared" ref="DC101:DC140" si="1536">IF(W101="","","|n"&amp;DC$2&amp;"+"&amp;W101&amp;DC$1)</f>
        <v/>
      </c>
      <c r="DD101" s="43" t="str">
        <f t="shared" ref="DD101:DD140" si="1537">IF(X101="","","|n"&amp;DD$2&amp;"+"&amp;X101&amp;DD$1)</f>
        <v/>
      </c>
      <c r="DE101" s="43" t="str">
        <f t="shared" ref="DE101:DE140" si="1538">IF(Y101="","","|n"&amp;DE$2&amp;"+"&amp;Y101&amp;DE$1)</f>
        <v/>
      </c>
      <c r="DF101" s="43" t="str">
        <f t="shared" ref="DF101:DF140" si="1539">IF(Z101="","","|n"&amp;DF$2&amp;"+"&amp;Z101&amp;DF$1)</f>
        <v/>
      </c>
      <c r="DG101" s="43" t="str">
        <f t="shared" ref="DG101:DG140" si="1540">IF(AA101="","","|n"&amp;DG$2&amp;"+"&amp;AA101&amp;DG$1)</f>
        <v/>
      </c>
      <c r="DH101" s="43" t="str">
        <f t="shared" ref="DH101:DH140" si="1541">IF(AB101="","","|n"&amp;DH$2&amp;"+"&amp;AB101&amp;DH$1)</f>
        <v/>
      </c>
      <c r="DI101" s="43" t="str">
        <f t="shared" ref="DI101:DI140" si="1542">IF(AC101="","","|n"&amp;DI$2&amp;"+"&amp;AC101&amp;DI$1)</f>
        <v/>
      </c>
      <c r="DJ101" s="43" t="str">
        <f t="shared" ref="DJ101:DJ140" si="1543">IF(AD101="","","|n"&amp;DJ$2&amp;"+"&amp;AD101&amp;DJ$1)</f>
        <v/>
      </c>
      <c r="DK101" s="43" t="str">
        <f t="shared" ref="DK101:DK140" si="1544">IF(AE101="","","|n"&amp;DK$2&amp;"+"&amp;AE101&amp;DK$1)</f>
        <v/>
      </c>
      <c r="DL101" s="43" t="str">
        <f t="shared" ref="DL101:DL140" si="1545">IF(AF101="","","|n"&amp;DL$2&amp;"+"&amp;AF101&amp;DL$1)</f>
        <v/>
      </c>
      <c r="DM101" s="43" t="str">
        <f t="shared" ref="DM101:DM140" si="1546">IF(AG101="","","|n"&amp;DM$2&amp;"+"&amp;AG101&amp;DM$1)</f>
        <v/>
      </c>
      <c r="DN101" s="43" t="str">
        <f t="shared" ref="DN101:DN140" si="1547">IF(AH101="","","|n"&amp;DN$2&amp;"+"&amp;AH101&amp;DN$1)</f>
        <v/>
      </c>
      <c r="DO101" s="43" t="str">
        <f t="shared" ref="DO101:DO140" si="1548">IF(AI101="","","|n"&amp;DO$2&amp;"+"&amp;AI101&amp;DO$1)</f>
        <v/>
      </c>
      <c r="DP101" s="43" t="str">
        <f t="shared" ref="DP101:DP140" si="1549">IF(AJ101="","","|n"&amp;DP$2&amp;"+"&amp;AJ101&amp;DP$1)</f>
        <v/>
      </c>
      <c r="DQ101" s="43" t="str">
        <f t="shared" ref="DQ101:DQ140" si="1550">IF(AK101="","","|n"&amp;DQ$2&amp;"+"&amp;AK101&amp;DQ$1)</f>
        <v/>
      </c>
      <c r="DR101" s="43" t="str">
        <f t="shared" ref="DR101:DR140" si="1551">IF(AL101="","","|n"&amp;DR$2&amp;"+"&amp;AL101&amp;DR$1)</f>
        <v/>
      </c>
      <c r="DS101" s="43" t="str">
        <f t="shared" ref="DS101:DS140" si="1552">IF(AM101="","","|n"&amp;DS$2&amp;"+"&amp;AM101&amp;DS$1)</f>
        <v/>
      </c>
      <c r="DT101" s="43" t="str">
        <f t="shared" ref="DT101:DT140" si="1553">IF(AN101="","","|n"&amp;DT$2&amp;"+"&amp;AN101&amp;DT$1)</f>
        <v/>
      </c>
      <c r="DU101" s="43" t="str">
        <f t="shared" ref="DU101:DU140" si="1554">IF(AO101="","","|n"&amp;DU$2&amp;"+"&amp;AO101&amp;DU$1)</f>
        <v/>
      </c>
      <c r="DV101" s="43" t="str">
        <f t="shared" ref="DV101:DV140" si="1555">IF(AP101="","","|n"&amp;DV$2&amp;"+"&amp;AP101&amp;DV$1)</f>
        <v/>
      </c>
      <c r="DW101" s="43" t="str">
        <f t="shared" ref="DW101:DW140" si="1556">IF(AQ101="","","|n"&amp;DW$2&amp;"+"&amp;AQ101&amp;DW$1)</f>
        <v/>
      </c>
      <c r="DX101" s="43" t="str">
        <f t="shared" ref="DX101:DX140" si="1557">IF(AR101="","","|n"&amp;DX$2&amp;"+"&amp;AR101&amp;DX$1)</f>
        <v/>
      </c>
      <c r="DY101" s="43" t="str">
        <f t="shared" ref="DY101:DY140" si="1558">IF(AS101="","","|n"&amp;DY$2&amp;"+"&amp;AS101&amp;DY$1)</f>
        <v/>
      </c>
      <c r="DZ101" s="43" t="str">
        <f t="shared" ref="DZ101:DZ140" si="1559">IF(AT101="","","|n"&amp;DZ$2&amp;"+"&amp;AT101&amp;DZ$1)</f>
        <v/>
      </c>
      <c r="EA101" s="43" t="str">
        <f t="shared" ref="EA101:EA140" si="1560">IF(AU101="","","|n"&amp;EA$2&amp;"+"&amp;AU101&amp;EA$1)</f>
        <v/>
      </c>
      <c r="EB101" s="43" t="str">
        <f t="shared" ref="EB101:EB140" si="1561">IF(AV101="","","|n"&amp;EB$2&amp;"+"&amp;AV101&amp;EB$1)</f>
        <v/>
      </c>
      <c r="EC101" s="43" t="str">
        <f t="shared" ref="EC101:EC140" si="1562">IF(AW101="","","|n"&amp;EC$2&amp;"+"&amp;AW101&amp;EC$1)</f>
        <v/>
      </c>
      <c r="ED101" s="43" t="str">
        <f t="shared" ref="ED101:ED140" si="1563">IF(AX101="","","|n"&amp;ED$2&amp;"+"&amp;AX101&amp;ED$1)</f>
        <v/>
      </c>
      <c r="EE101" s="43" t="str">
        <f t="shared" ref="EE101:EE140" si="1564">IF(AY101="","","|n"&amp;EE$2&amp;"+"&amp;AY101&amp;EE$1)</f>
        <v/>
      </c>
      <c r="EF101" s="43" t="str">
        <f t="shared" ref="EF101:EF140" si="1565">IF(AZ101="","","|n"&amp;EF$2&amp;"+"&amp;AZ101&amp;EF$1)</f>
        <v/>
      </c>
      <c r="EG101" s="43" t="str">
        <f t="shared" ref="EG101:EG140" si="1566">IF(BA101="","","|n"&amp;EG$2&amp;"+"&amp;BA101&amp;EG$1)</f>
        <v/>
      </c>
      <c r="EH101" s="43" t="str">
        <f t="shared" ref="EH101:EH140" si="1567">IF(BB101="","","|n"&amp;EH$2&amp;"+"&amp;BB101&amp;EH$1)</f>
        <v/>
      </c>
      <c r="EI101" s="43" t="str">
        <f t="shared" ref="EI101:EI140" si="1568">IF(BC101="","","|n"&amp;EI$2&amp;"+"&amp;BC101&amp;EI$1)</f>
        <v/>
      </c>
      <c r="EJ101" s="43" t="str">
        <f t="shared" ref="EJ101:EJ140" si="1569">IF(BD101="","","|n"&amp;EJ$2&amp;"+"&amp;BD101&amp;EJ$1)</f>
        <v/>
      </c>
      <c r="EK101" s="43" t="str">
        <f t="shared" ref="EK101:EK140" si="1570">IF(BE101="","","|n"&amp;EK$2&amp;"+"&amp;BE101&amp;EK$1)</f>
        <v/>
      </c>
      <c r="EL101" s="43" t="str">
        <f t="shared" ref="EL101:EL140" si="1571">IF(BF101="","","|n"&amp;EL$2&amp;"+"&amp;BF101&amp;EL$1)</f>
        <v/>
      </c>
      <c r="EM101" s="43" t="str">
        <f t="shared" ref="EM101:EM140" si="1572">IF(BG101="","","|n"&amp;EM$2&amp;"+"&amp;BG101&amp;EM$1)</f>
        <v/>
      </c>
      <c r="EN101" s="43" t="str">
        <f t="shared" ref="EN101:EN140" si="1573">IF(BH101="","","|n"&amp;EN$2&amp;"+"&amp;BH101&amp;EN$1)</f>
        <v/>
      </c>
      <c r="EO101" s="43" t="str">
        <f t="shared" ref="EO101:EO140" si="1574">IF(BI101="","","|n"&amp;EO$2&amp;"+"&amp;BI101&amp;EO$1)</f>
        <v/>
      </c>
      <c r="EP101" s="43" t="str">
        <f t="shared" ref="EP101:EP140" si="1575">IF(BJ101="","","|n"&amp;EP$2&amp;"+"&amp;BJ101&amp;EP$1)</f>
        <v/>
      </c>
      <c r="EQ101" s="43" t="str">
        <f t="shared" ref="EQ101:EQ140" si="1576">IF(BK101="","","|n"&amp;EQ$2&amp;"+"&amp;BK101&amp;EQ$1)</f>
        <v/>
      </c>
      <c r="ER101" s="43" t="str">
        <f t="shared" ref="ER101:ER140" si="1577">IF(BL101="","","|n"&amp;ER$2&amp;"+"&amp;BL101&amp;ER$1)</f>
        <v/>
      </c>
      <c r="ES101" s="43" t="str">
        <f t="shared" ref="ES101:ES140" si="1578">IF(BM101="","","|n"&amp;ES$2&amp;"+"&amp;BM101&amp;ES$1)</f>
        <v/>
      </c>
      <c r="ET101" s="43" t="str">
        <f t="shared" ref="ET101:ET140" si="1579">IF(BN101="","","|n"&amp;ET$2&amp;"+"&amp;BN101&amp;ET$1)</f>
        <v/>
      </c>
      <c r="EU101" s="43" t="str">
        <f t="shared" ref="EU101:EU140" si="1580">IF(BO101="","","|n"&amp;EU$2&amp;"+"&amp;BO101&amp;EU$1)</f>
        <v/>
      </c>
      <c r="EV101" s="43" t="str">
        <f t="shared" ref="EV101:EV140" si="1581">IF(BP101="","","|n"&amp;EV$2&amp;"+"&amp;BP101&amp;EV$1)</f>
        <v/>
      </c>
      <c r="EW101" s="43" t="str">
        <f t="shared" ref="EW101:EW140" si="1582">IF(BQ101="","","|n"&amp;EW$2&amp;"+"&amp;BQ101&amp;EW$1)</f>
        <v/>
      </c>
      <c r="EX101" s="43" t="str">
        <f t="shared" ref="EX101:EX140" si="1583">IF(BR101="","","|n"&amp;EX$2&amp;"+"&amp;BR101&amp;EX$1)</f>
        <v/>
      </c>
      <c r="EY101" s="43" t="str">
        <f t="shared" ref="EY101:EY140" si="1584">IF(BS101="","","|n"&amp;EY$2&amp;"+"&amp;BS101&amp;EY$1)</f>
        <v/>
      </c>
      <c r="EZ101" s="43" t="str">
        <f t="shared" ref="EZ101:EZ140" si="1585">IF(BT101="","","|n"&amp;EZ$2&amp;"+"&amp;BT101&amp;EZ$1)</f>
        <v/>
      </c>
      <c r="FA101" s="43" t="str">
        <f t="shared" ref="FA101:FA140" si="1586">IF(BU101="","","|n"&amp;FA$2&amp;"+"&amp;BU101&amp;FA$1)</f>
        <v/>
      </c>
      <c r="FB101" s="43" t="str">
        <f t="shared" ref="FB101:FB140" si="1587">IF(BV101="","","|n"&amp;FB$2&amp;"+"&amp;BV101&amp;FB$1)</f>
        <v/>
      </c>
      <c r="FC101" s="43" t="str">
        <f t="shared" ref="FC101:FC140" si="1588">IF(BW101="","","|n"&amp;FC$2&amp;"+"&amp;BW101&amp;FC$1)</f>
        <v/>
      </c>
      <c r="FD101" s="43" t="str">
        <f t="shared" ref="FD101:FD140" si="1589">IF(BX101="","","|n"&amp;FD$2&amp;"+"&amp;BX101&amp;FD$1)</f>
        <v/>
      </c>
      <c r="FE101" s="43" t="str">
        <f t="shared" ref="FE101:FE140" si="1590">IF(BY101="","","|n"&amp;FE$2&amp;"+"&amp;BY101&amp;FE$1)</f>
        <v/>
      </c>
      <c r="FF101" s="43" t="str">
        <f t="shared" ref="FF101:FF140" si="1591">IF(BZ101="","","|n"&amp;FF$2&amp;"+"&amp;BZ101&amp;FF$1)</f>
        <v/>
      </c>
      <c r="FG101" s="43" t="str">
        <f t="shared" ref="FG101:FG140" si="1592">IF(CA101="","","|n"&amp;FG$2&amp;"+"&amp;CA101&amp;FG$1)</f>
        <v/>
      </c>
      <c r="FH101" s="43" t="str">
        <f t="shared" ref="FH101:FH140" si="1593">IF(CB101="","","|n"&amp;FH$2&amp;"+"&amp;CB101&amp;FH$1)</f>
        <v/>
      </c>
      <c r="FI101" s="43" t="str">
        <f t="shared" ref="FI101:FI140" si="1594">IF(CC101="","","|n"&amp;FI$2&amp;"+"&amp;CC101&amp;FI$1)</f>
        <v/>
      </c>
      <c r="FJ101" s="43" t="str">
        <f t="shared" ref="FJ101:FJ140" si="1595">IF(CD101="","","|n"&amp;FJ$2&amp;"+"&amp;CD101&amp;FJ$1)</f>
        <v/>
      </c>
      <c r="FK101" s="43" t="str">
        <f t="shared" ref="FK101:FK140" si="1596">IF(CE101="","","|n"&amp;FK$2&amp;"+"&amp;CE101&amp;FK$1)</f>
        <v/>
      </c>
      <c r="FL101" s="43" t="str">
        <f t="shared" ref="FL101:FL140" si="1597">IF(CF101="","","|n"&amp;FL$2&amp;"+"&amp;CF101&amp;FL$1)</f>
        <v/>
      </c>
      <c r="FM101" s="43" t="str">
        <f t="shared" ref="FM101:FM140" si="1598">IF(CG101="","","|n"&amp;FM$2&amp;"+"&amp;CG101&amp;FM$1)</f>
        <v/>
      </c>
      <c r="FN101" s="43" t="str">
        <f t="shared" ref="FN101:FN140" si="1599">IF(CH101="","","|n"&amp;FN$2&amp;"+"&amp;CH101&amp;FN$1)</f>
        <v/>
      </c>
      <c r="FO101" s="43" t="str">
        <f t="shared" ref="FO101:FO140" si="1600">IF(CI101="","","|n"&amp;FO$2&amp;"+"&amp;CI101&amp;FO$1)</f>
        <v/>
      </c>
      <c r="FP101" s="43" t="str">
        <f t="shared" ref="FP101:FP140" si="1601">IF(CJ101="","","|n"&amp;FP$2&amp;"+"&amp;CJ101&amp;FP$1)</f>
        <v/>
      </c>
      <c r="FQ101" s="43" t="str">
        <f t="shared" ref="FQ101:FQ140" si="1602">IF(CK101="","","|n"&amp;FQ$2&amp;"+"&amp;CK101&amp;FQ$1)</f>
        <v/>
      </c>
      <c r="FR101" s="43" t="str">
        <f t="shared" ref="FR101:FR140" si="1603">IF(CL101="","","|n"&amp;FR$2&amp;"+"&amp;CL101&amp;FR$1)</f>
        <v/>
      </c>
      <c r="FS101" s="43" t="str">
        <f t="shared" ref="FS101:FS140" si="1604">IF(CM101="","","|n"&amp;FS$2&amp;"+"&amp;CM101&amp;FS$1)</f>
        <v/>
      </c>
    </row>
    <row r="102" ht="57.6" spans="1:175">
      <c r="A102" s="4"/>
      <c r="B102" s="6" t="s">
        <v>410</v>
      </c>
      <c r="C102" s="77" t="s">
        <v>411</v>
      </c>
      <c r="T102" s="82" t="s">
        <v>412</v>
      </c>
      <c r="U102" s="59" t="s">
        <v>413</v>
      </c>
      <c r="CN102" s="12" t="str">
        <f t="shared" si="1169"/>
        <v>InitUnitState('INDA',,,,,,,,,,)</v>
      </c>
      <c r="CO102" s="12" t="str">
        <f t="shared" si="1170"/>
        <v>InitUnitNormal('INDA',,,,,,,,,,)</v>
      </c>
      <c r="CP102" s="12" t="str">
        <f t="shared" si="1171"/>
        <v>InitUnitMagic('INDA',,,,,,,,,,)</v>
      </c>
      <c r="CQ102" s="12" t="str">
        <f t="shared" si="1172"/>
        <v>InitUnitAdd('INDA',,,,,,,,,,)</v>
      </c>
      <c r="CR102" s="12" t="str">
        <f t="shared" ref="CR102:CR117" si="1605"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129&amp;CR$1&amp;")"</f>
        <v>InitEquipData('INDA',,"",,,,,'','','','','','',"ReplaceableTextures\\CommandButtons\\BTNIN03.blp")</v>
      </c>
      <c r="CU102" s="71" t="str">
        <f t="shared" si="1533"/>
        <v>|n</v>
      </c>
      <c r="CV102" s="5" t="str">
        <f t="shared" si="1534"/>
        <v>开启后获得|Cffffd24d42~700木头|r或|Cffffd24d随机锦囊卡|r。|n|n|Cff00ff7f掉落时激活的星宿越多，人品越好 |r     </v>
      </c>
      <c r="CW102" s="6"/>
      <c r="CX102" s="6"/>
      <c r="CY102" s="6"/>
      <c r="CZ102" s="6"/>
      <c r="DA102" s="6"/>
      <c r="DB102" s="43" t="str">
        <f t="shared" si="1535"/>
        <v/>
      </c>
      <c r="DC102" s="43" t="str">
        <f t="shared" si="1536"/>
        <v/>
      </c>
      <c r="DD102" s="43" t="str">
        <f t="shared" si="1537"/>
        <v/>
      </c>
      <c r="DE102" s="43" t="str">
        <f t="shared" si="1538"/>
        <v/>
      </c>
      <c r="DF102" s="43" t="str">
        <f t="shared" si="1539"/>
        <v/>
      </c>
      <c r="DG102" s="43" t="str">
        <f t="shared" si="1540"/>
        <v/>
      </c>
      <c r="DH102" s="43" t="str">
        <f t="shared" si="1541"/>
        <v/>
      </c>
      <c r="DI102" s="43" t="str">
        <f t="shared" si="1542"/>
        <v/>
      </c>
      <c r="DJ102" s="43" t="str">
        <f t="shared" si="1543"/>
        <v/>
      </c>
      <c r="DK102" s="43" t="str">
        <f t="shared" si="1544"/>
        <v/>
      </c>
      <c r="DL102" s="43" t="str">
        <f t="shared" si="1545"/>
        <v/>
      </c>
      <c r="DM102" s="43" t="str">
        <f t="shared" si="1546"/>
        <v/>
      </c>
      <c r="DN102" s="43" t="str">
        <f t="shared" si="1547"/>
        <v/>
      </c>
      <c r="DO102" s="43" t="str">
        <f t="shared" si="1548"/>
        <v/>
      </c>
      <c r="DP102" s="43" t="str">
        <f t="shared" si="1549"/>
        <v/>
      </c>
      <c r="DQ102" s="43" t="str">
        <f t="shared" si="1550"/>
        <v/>
      </c>
      <c r="DR102" s="43" t="str">
        <f t="shared" si="1551"/>
        <v/>
      </c>
      <c r="DS102" s="43" t="str">
        <f t="shared" si="1552"/>
        <v/>
      </c>
      <c r="DT102" s="43" t="str">
        <f t="shared" si="1553"/>
        <v/>
      </c>
      <c r="DU102" s="43" t="str">
        <f t="shared" si="1554"/>
        <v/>
      </c>
      <c r="DV102" s="43" t="str">
        <f t="shared" si="1555"/>
        <v/>
      </c>
      <c r="DW102" s="43" t="str">
        <f t="shared" si="1556"/>
        <v/>
      </c>
      <c r="DX102" s="43" t="str">
        <f t="shared" si="1557"/>
        <v/>
      </c>
      <c r="DY102" s="43" t="str">
        <f t="shared" si="1558"/>
        <v/>
      </c>
      <c r="DZ102" s="43" t="str">
        <f t="shared" si="1559"/>
        <v/>
      </c>
      <c r="EA102" s="43" t="str">
        <f t="shared" si="1560"/>
        <v/>
      </c>
      <c r="EB102" s="43" t="str">
        <f t="shared" si="1561"/>
        <v/>
      </c>
      <c r="EC102" s="43" t="str">
        <f t="shared" si="1562"/>
        <v/>
      </c>
      <c r="ED102" s="43" t="str">
        <f t="shared" si="1563"/>
        <v/>
      </c>
      <c r="EE102" s="43" t="str">
        <f t="shared" si="1564"/>
        <v/>
      </c>
      <c r="EF102" s="43" t="str">
        <f t="shared" si="1565"/>
        <v/>
      </c>
      <c r="EG102" s="43" t="str">
        <f t="shared" si="1566"/>
        <v/>
      </c>
      <c r="EH102" s="43" t="str">
        <f t="shared" si="1567"/>
        <v/>
      </c>
      <c r="EI102" s="43" t="str">
        <f t="shared" si="1568"/>
        <v/>
      </c>
      <c r="EJ102" s="43" t="str">
        <f t="shared" si="1569"/>
        <v/>
      </c>
      <c r="EK102" s="43" t="str">
        <f t="shared" si="1570"/>
        <v/>
      </c>
      <c r="EL102" s="43" t="str">
        <f t="shared" si="1571"/>
        <v/>
      </c>
      <c r="EM102" s="43" t="str">
        <f t="shared" si="1572"/>
        <v/>
      </c>
      <c r="EN102" s="43" t="str">
        <f t="shared" si="1573"/>
        <v/>
      </c>
      <c r="EO102" s="43" t="str">
        <f t="shared" si="1574"/>
        <v/>
      </c>
      <c r="EP102" s="43" t="str">
        <f t="shared" si="1575"/>
        <v/>
      </c>
      <c r="EQ102" s="43" t="str">
        <f t="shared" si="1576"/>
        <v/>
      </c>
      <c r="ER102" s="43" t="str">
        <f t="shared" si="1577"/>
        <v/>
      </c>
      <c r="ES102" s="43" t="str">
        <f t="shared" si="1578"/>
        <v/>
      </c>
      <c r="ET102" s="43" t="str">
        <f t="shared" si="1579"/>
        <v/>
      </c>
      <c r="EU102" s="43" t="str">
        <f t="shared" si="1580"/>
        <v/>
      </c>
      <c r="EV102" s="43" t="str">
        <f t="shared" si="1581"/>
        <v/>
      </c>
      <c r="EW102" s="43" t="str">
        <f t="shared" si="1582"/>
        <v/>
      </c>
      <c r="EX102" s="43" t="str">
        <f t="shared" si="1583"/>
        <v/>
      </c>
      <c r="EY102" s="43" t="str">
        <f t="shared" si="1584"/>
        <v/>
      </c>
      <c r="EZ102" s="43" t="str">
        <f t="shared" si="1585"/>
        <v/>
      </c>
      <c r="FA102" s="43" t="str">
        <f t="shared" si="1586"/>
        <v/>
      </c>
      <c r="FB102" s="43" t="str">
        <f t="shared" si="1587"/>
        <v/>
      </c>
      <c r="FC102" s="43" t="str">
        <f t="shared" si="1588"/>
        <v/>
      </c>
      <c r="FD102" s="43" t="str">
        <f t="shared" si="1589"/>
        <v/>
      </c>
      <c r="FE102" s="43" t="str">
        <f t="shared" si="1590"/>
        <v/>
      </c>
      <c r="FF102" s="43" t="str">
        <f t="shared" si="1591"/>
        <v/>
      </c>
      <c r="FG102" s="43" t="str">
        <f t="shared" si="1592"/>
        <v/>
      </c>
      <c r="FH102" s="43" t="str">
        <f t="shared" si="1593"/>
        <v/>
      </c>
      <c r="FI102" s="43" t="str">
        <f t="shared" si="1594"/>
        <v/>
      </c>
      <c r="FJ102" s="43" t="str">
        <f t="shared" si="1595"/>
        <v/>
      </c>
      <c r="FK102" s="43" t="str">
        <f t="shared" si="1596"/>
        <v/>
      </c>
      <c r="FL102" s="43" t="str">
        <f t="shared" si="1597"/>
        <v/>
      </c>
      <c r="FM102" s="43" t="str">
        <f t="shared" si="1598"/>
        <v/>
      </c>
      <c r="FN102" s="43" t="str">
        <f t="shared" si="1599"/>
        <v/>
      </c>
      <c r="FO102" s="43" t="str">
        <f t="shared" si="1600"/>
        <v/>
      </c>
      <c r="FP102" s="43" t="str">
        <f t="shared" si="1601"/>
        <v/>
      </c>
      <c r="FQ102" s="43" t="str">
        <f t="shared" si="1602"/>
        <v/>
      </c>
      <c r="FR102" s="43" t="str">
        <f t="shared" si="1603"/>
        <v/>
      </c>
      <c r="FS102" s="43" t="str">
        <f t="shared" si="1604"/>
        <v/>
      </c>
    </row>
    <row r="103" ht="57.6" spans="1:175">
      <c r="A103" s="4"/>
      <c r="B103" s="6" t="s">
        <v>414</v>
      </c>
      <c r="C103" s="77" t="s">
        <v>411</v>
      </c>
      <c r="T103" s="82" t="s">
        <v>412</v>
      </c>
      <c r="U103" s="59" t="s">
        <v>413</v>
      </c>
      <c r="CN103" s="12" t="str">
        <f t="shared" si="1169"/>
        <v>InitUnitState('INDB',,,,,,,,,,)</v>
      </c>
      <c r="CO103" s="12" t="str">
        <f t="shared" si="1170"/>
        <v>InitUnitNormal('INDB',,,,,,,,,,)</v>
      </c>
      <c r="CP103" s="12" t="str">
        <f t="shared" si="1171"/>
        <v>InitUnitMagic('INDB',,,,,,,,,,)</v>
      </c>
      <c r="CQ103" s="12" t="str">
        <f t="shared" si="1172"/>
        <v>InitUnitAdd('INDB',,,,,,,,,,)</v>
      </c>
      <c r="CR103" s="12" t="str">
        <f t="shared" si="1605"/>
        <v>InitEquipData('INDB',,"",,,,,'','','','','','',"ReplaceableTextures\\CommandButtons\\BTNIN04.blp")</v>
      </c>
      <c r="CU103" s="71" t="str">
        <f t="shared" si="1533"/>
        <v>|n</v>
      </c>
      <c r="CV103" s="5" t="str">
        <f t="shared" si="1534"/>
        <v>开启后获得|Cffffd24d42~700木头|r或|Cffffd24d随机锦囊卡|r。|n|n|Cff00ff7f掉落时激活的星宿越多，人品越好 |r     </v>
      </c>
      <c r="CW103" s="6"/>
      <c r="CX103" s="6"/>
      <c r="CY103" s="6"/>
      <c r="CZ103" s="6"/>
      <c r="DA103" s="6"/>
      <c r="DB103" s="43" t="str">
        <f t="shared" si="1535"/>
        <v/>
      </c>
      <c r="DC103" s="43" t="str">
        <f t="shared" si="1536"/>
        <v/>
      </c>
      <c r="DD103" s="43" t="str">
        <f t="shared" si="1537"/>
        <v/>
      </c>
      <c r="DE103" s="43" t="str">
        <f t="shared" si="1538"/>
        <v/>
      </c>
      <c r="DF103" s="43" t="str">
        <f t="shared" si="1539"/>
        <v/>
      </c>
      <c r="DG103" s="43" t="str">
        <f t="shared" si="1540"/>
        <v/>
      </c>
      <c r="DH103" s="43" t="str">
        <f t="shared" si="1541"/>
        <v/>
      </c>
      <c r="DI103" s="43" t="str">
        <f t="shared" si="1542"/>
        <v/>
      </c>
      <c r="DJ103" s="43" t="str">
        <f t="shared" si="1543"/>
        <v/>
      </c>
      <c r="DK103" s="43" t="str">
        <f t="shared" si="1544"/>
        <v/>
      </c>
      <c r="DL103" s="43" t="str">
        <f t="shared" si="1545"/>
        <v/>
      </c>
      <c r="DM103" s="43" t="str">
        <f t="shared" si="1546"/>
        <v/>
      </c>
      <c r="DN103" s="43" t="str">
        <f t="shared" si="1547"/>
        <v/>
      </c>
      <c r="DO103" s="43" t="str">
        <f t="shared" si="1548"/>
        <v/>
      </c>
      <c r="DP103" s="43" t="str">
        <f t="shared" si="1549"/>
        <v/>
      </c>
      <c r="DQ103" s="43" t="str">
        <f t="shared" si="1550"/>
        <v/>
      </c>
      <c r="DR103" s="43" t="str">
        <f t="shared" si="1551"/>
        <v/>
      </c>
      <c r="DS103" s="43" t="str">
        <f t="shared" si="1552"/>
        <v/>
      </c>
      <c r="DT103" s="43" t="str">
        <f t="shared" si="1553"/>
        <v/>
      </c>
      <c r="DU103" s="43" t="str">
        <f t="shared" si="1554"/>
        <v/>
      </c>
      <c r="DV103" s="43" t="str">
        <f t="shared" si="1555"/>
        <v/>
      </c>
      <c r="DW103" s="43" t="str">
        <f t="shared" si="1556"/>
        <v/>
      </c>
      <c r="DX103" s="43" t="str">
        <f t="shared" si="1557"/>
        <v/>
      </c>
      <c r="DY103" s="43" t="str">
        <f t="shared" si="1558"/>
        <v/>
      </c>
      <c r="DZ103" s="43" t="str">
        <f t="shared" si="1559"/>
        <v/>
      </c>
      <c r="EA103" s="43" t="str">
        <f t="shared" si="1560"/>
        <v/>
      </c>
      <c r="EB103" s="43" t="str">
        <f t="shared" si="1561"/>
        <v/>
      </c>
      <c r="EC103" s="43" t="str">
        <f t="shared" si="1562"/>
        <v/>
      </c>
      <c r="ED103" s="43" t="str">
        <f t="shared" si="1563"/>
        <v/>
      </c>
      <c r="EE103" s="43" t="str">
        <f t="shared" si="1564"/>
        <v/>
      </c>
      <c r="EF103" s="43" t="str">
        <f t="shared" si="1565"/>
        <v/>
      </c>
      <c r="EG103" s="43" t="str">
        <f t="shared" si="1566"/>
        <v/>
      </c>
      <c r="EH103" s="43" t="str">
        <f t="shared" si="1567"/>
        <v/>
      </c>
      <c r="EI103" s="43" t="str">
        <f t="shared" si="1568"/>
        <v/>
      </c>
      <c r="EJ103" s="43" t="str">
        <f t="shared" si="1569"/>
        <v/>
      </c>
      <c r="EK103" s="43" t="str">
        <f t="shared" si="1570"/>
        <v/>
      </c>
      <c r="EL103" s="43" t="str">
        <f t="shared" si="1571"/>
        <v/>
      </c>
      <c r="EM103" s="43" t="str">
        <f t="shared" si="1572"/>
        <v/>
      </c>
      <c r="EN103" s="43" t="str">
        <f t="shared" si="1573"/>
        <v/>
      </c>
      <c r="EO103" s="43" t="str">
        <f t="shared" si="1574"/>
        <v/>
      </c>
      <c r="EP103" s="43" t="str">
        <f t="shared" si="1575"/>
        <v/>
      </c>
      <c r="EQ103" s="43" t="str">
        <f t="shared" si="1576"/>
        <v/>
      </c>
      <c r="ER103" s="43" t="str">
        <f t="shared" si="1577"/>
        <v/>
      </c>
      <c r="ES103" s="43" t="str">
        <f t="shared" si="1578"/>
        <v/>
      </c>
      <c r="ET103" s="43" t="str">
        <f t="shared" si="1579"/>
        <v/>
      </c>
      <c r="EU103" s="43" t="str">
        <f t="shared" si="1580"/>
        <v/>
      </c>
      <c r="EV103" s="43" t="str">
        <f t="shared" si="1581"/>
        <v/>
      </c>
      <c r="EW103" s="43" t="str">
        <f t="shared" si="1582"/>
        <v/>
      </c>
      <c r="EX103" s="43" t="str">
        <f t="shared" si="1583"/>
        <v/>
      </c>
      <c r="EY103" s="43" t="str">
        <f t="shared" si="1584"/>
        <v/>
      </c>
      <c r="EZ103" s="43" t="str">
        <f t="shared" si="1585"/>
        <v/>
      </c>
      <c r="FA103" s="43" t="str">
        <f t="shared" si="1586"/>
        <v/>
      </c>
      <c r="FB103" s="43" t="str">
        <f t="shared" si="1587"/>
        <v/>
      </c>
      <c r="FC103" s="43" t="str">
        <f t="shared" si="1588"/>
        <v/>
      </c>
      <c r="FD103" s="43" t="str">
        <f t="shared" si="1589"/>
        <v/>
      </c>
      <c r="FE103" s="43" t="str">
        <f t="shared" si="1590"/>
        <v/>
      </c>
      <c r="FF103" s="43" t="str">
        <f t="shared" si="1591"/>
        <v/>
      </c>
      <c r="FG103" s="43" t="str">
        <f t="shared" si="1592"/>
        <v/>
      </c>
      <c r="FH103" s="43" t="str">
        <f t="shared" si="1593"/>
        <v/>
      </c>
      <c r="FI103" s="43" t="str">
        <f t="shared" si="1594"/>
        <v/>
      </c>
      <c r="FJ103" s="43" t="str">
        <f t="shared" si="1595"/>
        <v/>
      </c>
      <c r="FK103" s="43" t="str">
        <f t="shared" si="1596"/>
        <v/>
      </c>
      <c r="FL103" s="43" t="str">
        <f t="shared" si="1597"/>
        <v/>
      </c>
      <c r="FM103" s="43" t="str">
        <f t="shared" si="1598"/>
        <v/>
      </c>
      <c r="FN103" s="43" t="str">
        <f t="shared" si="1599"/>
        <v/>
      </c>
      <c r="FO103" s="43" t="str">
        <f t="shared" si="1600"/>
        <v/>
      </c>
      <c r="FP103" s="43" t="str">
        <f t="shared" si="1601"/>
        <v/>
      </c>
      <c r="FQ103" s="43" t="str">
        <f t="shared" si="1602"/>
        <v/>
      </c>
      <c r="FR103" s="43" t="str">
        <f t="shared" si="1603"/>
        <v/>
      </c>
      <c r="FS103" s="43" t="str">
        <f t="shared" si="1604"/>
        <v/>
      </c>
    </row>
    <row r="104" ht="57.6" spans="1:175">
      <c r="A104" s="4"/>
      <c r="B104" s="6" t="s">
        <v>415</v>
      </c>
      <c r="C104" s="77" t="s">
        <v>411</v>
      </c>
      <c r="T104" s="82" t="s">
        <v>412</v>
      </c>
      <c r="U104" s="59" t="s">
        <v>413</v>
      </c>
      <c r="CN104" s="12" t="str">
        <f t="shared" si="1169"/>
        <v>InitUnitState('INDC',,,,,,,,,,)</v>
      </c>
      <c r="CO104" s="12" t="str">
        <f t="shared" si="1170"/>
        <v>InitUnitNormal('INDC',,,,,,,,,,)</v>
      </c>
      <c r="CP104" s="12" t="str">
        <f t="shared" si="1171"/>
        <v>InitUnitMagic('INDC',,,,,,,,,,)</v>
      </c>
      <c r="CQ104" s="12" t="str">
        <f t="shared" si="1172"/>
        <v>InitUnitAdd('INDC',,,,,,,,,,)</v>
      </c>
      <c r="CR104" s="12" t="str">
        <f t="shared" si="1605"/>
        <v>InitEquipData('INDC',,"",,,,,'','','','','','',"ReplaceableTextures\\CommandButtons\\BTNIN05.blp")</v>
      </c>
      <c r="CU104" s="71" t="str">
        <f t="shared" si="1533"/>
        <v>|n</v>
      </c>
      <c r="CV104" s="5" t="str">
        <f t="shared" si="1534"/>
        <v>开启后获得|Cffffd24d42~700木头|r或|Cffffd24d随机锦囊卡|r。|n|n|Cff00ff7f掉落时激活的星宿越多，人品越好 |r     </v>
      </c>
      <c r="CW104" s="6"/>
      <c r="CX104" s="6"/>
      <c r="CY104" s="6"/>
      <c r="CZ104" s="6"/>
      <c r="DA104" s="6"/>
      <c r="DB104" s="43" t="str">
        <f t="shared" si="1535"/>
        <v/>
      </c>
      <c r="DC104" s="43" t="str">
        <f t="shared" si="1536"/>
        <v/>
      </c>
      <c r="DD104" s="43" t="str">
        <f t="shared" si="1537"/>
        <v/>
      </c>
      <c r="DE104" s="43" t="str">
        <f t="shared" si="1538"/>
        <v/>
      </c>
      <c r="DF104" s="43" t="str">
        <f t="shared" si="1539"/>
        <v/>
      </c>
      <c r="DG104" s="43" t="str">
        <f t="shared" si="1540"/>
        <v/>
      </c>
      <c r="DH104" s="43" t="str">
        <f t="shared" si="1541"/>
        <v/>
      </c>
      <c r="DI104" s="43" t="str">
        <f t="shared" si="1542"/>
        <v/>
      </c>
      <c r="DJ104" s="43" t="str">
        <f t="shared" si="1543"/>
        <v/>
      </c>
      <c r="DK104" s="43" t="str">
        <f t="shared" si="1544"/>
        <v/>
      </c>
      <c r="DL104" s="43" t="str">
        <f t="shared" si="1545"/>
        <v/>
      </c>
      <c r="DM104" s="43" t="str">
        <f t="shared" si="1546"/>
        <v/>
      </c>
      <c r="DN104" s="43" t="str">
        <f t="shared" si="1547"/>
        <v/>
      </c>
      <c r="DO104" s="43" t="str">
        <f t="shared" si="1548"/>
        <v/>
      </c>
      <c r="DP104" s="43" t="str">
        <f t="shared" si="1549"/>
        <v/>
      </c>
      <c r="DQ104" s="43" t="str">
        <f t="shared" si="1550"/>
        <v/>
      </c>
      <c r="DR104" s="43" t="str">
        <f t="shared" si="1551"/>
        <v/>
      </c>
      <c r="DS104" s="43" t="str">
        <f t="shared" si="1552"/>
        <v/>
      </c>
      <c r="DT104" s="43" t="str">
        <f t="shared" si="1553"/>
        <v/>
      </c>
      <c r="DU104" s="43" t="str">
        <f t="shared" si="1554"/>
        <v/>
      </c>
      <c r="DV104" s="43" t="str">
        <f t="shared" si="1555"/>
        <v/>
      </c>
      <c r="DW104" s="43" t="str">
        <f t="shared" si="1556"/>
        <v/>
      </c>
      <c r="DX104" s="43" t="str">
        <f t="shared" si="1557"/>
        <v/>
      </c>
      <c r="DY104" s="43" t="str">
        <f t="shared" si="1558"/>
        <v/>
      </c>
      <c r="DZ104" s="43" t="str">
        <f t="shared" si="1559"/>
        <v/>
      </c>
      <c r="EA104" s="43" t="str">
        <f t="shared" si="1560"/>
        <v/>
      </c>
      <c r="EB104" s="43" t="str">
        <f t="shared" si="1561"/>
        <v/>
      </c>
      <c r="EC104" s="43" t="str">
        <f t="shared" si="1562"/>
        <v/>
      </c>
      <c r="ED104" s="43" t="str">
        <f t="shared" si="1563"/>
        <v/>
      </c>
      <c r="EE104" s="43" t="str">
        <f t="shared" si="1564"/>
        <v/>
      </c>
      <c r="EF104" s="43" t="str">
        <f t="shared" si="1565"/>
        <v/>
      </c>
      <c r="EG104" s="43" t="str">
        <f t="shared" si="1566"/>
        <v/>
      </c>
      <c r="EH104" s="43" t="str">
        <f t="shared" si="1567"/>
        <v/>
      </c>
      <c r="EI104" s="43" t="str">
        <f t="shared" si="1568"/>
        <v/>
      </c>
      <c r="EJ104" s="43" t="str">
        <f t="shared" si="1569"/>
        <v/>
      </c>
      <c r="EK104" s="43" t="str">
        <f t="shared" si="1570"/>
        <v/>
      </c>
      <c r="EL104" s="43" t="str">
        <f t="shared" si="1571"/>
        <v/>
      </c>
      <c r="EM104" s="43" t="str">
        <f t="shared" si="1572"/>
        <v/>
      </c>
      <c r="EN104" s="43" t="str">
        <f t="shared" si="1573"/>
        <v/>
      </c>
      <c r="EO104" s="43" t="str">
        <f t="shared" si="1574"/>
        <v/>
      </c>
      <c r="EP104" s="43" t="str">
        <f t="shared" si="1575"/>
        <v/>
      </c>
      <c r="EQ104" s="43" t="str">
        <f t="shared" si="1576"/>
        <v/>
      </c>
      <c r="ER104" s="43" t="str">
        <f t="shared" si="1577"/>
        <v/>
      </c>
      <c r="ES104" s="43" t="str">
        <f t="shared" si="1578"/>
        <v/>
      </c>
      <c r="ET104" s="43" t="str">
        <f t="shared" si="1579"/>
        <v/>
      </c>
      <c r="EU104" s="43" t="str">
        <f t="shared" si="1580"/>
        <v/>
      </c>
      <c r="EV104" s="43" t="str">
        <f t="shared" si="1581"/>
        <v/>
      </c>
      <c r="EW104" s="43" t="str">
        <f t="shared" si="1582"/>
        <v/>
      </c>
      <c r="EX104" s="43" t="str">
        <f t="shared" si="1583"/>
        <v/>
      </c>
      <c r="EY104" s="43" t="str">
        <f t="shared" si="1584"/>
        <v/>
      </c>
      <c r="EZ104" s="43" t="str">
        <f t="shared" si="1585"/>
        <v/>
      </c>
      <c r="FA104" s="43" t="str">
        <f t="shared" si="1586"/>
        <v/>
      </c>
      <c r="FB104" s="43" t="str">
        <f t="shared" si="1587"/>
        <v/>
      </c>
      <c r="FC104" s="43" t="str">
        <f t="shared" si="1588"/>
        <v/>
      </c>
      <c r="FD104" s="43" t="str">
        <f t="shared" si="1589"/>
        <v/>
      </c>
      <c r="FE104" s="43" t="str">
        <f t="shared" si="1590"/>
        <v/>
      </c>
      <c r="FF104" s="43" t="str">
        <f t="shared" si="1591"/>
        <v/>
      </c>
      <c r="FG104" s="43" t="str">
        <f t="shared" si="1592"/>
        <v/>
      </c>
      <c r="FH104" s="43" t="str">
        <f t="shared" si="1593"/>
        <v/>
      </c>
      <c r="FI104" s="43" t="str">
        <f t="shared" si="1594"/>
        <v/>
      </c>
      <c r="FJ104" s="43" t="str">
        <f t="shared" si="1595"/>
        <v/>
      </c>
      <c r="FK104" s="43" t="str">
        <f t="shared" si="1596"/>
        <v/>
      </c>
      <c r="FL104" s="43" t="str">
        <f t="shared" si="1597"/>
        <v/>
      </c>
      <c r="FM104" s="43" t="str">
        <f t="shared" si="1598"/>
        <v/>
      </c>
      <c r="FN104" s="43" t="str">
        <f t="shared" si="1599"/>
        <v/>
      </c>
      <c r="FO104" s="43" t="str">
        <f t="shared" si="1600"/>
        <v/>
      </c>
      <c r="FP104" s="43" t="str">
        <f t="shared" si="1601"/>
        <v/>
      </c>
      <c r="FQ104" s="43" t="str">
        <f t="shared" si="1602"/>
        <v/>
      </c>
      <c r="FR104" s="43" t="str">
        <f t="shared" si="1603"/>
        <v/>
      </c>
      <c r="FS104" s="43" t="str">
        <f t="shared" si="1604"/>
        <v/>
      </c>
    </row>
    <row r="105" ht="57.6" spans="1:175">
      <c r="A105" s="4"/>
      <c r="B105" s="6" t="s">
        <v>416</v>
      </c>
      <c r="C105" s="77" t="s">
        <v>411</v>
      </c>
      <c r="T105" s="82" t="s">
        <v>412</v>
      </c>
      <c r="U105" s="59" t="s">
        <v>413</v>
      </c>
      <c r="CN105" s="12" t="str">
        <f t="shared" si="1169"/>
        <v>InitUnitState('INDD',,,,,,,,,,)</v>
      </c>
      <c r="CO105" s="12" t="str">
        <f t="shared" si="1170"/>
        <v>InitUnitNormal('INDD',,,,,,,,,,)</v>
      </c>
      <c r="CP105" s="12" t="str">
        <f t="shared" si="1171"/>
        <v>InitUnitMagic('INDD',,,,,,,,,,)</v>
      </c>
      <c r="CQ105" s="12" t="str">
        <f t="shared" si="1172"/>
        <v>InitUnitAdd('INDD',,,,,,,,,,)</v>
      </c>
      <c r="CR105" s="12" t="str">
        <f t="shared" si="1605"/>
        <v>InitEquipData('INDD',,"",,,,,'','','','','','',"ReplaceableTextures\\CommandButtons\\BTNIN06.blp")</v>
      </c>
      <c r="CU105" s="71" t="str">
        <f t="shared" si="1533"/>
        <v>|n</v>
      </c>
      <c r="CV105" s="5" t="str">
        <f t="shared" si="1534"/>
        <v>开启后获得|Cffffd24d42~700木头|r或|Cffffd24d随机锦囊卡|r。|n|n|Cff00ff7f掉落时激活的星宿越多，人品越好 |r     </v>
      </c>
      <c r="CW105" s="6"/>
      <c r="CX105" s="6"/>
      <c r="CY105" s="6"/>
      <c r="CZ105" s="6"/>
      <c r="DA105" s="6"/>
      <c r="DB105" s="43" t="str">
        <f t="shared" si="1535"/>
        <v/>
      </c>
      <c r="DC105" s="43" t="str">
        <f t="shared" si="1536"/>
        <v/>
      </c>
      <c r="DD105" s="43" t="str">
        <f t="shared" si="1537"/>
        <v/>
      </c>
      <c r="DE105" s="43" t="str">
        <f t="shared" si="1538"/>
        <v/>
      </c>
      <c r="DF105" s="43" t="str">
        <f t="shared" si="1539"/>
        <v/>
      </c>
      <c r="DG105" s="43" t="str">
        <f t="shared" si="1540"/>
        <v/>
      </c>
      <c r="DH105" s="43" t="str">
        <f t="shared" si="1541"/>
        <v/>
      </c>
      <c r="DI105" s="43" t="str">
        <f t="shared" si="1542"/>
        <v/>
      </c>
      <c r="DJ105" s="43" t="str">
        <f t="shared" si="1543"/>
        <v/>
      </c>
      <c r="DK105" s="43" t="str">
        <f t="shared" si="1544"/>
        <v/>
      </c>
      <c r="DL105" s="43" t="str">
        <f t="shared" si="1545"/>
        <v/>
      </c>
      <c r="DM105" s="43" t="str">
        <f t="shared" si="1546"/>
        <v/>
      </c>
      <c r="DN105" s="43" t="str">
        <f t="shared" si="1547"/>
        <v/>
      </c>
      <c r="DO105" s="43" t="str">
        <f t="shared" si="1548"/>
        <v/>
      </c>
      <c r="DP105" s="43" t="str">
        <f t="shared" si="1549"/>
        <v/>
      </c>
      <c r="DQ105" s="43" t="str">
        <f t="shared" si="1550"/>
        <v/>
      </c>
      <c r="DR105" s="43" t="str">
        <f t="shared" si="1551"/>
        <v/>
      </c>
      <c r="DS105" s="43" t="str">
        <f t="shared" si="1552"/>
        <v/>
      </c>
      <c r="DT105" s="43" t="str">
        <f t="shared" si="1553"/>
        <v/>
      </c>
      <c r="DU105" s="43" t="str">
        <f t="shared" si="1554"/>
        <v/>
      </c>
      <c r="DV105" s="43" t="str">
        <f t="shared" si="1555"/>
        <v/>
      </c>
      <c r="DW105" s="43" t="str">
        <f t="shared" si="1556"/>
        <v/>
      </c>
      <c r="DX105" s="43" t="str">
        <f t="shared" si="1557"/>
        <v/>
      </c>
      <c r="DY105" s="43" t="str">
        <f t="shared" si="1558"/>
        <v/>
      </c>
      <c r="DZ105" s="43" t="str">
        <f t="shared" si="1559"/>
        <v/>
      </c>
      <c r="EA105" s="43" t="str">
        <f t="shared" si="1560"/>
        <v/>
      </c>
      <c r="EB105" s="43" t="str">
        <f t="shared" si="1561"/>
        <v/>
      </c>
      <c r="EC105" s="43" t="str">
        <f t="shared" si="1562"/>
        <v/>
      </c>
      <c r="ED105" s="43" t="str">
        <f t="shared" si="1563"/>
        <v/>
      </c>
      <c r="EE105" s="43" t="str">
        <f t="shared" si="1564"/>
        <v/>
      </c>
      <c r="EF105" s="43" t="str">
        <f t="shared" si="1565"/>
        <v/>
      </c>
      <c r="EG105" s="43" t="str">
        <f t="shared" si="1566"/>
        <v/>
      </c>
      <c r="EH105" s="43" t="str">
        <f t="shared" si="1567"/>
        <v/>
      </c>
      <c r="EI105" s="43" t="str">
        <f t="shared" si="1568"/>
        <v/>
      </c>
      <c r="EJ105" s="43" t="str">
        <f t="shared" si="1569"/>
        <v/>
      </c>
      <c r="EK105" s="43" t="str">
        <f t="shared" si="1570"/>
        <v/>
      </c>
      <c r="EL105" s="43" t="str">
        <f t="shared" si="1571"/>
        <v/>
      </c>
      <c r="EM105" s="43" t="str">
        <f t="shared" si="1572"/>
        <v/>
      </c>
      <c r="EN105" s="43" t="str">
        <f t="shared" si="1573"/>
        <v/>
      </c>
      <c r="EO105" s="43" t="str">
        <f t="shared" si="1574"/>
        <v/>
      </c>
      <c r="EP105" s="43" t="str">
        <f t="shared" si="1575"/>
        <v/>
      </c>
      <c r="EQ105" s="43" t="str">
        <f t="shared" si="1576"/>
        <v/>
      </c>
      <c r="ER105" s="43" t="str">
        <f t="shared" si="1577"/>
        <v/>
      </c>
      <c r="ES105" s="43" t="str">
        <f t="shared" si="1578"/>
        <v/>
      </c>
      <c r="ET105" s="43" t="str">
        <f t="shared" si="1579"/>
        <v/>
      </c>
      <c r="EU105" s="43" t="str">
        <f t="shared" si="1580"/>
        <v/>
      </c>
      <c r="EV105" s="43" t="str">
        <f t="shared" si="1581"/>
        <v/>
      </c>
      <c r="EW105" s="43" t="str">
        <f t="shared" si="1582"/>
        <v/>
      </c>
      <c r="EX105" s="43" t="str">
        <f t="shared" si="1583"/>
        <v/>
      </c>
      <c r="EY105" s="43" t="str">
        <f t="shared" si="1584"/>
        <v/>
      </c>
      <c r="EZ105" s="43" t="str">
        <f t="shared" si="1585"/>
        <v/>
      </c>
      <c r="FA105" s="43" t="str">
        <f t="shared" si="1586"/>
        <v/>
      </c>
      <c r="FB105" s="43" t="str">
        <f t="shared" si="1587"/>
        <v/>
      </c>
      <c r="FC105" s="43" t="str">
        <f t="shared" si="1588"/>
        <v/>
      </c>
      <c r="FD105" s="43" t="str">
        <f t="shared" si="1589"/>
        <v/>
      </c>
      <c r="FE105" s="43" t="str">
        <f t="shared" si="1590"/>
        <v/>
      </c>
      <c r="FF105" s="43" t="str">
        <f t="shared" si="1591"/>
        <v/>
      </c>
      <c r="FG105" s="43" t="str">
        <f t="shared" si="1592"/>
        <v/>
      </c>
      <c r="FH105" s="43" t="str">
        <f t="shared" si="1593"/>
        <v/>
      </c>
      <c r="FI105" s="43" t="str">
        <f t="shared" si="1594"/>
        <v/>
      </c>
      <c r="FJ105" s="43" t="str">
        <f t="shared" si="1595"/>
        <v/>
      </c>
      <c r="FK105" s="43" t="str">
        <f t="shared" si="1596"/>
        <v/>
      </c>
      <c r="FL105" s="43" t="str">
        <f t="shared" si="1597"/>
        <v/>
      </c>
      <c r="FM105" s="43" t="str">
        <f t="shared" si="1598"/>
        <v/>
      </c>
      <c r="FN105" s="43" t="str">
        <f t="shared" si="1599"/>
        <v/>
      </c>
      <c r="FO105" s="43" t="str">
        <f t="shared" si="1600"/>
        <v/>
      </c>
      <c r="FP105" s="43" t="str">
        <f t="shared" si="1601"/>
        <v/>
      </c>
      <c r="FQ105" s="43" t="str">
        <f t="shared" si="1602"/>
        <v/>
      </c>
      <c r="FR105" s="43" t="str">
        <f t="shared" si="1603"/>
        <v/>
      </c>
      <c r="FS105" s="43" t="str">
        <f t="shared" si="1604"/>
        <v/>
      </c>
    </row>
    <row r="106" ht="57.6" spans="1:175">
      <c r="A106" s="4"/>
      <c r="B106" s="6" t="s">
        <v>417</v>
      </c>
      <c r="C106" s="77" t="s">
        <v>411</v>
      </c>
      <c r="T106" s="82" t="s">
        <v>412</v>
      </c>
      <c r="U106" s="59" t="s">
        <v>413</v>
      </c>
      <c r="CN106" s="12" t="str">
        <f t="shared" si="1169"/>
        <v>InitUnitState('INDE',,,,,,,,,,)</v>
      </c>
      <c r="CO106" s="12" t="str">
        <f t="shared" si="1170"/>
        <v>InitUnitNormal('INDE',,,,,,,,,,)</v>
      </c>
      <c r="CP106" s="12" t="str">
        <f t="shared" si="1171"/>
        <v>InitUnitMagic('INDE',,,,,,,,,,)</v>
      </c>
      <c r="CQ106" s="12" t="str">
        <f t="shared" si="1172"/>
        <v>InitUnitAdd('INDE',,,,,,,,,,)</v>
      </c>
      <c r="CR106" s="12" t="str">
        <f t="shared" si="1605"/>
        <v>InitEquipData('INDE',,"",,,,,'','','','','','',"ReplaceableTextures\\CommandButtons\\BTNIN07.blp")</v>
      </c>
      <c r="CU106" s="71" t="str">
        <f t="shared" si="1533"/>
        <v>|n</v>
      </c>
      <c r="CV106" s="5" t="str">
        <f t="shared" si="1534"/>
        <v>开启后获得|Cffffd24d42~700木头|r或|Cffffd24d随机锦囊卡|r。|n|n|Cff00ff7f掉落时激活的星宿越多，人品越好 |r     </v>
      </c>
      <c r="CW106" s="6"/>
      <c r="CX106" s="6"/>
      <c r="CY106" s="6"/>
      <c r="CZ106" s="6"/>
      <c r="DA106" s="6"/>
      <c r="DB106" s="43" t="str">
        <f t="shared" si="1535"/>
        <v/>
      </c>
      <c r="DC106" s="43" t="str">
        <f t="shared" si="1536"/>
        <v/>
      </c>
      <c r="DD106" s="43" t="str">
        <f t="shared" si="1537"/>
        <v/>
      </c>
      <c r="DE106" s="43" t="str">
        <f t="shared" si="1538"/>
        <v/>
      </c>
      <c r="DF106" s="43" t="str">
        <f t="shared" si="1539"/>
        <v/>
      </c>
      <c r="DG106" s="43" t="str">
        <f t="shared" si="1540"/>
        <v/>
      </c>
      <c r="DH106" s="43" t="str">
        <f t="shared" si="1541"/>
        <v/>
      </c>
      <c r="DI106" s="43" t="str">
        <f t="shared" si="1542"/>
        <v/>
      </c>
      <c r="DJ106" s="43" t="str">
        <f t="shared" si="1543"/>
        <v/>
      </c>
      <c r="DK106" s="43" t="str">
        <f t="shared" si="1544"/>
        <v/>
      </c>
      <c r="DL106" s="43" t="str">
        <f t="shared" si="1545"/>
        <v/>
      </c>
      <c r="DM106" s="43" t="str">
        <f t="shared" si="1546"/>
        <v/>
      </c>
      <c r="DN106" s="43" t="str">
        <f t="shared" si="1547"/>
        <v/>
      </c>
      <c r="DO106" s="43" t="str">
        <f t="shared" si="1548"/>
        <v/>
      </c>
      <c r="DP106" s="43" t="str">
        <f t="shared" si="1549"/>
        <v/>
      </c>
      <c r="DQ106" s="43" t="str">
        <f t="shared" si="1550"/>
        <v/>
      </c>
      <c r="DR106" s="43" t="str">
        <f t="shared" si="1551"/>
        <v/>
      </c>
      <c r="DS106" s="43" t="str">
        <f t="shared" si="1552"/>
        <v/>
      </c>
      <c r="DT106" s="43" t="str">
        <f t="shared" si="1553"/>
        <v/>
      </c>
      <c r="DU106" s="43" t="str">
        <f t="shared" si="1554"/>
        <v/>
      </c>
      <c r="DV106" s="43" t="str">
        <f t="shared" si="1555"/>
        <v/>
      </c>
      <c r="DW106" s="43" t="str">
        <f t="shared" si="1556"/>
        <v/>
      </c>
      <c r="DX106" s="43" t="str">
        <f t="shared" si="1557"/>
        <v/>
      </c>
      <c r="DY106" s="43" t="str">
        <f t="shared" si="1558"/>
        <v/>
      </c>
      <c r="DZ106" s="43" t="str">
        <f t="shared" si="1559"/>
        <v/>
      </c>
      <c r="EA106" s="43" t="str">
        <f t="shared" si="1560"/>
        <v/>
      </c>
      <c r="EB106" s="43" t="str">
        <f t="shared" si="1561"/>
        <v/>
      </c>
      <c r="EC106" s="43" t="str">
        <f t="shared" si="1562"/>
        <v/>
      </c>
      <c r="ED106" s="43" t="str">
        <f t="shared" si="1563"/>
        <v/>
      </c>
      <c r="EE106" s="43" t="str">
        <f t="shared" si="1564"/>
        <v/>
      </c>
      <c r="EF106" s="43" t="str">
        <f t="shared" si="1565"/>
        <v/>
      </c>
      <c r="EG106" s="43" t="str">
        <f t="shared" si="1566"/>
        <v/>
      </c>
      <c r="EH106" s="43" t="str">
        <f t="shared" si="1567"/>
        <v/>
      </c>
      <c r="EI106" s="43" t="str">
        <f t="shared" si="1568"/>
        <v/>
      </c>
      <c r="EJ106" s="43" t="str">
        <f t="shared" si="1569"/>
        <v/>
      </c>
      <c r="EK106" s="43" t="str">
        <f t="shared" si="1570"/>
        <v/>
      </c>
      <c r="EL106" s="43" t="str">
        <f t="shared" si="1571"/>
        <v/>
      </c>
      <c r="EM106" s="43" t="str">
        <f t="shared" si="1572"/>
        <v/>
      </c>
      <c r="EN106" s="43" t="str">
        <f t="shared" si="1573"/>
        <v/>
      </c>
      <c r="EO106" s="43" t="str">
        <f t="shared" si="1574"/>
        <v/>
      </c>
      <c r="EP106" s="43" t="str">
        <f t="shared" si="1575"/>
        <v/>
      </c>
      <c r="EQ106" s="43" t="str">
        <f t="shared" si="1576"/>
        <v/>
      </c>
      <c r="ER106" s="43" t="str">
        <f t="shared" si="1577"/>
        <v/>
      </c>
      <c r="ES106" s="43" t="str">
        <f t="shared" si="1578"/>
        <v/>
      </c>
      <c r="ET106" s="43" t="str">
        <f t="shared" si="1579"/>
        <v/>
      </c>
      <c r="EU106" s="43" t="str">
        <f t="shared" si="1580"/>
        <v/>
      </c>
      <c r="EV106" s="43" t="str">
        <f t="shared" si="1581"/>
        <v/>
      </c>
      <c r="EW106" s="43" t="str">
        <f t="shared" si="1582"/>
        <v/>
      </c>
      <c r="EX106" s="43" t="str">
        <f t="shared" si="1583"/>
        <v/>
      </c>
      <c r="EY106" s="43" t="str">
        <f t="shared" si="1584"/>
        <v/>
      </c>
      <c r="EZ106" s="43" t="str">
        <f t="shared" si="1585"/>
        <v/>
      </c>
      <c r="FA106" s="43" t="str">
        <f t="shared" si="1586"/>
        <v/>
      </c>
      <c r="FB106" s="43" t="str">
        <f t="shared" si="1587"/>
        <v/>
      </c>
      <c r="FC106" s="43" t="str">
        <f t="shared" si="1588"/>
        <v/>
      </c>
      <c r="FD106" s="43" t="str">
        <f t="shared" si="1589"/>
        <v/>
      </c>
      <c r="FE106" s="43" t="str">
        <f t="shared" si="1590"/>
        <v/>
      </c>
      <c r="FF106" s="43" t="str">
        <f t="shared" si="1591"/>
        <v/>
      </c>
      <c r="FG106" s="43" t="str">
        <f t="shared" si="1592"/>
        <v/>
      </c>
      <c r="FH106" s="43" t="str">
        <f t="shared" si="1593"/>
        <v/>
      </c>
      <c r="FI106" s="43" t="str">
        <f t="shared" si="1594"/>
        <v/>
      </c>
      <c r="FJ106" s="43" t="str">
        <f t="shared" si="1595"/>
        <v/>
      </c>
      <c r="FK106" s="43" t="str">
        <f t="shared" si="1596"/>
        <v/>
      </c>
      <c r="FL106" s="43" t="str">
        <f t="shared" si="1597"/>
        <v/>
      </c>
      <c r="FM106" s="43" t="str">
        <f t="shared" si="1598"/>
        <v/>
      </c>
      <c r="FN106" s="43" t="str">
        <f t="shared" si="1599"/>
        <v/>
      </c>
      <c r="FO106" s="43" t="str">
        <f t="shared" si="1600"/>
        <v/>
      </c>
      <c r="FP106" s="43" t="str">
        <f t="shared" si="1601"/>
        <v/>
      </c>
      <c r="FQ106" s="43" t="str">
        <f t="shared" si="1602"/>
        <v/>
      </c>
      <c r="FR106" s="43" t="str">
        <f t="shared" si="1603"/>
        <v/>
      </c>
      <c r="FS106" s="43" t="str">
        <f t="shared" si="1604"/>
        <v/>
      </c>
    </row>
    <row r="107" ht="15" spans="1:175">
      <c r="A107" s="4"/>
      <c r="B107" s="6" t="s">
        <v>418</v>
      </c>
      <c r="C107" s="77" t="s">
        <v>419</v>
      </c>
      <c r="T107" s="82" t="s">
        <v>420</v>
      </c>
      <c r="U107" s="59" t="s">
        <v>421</v>
      </c>
      <c r="CN107" s="12" t="str">
        <f t="shared" si="1169"/>
        <v>InitUnitState('INDF',,,,,,,,,,)</v>
      </c>
      <c r="CO107" s="12" t="str">
        <f t="shared" si="1170"/>
        <v>InitUnitNormal('INDF',,,,,,,,,,)</v>
      </c>
      <c r="CP107" s="12" t="str">
        <f t="shared" si="1171"/>
        <v>InitUnitMagic('INDF',,,,,,,,,,)</v>
      </c>
      <c r="CQ107" s="12" t="str">
        <f t="shared" si="1172"/>
        <v>InitUnitAdd('INDF',,,,,,,,,,)</v>
      </c>
      <c r="CR107" s="12" t="str">
        <f t="shared" si="1605"/>
        <v>InitEquipData('INDF',,"",,,,,'','','','','','',"ReplaceableTextures\\CommandButtons\\BTNIN08.blp")</v>
      </c>
      <c r="CU107" s="71" t="str">
        <f t="shared" si="1533"/>
        <v>|n</v>
      </c>
      <c r="CV107" s="5" t="str">
        <f t="shared" si="1534"/>
        <v>开启后随机获得一张|Cffffd24d锦囊卡|r</v>
      </c>
      <c r="CW107" s="6"/>
      <c r="CX107" s="6"/>
      <c r="CY107" s="6"/>
      <c r="CZ107" s="6"/>
      <c r="DA107" s="6"/>
      <c r="DB107" s="43" t="str">
        <f t="shared" si="1535"/>
        <v/>
      </c>
      <c r="DC107" s="43" t="str">
        <f t="shared" si="1536"/>
        <v/>
      </c>
      <c r="DD107" s="43" t="str">
        <f t="shared" si="1537"/>
        <v/>
      </c>
      <c r="DE107" s="43" t="str">
        <f t="shared" si="1538"/>
        <v/>
      </c>
      <c r="DF107" s="43" t="str">
        <f t="shared" si="1539"/>
        <v/>
      </c>
      <c r="DG107" s="43" t="str">
        <f t="shared" si="1540"/>
        <v/>
      </c>
      <c r="DH107" s="43" t="str">
        <f t="shared" si="1541"/>
        <v/>
      </c>
      <c r="DI107" s="43" t="str">
        <f t="shared" si="1542"/>
        <v/>
      </c>
      <c r="DJ107" s="43" t="str">
        <f t="shared" si="1543"/>
        <v/>
      </c>
      <c r="DK107" s="43" t="str">
        <f t="shared" si="1544"/>
        <v/>
      </c>
      <c r="DL107" s="43" t="str">
        <f t="shared" si="1545"/>
        <v/>
      </c>
      <c r="DM107" s="43" t="str">
        <f t="shared" si="1546"/>
        <v/>
      </c>
      <c r="DN107" s="43" t="str">
        <f t="shared" si="1547"/>
        <v/>
      </c>
      <c r="DO107" s="43" t="str">
        <f t="shared" si="1548"/>
        <v/>
      </c>
      <c r="DP107" s="43" t="str">
        <f t="shared" si="1549"/>
        <v/>
      </c>
      <c r="DQ107" s="43" t="str">
        <f t="shared" si="1550"/>
        <v/>
      </c>
      <c r="DR107" s="43" t="str">
        <f t="shared" si="1551"/>
        <v/>
      </c>
      <c r="DS107" s="43" t="str">
        <f t="shared" si="1552"/>
        <v/>
      </c>
      <c r="DT107" s="43" t="str">
        <f t="shared" si="1553"/>
        <v/>
      </c>
      <c r="DU107" s="43" t="str">
        <f t="shared" si="1554"/>
        <v/>
      </c>
      <c r="DV107" s="43" t="str">
        <f t="shared" si="1555"/>
        <v/>
      </c>
      <c r="DW107" s="43" t="str">
        <f t="shared" si="1556"/>
        <v/>
      </c>
      <c r="DX107" s="43" t="str">
        <f t="shared" si="1557"/>
        <v/>
      </c>
      <c r="DY107" s="43" t="str">
        <f t="shared" si="1558"/>
        <v/>
      </c>
      <c r="DZ107" s="43" t="str">
        <f t="shared" si="1559"/>
        <v/>
      </c>
      <c r="EA107" s="43" t="str">
        <f t="shared" si="1560"/>
        <v/>
      </c>
      <c r="EB107" s="43" t="str">
        <f t="shared" si="1561"/>
        <v/>
      </c>
      <c r="EC107" s="43" t="str">
        <f t="shared" si="1562"/>
        <v/>
      </c>
      <c r="ED107" s="43" t="str">
        <f t="shared" si="1563"/>
        <v/>
      </c>
      <c r="EE107" s="43" t="str">
        <f t="shared" si="1564"/>
        <v/>
      </c>
      <c r="EF107" s="43" t="str">
        <f t="shared" si="1565"/>
        <v/>
      </c>
      <c r="EG107" s="43" t="str">
        <f t="shared" si="1566"/>
        <v/>
      </c>
      <c r="EH107" s="43" t="str">
        <f t="shared" si="1567"/>
        <v/>
      </c>
      <c r="EI107" s="43" t="str">
        <f t="shared" si="1568"/>
        <v/>
      </c>
      <c r="EJ107" s="43" t="str">
        <f t="shared" si="1569"/>
        <v/>
      </c>
      <c r="EK107" s="43" t="str">
        <f t="shared" si="1570"/>
        <v/>
      </c>
      <c r="EL107" s="43" t="str">
        <f t="shared" si="1571"/>
        <v/>
      </c>
      <c r="EM107" s="43" t="str">
        <f t="shared" si="1572"/>
        <v/>
      </c>
      <c r="EN107" s="43" t="str">
        <f t="shared" si="1573"/>
        <v/>
      </c>
      <c r="EO107" s="43" t="str">
        <f t="shared" si="1574"/>
        <v/>
      </c>
      <c r="EP107" s="43" t="str">
        <f t="shared" si="1575"/>
        <v/>
      </c>
      <c r="EQ107" s="43" t="str">
        <f t="shared" si="1576"/>
        <v/>
      </c>
      <c r="ER107" s="43" t="str">
        <f t="shared" si="1577"/>
        <v/>
      </c>
      <c r="ES107" s="43" t="str">
        <f t="shared" si="1578"/>
        <v/>
      </c>
      <c r="ET107" s="43" t="str">
        <f t="shared" si="1579"/>
        <v/>
      </c>
      <c r="EU107" s="43" t="str">
        <f t="shared" si="1580"/>
        <v/>
      </c>
      <c r="EV107" s="43" t="str">
        <f t="shared" si="1581"/>
        <v/>
      </c>
      <c r="EW107" s="43" t="str">
        <f t="shared" si="1582"/>
        <v/>
      </c>
      <c r="EX107" s="43" t="str">
        <f t="shared" si="1583"/>
        <v/>
      </c>
      <c r="EY107" s="43" t="str">
        <f t="shared" si="1584"/>
        <v/>
      </c>
      <c r="EZ107" s="43" t="str">
        <f t="shared" si="1585"/>
        <v/>
      </c>
      <c r="FA107" s="43" t="str">
        <f t="shared" si="1586"/>
        <v/>
      </c>
      <c r="FB107" s="43" t="str">
        <f t="shared" si="1587"/>
        <v/>
      </c>
      <c r="FC107" s="43" t="str">
        <f t="shared" si="1588"/>
        <v/>
      </c>
      <c r="FD107" s="43" t="str">
        <f t="shared" si="1589"/>
        <v/>
      </c>
      <c r="FE107" s="43" t="str">
        <f t="shared" si="1590"/>
        <v/>
      </c>
      <c r="FF107" s="43" t="str">
        <f t="shared" si="1591"/>
        <v/>
      </c>
      <c r="FG107" s="43" t="str">
        <f t="shared" si="1592"/>
        <v/>
      </c>
      <c r="FH107" s="43" t="str">
        <f t="shared" si="1593"/>
        <v/>
      </c>
      <c r="FI107" s="43" t="str">
        <f t="shared" si="1594"/>
        <v/>
      </c>
      <c r="FJ107" s="43" t="str">
        <f t="shared" si="1595"/>
        <v/>
      </c>
      <c r="FK107" s="43" t="str">
        <f t="shared" si="1596"/>
        <v/>
      </c>
      <c r="FL107" s="43" t="str">
        <f t="shared" si="1597"/>
        <v/>
      </c>
      <c r="FM107" s="43" t="str">
        <f t="shared" si="1598"/>
        <v/>
      </c>
      <c r="FN107" s="43" t="str">
        <f t="shared" si="1599"/>
        <v/>
      </c>
      <c r="FO107" s="43" t="str">
        <f t="shared" si="1600"/>
        <v/>
      </c>
      <c r="FP107" s="43" t="str">
        <f t="shared" si="1601"/>
        <v/>
      </c>
      <c r="FQ107" s="43" t="str">
        <f t="shared" si="1602"/>
        <v/>
      </c>
      <c r="FR107" s="43" t="str">
        <f t="shared" si="1603"/>
        <v/>
      </c>
      <c r="FS107" s="43" t="str">
        <f t="shared" si="1604"/>
        <v/>
      </c>
    </row>
    <row r="108" ht="57.6" spans="1:175">
      <c r="A108" s="4"/>
      <c r="B108" s="6" t="s">
        <v>422</v>
      </c>
      <c r="C108" s="77" t="s">
        <v>411</v>
      </c>
      <c r="T108" s="82" t="s">
        <v>412</v>
      </c>
      <c r="U108" s="59" t="s">
        <v>413</v>
      </c>
      <c r="CN108" s="12" t="str">
        <f t="shared" si="1169"/>
        <v>InitUnitState('INDG',,,,,,,,,,)</v>
      </c>
      <c r="CO108" s="12" t="str">
        <f t="shared" si="1170"/>
        <v>InitUnitNormal('INDG',,,,,,,,,,)</v>
      </c>
      <c r="CP108" s="12" t="str">
        <f t="shared" si="1171"/>
        <v>InitUnitMagic('INDG',,,,,,,,,,)</v>
      </c>
      <c r="CQ108" s="12" t="str">
        <f t="shared" si="1172"/>
        <v>InitUnitAdd('INDG',,,,,,,,,,)</v>
      </c>
      <c r="CR108" s="12" t="str">
        <f t="shared" si="1605"/>
        <v>InitEquipData('INDG',,"",,,,,'','','','','','',"ReplaceableTextures\\CommandButtons\\BTNIN09.blp")</v>
      </c>
      <c r="CU108" s="71" t="str">
        <f t="shared" si="1533"/>
        <v>|n</v>
      </c>
      <c r="CV108" s="5" t="str">
        <f t="shared" si="1534"/>
        <v>开启后获得|Cffffd24d42~700木头|r或|Cffffd24d随机锦囊卡|r。|n|n|Cff00ff7f掉落时激活的星宿越多，人品越好 |r     </v>
      </c>
      <c r="CW108" s="6"/>
      <c r="CX108" s="6"/>
      <c r="CY108" s="6"/>
      <c r="CZ108" s="6"/>
      <c r="DA108" s="6"/>
      <c r="DB108" s="43" t="str">
        <f t="shared" si="1535"/>
        <v/>
      </c>
      <c r="DC108" s="43" t="str">
        <f t="shared" si="1536"/>
        <v/>
      </c>
      <c r="DD108" s="43" t="str">
        <f t="shared" si="1537"/>
        <v/>
      </c>
      <c r="DE108" s="43" t="str">
        <f t="shared" si="1538"/>
        <v/>
      </c>
      <c r="DF108" s="43" t="str">
        <f t="shared" si="1539"/>
        <v/>
      </c>
      <c r="DG108" s="43" t="str">
        <f t="shared" si="1540"/>
        <v/>
      </c>
      <c r="DH108" s="43" t="str">
        <f t="shared" si="1541"/>
        <v/>
      </c>
      <c r="DI108" s="43" t="str">
        <f t="shared" si="1542"/>
        <v/>
      </c>
      <c r="DJ108" s="43" t="str">
        <f t="shared" si="1543"/>
        <v/>
      </c>
      <c r="DK108" s="43" t="str">
        <f t="shared" si="1544"/>
        <v/>
      </c>
      <c r="DL108" s="43" t="str">
        <f t="shared" si="1545"/>
        <v/>
      </c>
      <c r="DM108" s="43" t="str">
        <f t="shared" si="1546"/>
        <v/>
      </c>
      <c r="DN108" s="43" t="str">
        <f t="shared" si="1547"/>
        <v/>
      </c>
      <c r="DO108" s="43" t="str">
        <f t="shared" si="1548"/>
        <v/>
      </c>
      <c r="DP108" s="43" t="str">
        <f t="shared" si="1549"/>
        <v/>
      </c>
      <c r="DQ108" s="43" t="str">
        <f t="shared" si="1550"/>
        <v/>
      </c>
      <c r="DR108" s="43" t="str">
        <f t="shared" si="1551"/>
        <v/>
      </c>
      <c r="DS108" s="43" t="str">
        <f t="shared" si="1552"/>
        <v/>
      </c>
      <c r="DT108" s="43" t="str">
        <f t="shared" si="1553"/>
        <v/>
      </c>
      <c r="DU108" s="43" t="str">
        <f t="shared" si="1554"/>
        <v/>
      </c>
      <c r="DV108" s="43" t="str">
        <f t="shared" si="1555"/>
        <v/>
      </c>
      <c r="DW108" s="43" t="str">
        <f t="shared" si="1556"/>
        <v/>
      </c>
      <c r="DX108" s="43" t="str">
        <f t="shared" si="1557"/>
        <v/>
      </c>
      <c r="DY108" s="43" t="str">
        <f t="shared" si="1558"/>
        <v/>
      </c>
      <c r="DZ108" s="43" t="str">
        <f t="shared" si="1559"/>
        <v/>
      </c>
      <c r="EA108" s="43" t="str">
        <f t="shared" si="1560"/>
        <v/>
      </c>
      <c r="EB108" s="43" t="str">
        <f t="shared" si="1561"/>
        <v/>
      </c>
      <c r="EC108" s="43" t="str">
        <f t="shared" si="1562"/>
        <v/>
      </c>
      <c r="ED108" s="43" t="str">
        <f t="shared" si="1563"/>
        <v/>
      </c>
      <c r="EE108" s="43" t="str">
        <f t="shared" si="1564"/>
        <v/>
      </c>
      <c r="EF108" s="43" t="str">
        <f t="shared" si="1565"/>
        <v/>
      </c>
      <c r="EG108" s="43" t="str">
        <f t="shared" si="1566"/>
        <v/>
      </c>
      <c r="EH108" s="43" t="str">
        <f t="shared" si="1567"/>
        <v/>
      </c>
      <c r="EI108" s="43" t="str">
        <f t="shared" si="1568"/>
        <v/>
      </c>
      <c r="EJ108" s="43" t="str">
        <f t="shared" si="1569"/>
        <v/>
      </c>
      <c r="EK108" s="43" t="str">
        <f t="shared" si="1570"/>
        <v/>
      </c>
      <c r="EL108" s="43" t="str">
        <f t="shared" si="1571"/>
        <v/>
      </c>
      <c r="EM108" s="43" t="str">
        <f t="shared" si="1572"/>
        <v/>
      </c>
      <c r="EN108" s="43" t="str">
        <f t="shared" si="1573"/>
        <v/>
      </c>
      <c r="EO108" s="43" t="str">
        <f t="shared" si="1574"/>
        <v/>
      </c>
      <c r="EP108" s="43" t="str">
        <f t="shared" si="1575"/>
        <v/>
      </c>
      <c r="EQ108" s="43" t="str">
        <f t="shared" si="1576"/>
        <v/>
      </c>
      <c r="ER108" s="43" t="str">
        <f t="shared" si="1577"/>
        <v/>
      </c>
      <c r="ES108" s="43" t="str">
        <f t="shared" si="1578"/>
        <v/>
      </c>
      <c r="ET108" s="43" t="str">
        <f t="shared" si="1579"/>
        <v/>
      </c>
      <c r="EU108" s="43" t="str">
        <f t="shared" si="1580"/>
        <v/>
      </c>
      <c r="EV108" s="43" t="str">
        <f t="shared" si="1581"/>
        <v/>
      </c>
      <c r="EW108" s="43" t="str">
        <f t="shared" si="1582"/>
        <v/>
      </c>
      <c r="EX108" s="43" t="str">
        <f t="shared" si="1583"/>
        <v/>
      </c>
      <c r="EY108" s="43" t="str">
        <f t="shared" si="1584"/>
        <v/>
      </c>
      <c r="EZ108" s="43" t="str">
        <f t="shared" si="1585"/>
        <v/>
      </c>
      <c r="FA108" s="43" t="str">
        <f t="shared" si="1586"/>
        <v/>
      </c>
      <c r="FB108" s="43" t="str">
        <f t="shared" si="1587"/>
        <v/>
      </c>
      <c r="FC108" s="43" t="str">
        <f t="shared" si="1588"/>
        <v/>
      </c>
      <c r="FD108" s="43" t="str">
        <f t="shared" si="1589"/>
        <v/>
      </c>
      <c r="FE108" s="43" t="str">
        <f t="shared" si="1590"/>
        <v/>
      </c>
      <c r="FF108" s="43" t="str">
        <f t="shared" si="1591"/>
        <v/>
      </c>
      <c r="FG108" s="43" t="str">
        <f t="shared" si="1592"/>
        <v/>
      </c>
      <c r="FH108" s="43" t="str">
        <f t="shared" si="1593"/>
        <v/>
      </c>
      <c r="FI108" s="43" t="str">
        <f t="shared" si="1594"/>
        <v/>
      </c>
      <c r="FJ108" s="43" t="str">
        <f t="shared" si="1595"/>
        <v/>
      </c>
      <c r="FK108" s="43" t="str">
        <f t="shared" si="1596"/>
        <v/>
      </c>
      <c r="FL108" s="43" t="str">
        <f t="shared" si="1597"/>
        <v/>
      </c>
      <c r="FM108" s="43" t="str">
        <f t="shared" si="1598"/>
        <v/>
      </c>
      <c r="FN108" s="43" t="str">
        <f t="shared" si="1599"/>
        <v/>
      </c>
      <c r="FO108" s="43" t="str">
        <f t="shared" si="1600"/>
        <v/>
      </c>
      <c r="FP108" s="43" t="str">
        <f t="shared" si="1601"/>
        <v/>
      </c>
      <c r="FQ108" s="43" t="str">
        <f t="shared" si="1602"/>
        <v/>
      </c>
      <c r="FR108" s="43" t="str">
        <f t="shared" si="1603"/>
        <v/>
      </c>
      <c r="FS108" s="43" t="str">
        <f t="shared" si="1604"/>
        <v/>
      </c>
    </row>
    <row r="109" ht="57.6" spans="1:175">
      <c r="A109" s="4"/>
      <c r="B109" s="6" t="s">
        <v>423</v>
      </c>
      <c r="C109" s="77" t="s">
        <v>411</v>
      </c>
      <c r="T109" s="82" t="s">
        <v>412</v>
      </c>
      <c r="U109" s="59" t="s">
        <v>413</v>
      </c>
      <c r="CN109" s="12" t="str">
        <f t="shared" si="1169"/>
        <v>InitUnitState('INDH',,,,,,,,,,)</v>
      </c>
      <c r="CO109" s="12" t="str">
        <f t="shared" si="1170"/>
        <v>InitUnitNormal('INDH',,,,,,,,,,)</v>
      </c>
      <c r="CP109" s="12" t="str">
        <f t="shared" si="1171"/>
        <v>InitUnitMagic('INDH',,,,,,,,,,)</v>
      </c>
      <c r="CQ109" s="12" t="str">
        <f t="shared" si="1172"/>
        <v>InitUnitAdd('INDH',,,,,,,,,,)</v>
      </c>
      <c r="CR109" s="12" t="str">
        <f t="shared" si="1605"/>
        <v>InitEquipData('INDH',,"",,,,,'','','','','','',"ReplaceableTextures\\CommandButtons\\BTNIN10.blp")</v>
      </c>
      <c r="CU109" s="71" t="str">
        <f t="shared" si="1533"/>
        <v>|n</v>
      </c>
      <c r="CV109" s="5" t="str">
        <f t="shared" si="1534"/>
        <v>开启后获得|Cffffd24d42~700木头|r或|Cffffd24d随机锦囊卡|r。|n|n|Cff00ff7f掉落时激活的星宿越多，人品越好 |r     </v>
      </c>
      <c r="CW109" s="6"/>
      <c r="CX109" s="6"/>
      <c r="CY109" s="6"/>
      <c r="CZ109" s="6"/>
      <c r="DA109" s="6"/>
      <c r="DB109" s="43" t="str">
        <f t="shared" si="1535"/>
        <v/>
      </c>
      <c r="DC109" s="43" t="str">
        <f t="shared" si="1536"/>
        <v/>
      </c>
      <c r="DD109" s="43" t="str">
        <f t="shared" si="1537"/>
        <v/>
      </c>
      <c r="DE109" s="43" t="str">
        <f t="shared" si="1538"/>
        <v/>
      </c>
      <c r="DF109" s="43" t="str">
        <f t="shared" si="1539"/>
        <v/>
      </c>
      <c r="DG109" s="43" t="str">
        <f t="shared" si="1540"/>
        <v/>
      </c>
      <c r="DH109" s="43" t="str">
        <f t="shared" si="1541"/>
        <v/>
      </c>
      <c r="DI109" s="43" t="str">
        <f t="shared" si="1542"/>
        <v/>
      </c>
      <c r="DJ109" s="43" t="str">
        <f t="shared" si="1543"/>
        <v/>
      </c>
      <c r="DK109" s="43" t="str">
        <f t="shared" si="1544"/>
        <v/>
      </c>
      <c r="DL109" s="43" t="str">
        <f t="shared" si="1545"/>
        <v/>
      </c>
      <c r="DM109" s="43" t="str">
        <f t="shared" si="1546"/>
        <v/>
      </c>
      <c r="DN109" s="43" t="str">
        <f t="shared" si="1547"/>
        <v/>
      </c>
      <c r="DO109" s="43" t="str">
        <f t="shared" si="1548"/>
        <v/>
      </c>
      <c r="DP109" s="43" t="str">
        <f t="shared" si="1549"/>
        <v/>
      </c>
      <c r="DQ109" s="43" t="str">
        <f t="shared" si="1550"/>
        <v/>
      </c>
      <c r="DR109" s="43" t="str">
        <f t="shared" si="1551"/>
        <v/>
      </c>
      <c r="DS109" s="43" t="str">
        <f t="shared" si="1552"/>
        <v/>
      </c>
      <c r="DT109" s="43" t="str">
        <f t="shared" si="1553"/>
        <v/>
      </c>
      <c r="DU109" s="43" t="str">
        <f t="shared" si="1554"/>
        <v/>
      </c>
      <c r="DV109" s="43" t="str">
        <f t="shared" si="1555"/>
        <v/>
      </c>
      <c r="DW109" s="43" t="str">
        <f t="shared" si="1556"/>
        <v/>
      </c>
      <c r="DX109" s="43" t="str">
        <f t="shared" si="1557"/>
        <v/>
      </c>
      <c r="DY109" s="43" t="str">
        <f t="shared" si="1558"/>
        <v/>
      </c>
      <c r="DZ109" s="43" t="str">
        <f t="shared" si="1559"/>
        <v/>
      </c>
      <c r="EA109" s="43" t="str">
        <f t="shared" si="1560"/>
        <v/>
      </c>
      <c r="EB109" s="43" t="str">
        <f t="shared" si="1561"/>
        <v/>
      </c>
      <c r="EC109" s="43" t="str">
        <f t="shared" si="1562"/>
        <v/>
      </c>
      <c r="ED109" s="43" t="str">
        <f t="shared" si="1563"/>
        <v/>
      </c>
      <c r="EE109" s="43" t="str">
        <f t="shared" si="1564"/>
        <v/>
      </c>
      <c r="EF109" s="43" t="str">
        <f t="shared" si="1565"/>
        <v/>
      </c>
      <c r="EG109" s="43" t="str">
        <f t="shared" si="1566"/>
        <v/>
      </c>
      <c r="EH109" s="43" t="str">
        <f t="shared" si="1567"/>
        <v/>
      </c>
      <c r="EI109" s="43" t="str">
        <f t="shared" si="1568"/>
        <v/>
      </c>
      <c r="EJ109" s="43" t="str">
        <f t="shared" si="1569"/>
        <v/>
      </c>
      <c r="EK109" s="43" t="str">
        <f t="shared" si="1570"/>
        <v/>
      </c>
      <c r="EL109" s="43" t="str">
        <f t="shared" si="1571"/>
        <v/>
      </c>
      <c r="EM109" s="43" t="str">
        <f t="shared" si="1572"/>
        <v/>
      </c>
      <c r="EN109" s="43" t="str">
        <f t="shared" si="1573"/>
        <v/>
      </c>
      <c r="EO109" s="43" t="str">
        <f t="shared" si="1574"/>
        <v/>
      </c>
      <c r="EP109" s="43" t="str">
        <f t="shared" si="1575"/>
        <v/>
      </c>
      <c r="EQ109" s="43" t="str">
        <f t="shared" si="1576"/>
        <v/>
      </c>
      <c r="ER109" s="43" t="str">
        <f t="shared" si="1577"/>
        <v/>
      </c>
      <c r="ES109" s="43" t="str">
        <f t="shared" si="1578"/>
        <v/>
      </c>
      <c r="ET109" s="43" t="str">
        <f t="shared" si="1579"/>
        <v/>
      </c>
      <c r="EU109" s="43" t="str">
        <f t="shared" si="1580"/>
        <v/>
      </c>
      <c r="EV109" s="43" t="str">
        <f t="shared" si="1581"/>
        <v/>
      </c>
      <c r="EW109" s="43" t="str">
        <f t="shared" si="1582"/>
        <v/>
      </c>
      <c r="EX109" s="43" t="str">
        <f t="shared" si="1583"/>
        <v/>
      </c>
      <c r="EY109" s="43" t="str">
        <f t="shared" si="1584"/>
        <v/>
      </c>
      <c r="EZ109" s="43" t="str">
        <f t="shared" si="1585"/>
        <v/>
      </c>
      <c r="FA109" s="43" t="str">
        <f t="shared" si="1586"/>
        <v/>
      </c>
      <c r="FB109" s="43" t="str">
        <f t="shared" si="1587"/>
        <v/>
      </c>
      <c r="FC109" s="43" t="str">
        <f t="shared" si="1588"/>
        <v/>
      </c>
      <c r="FD109" s="43" t="str">
        <f t="shared" si="1589"/>
        <v/>
      </c>
      <c r="FE109" s="43" t="str">
        <f t="shared" si="1590"/>
        <v/>
      </c>
      <c r="FF109" s="43" t="str">
        <f t="shared" si="1591"/>
        <v/>
      </c>
      <c r="FG109" s="43" t="str">
        <f t="shared" si="1592"/>
        <v/>
      </c>
      <c r="FH109" s="43" t="str">
        <f t="shared" si="1593"/>
        <v/>
      </c>
      <c r="FI109" s="43" t="str">
        <f t="shared" si="1594"/>
        <v/>
      </c>
      <c r="FJ109" s="43" t="str">
        <f t="shared" si="1595"/>
        <v/>
      </c>
      <c r="FK109" s="43" t="str">
        <f t="shared" si="1596"/>
        <v/>
      </c>
      <c r="FL109" s="43" t="str">
        <f t="shared" si="1597"/>
        <v/>
      </c>
      <c r="FM109" s="43" t="str">
        <f t="shared" si="1598"/>
        <v/>
      </c>
      <c r="FN109" s="43" t="str">
        <f t="shared" si="1599"/>
        <v/>
      </c>
      <c r="FO109" s="43" t="str">
        <f t="shared" si="1600"/>
        <v/>
      </c>
      <c r="FP109" s="43" t="str">
        <f t="shared" si="1601"/>
        <v/>
      </c>
      <c r="FQ109" s="43" t="str">
        <f t="shared" si="1602"/>
        <v/>
      </c>
      <c r="FR109" s="43" t="str">
        <f t="shared" si="1603"/>
        <v/>
      </c>
      <c r="FS109" s="43" t="str">
        <f t="shared" si="1604"/>
        <v/>
      </c>
    </row>
    <row r="110" ht="57.6" spans="1:175">
      <c r="A110" s="4"/>
      <c r="B110" s="6" t="s">
        <v>424</v>
      </c>
      <c r="C110" s="77" t="s">
        <v>411</v>
      </c>
      <c r="T110" s="82" t="s">
        <v>412</v>
      </c>
      <c r="U110" s="59" t="s">
        <v>413</v>
      </c>
      <c r="CN110" s="12" t="str">
        <f t="shared" si="1169"/>
        <v>InitUnitState('INDI',,,,,,,,,,)</v>
      </c>
      <c r="CO110" s="12" t="str">
        <f t="shared" si="1170"/>
        <v>InitUnitNormal('INDI',,,,,,,,,,)</v>
      </c>
      <c r="CP110" s="12" t="str">
        <f t="shared" si="1171"/>
        <v>InitUnitMagic('INDI',,,,,,,,,,)</v>
      </c>
      <c r="CQ110" s="12" t="str">
        <f t="shared" si="1172"/>
        <v>InitUnitAdd('INDI',,,,,,,,,,)</v>
      </c>
      <c r="CR110" s="12" t="str">
        <f t="shared" si="1605"/>
        <v>InitEquipData('INDI',,"",,,,,'','','','','','',"ReplaceableTextures\\CommandButtons\\BTNIN11.blp")</v>
      </c>
      <c r="CU110" s="71" t="str">
        <f t="shared" ref="CU110:CU117" si="1606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5" t="str">
        <f t="shared" ref="CV110:CV117" si="1607">T110</f>
        <v>开启后获得|Cffffd24d42~700木头|r或|Cffffd24d随机锦囊卡|r。|n|n|Cff00ff7f掉落时激活的星宿越多，人品越好 |r     </v>
      </c>
      <c r="CW110" s="6"/>
      <c r="CX110" s="6"/>
      <c r="CY110" s="6"/>
      <c r="CZ110" s="6"/>
      <c r="DA110" s="6"/>
      <c r="DB110" s="43" t="str">
        <f t="shared" ref="DB110:DB117" si="1608">IF(V110="","","|n"&amp;DB$2&amp;"+"&amp;V110&amp;DB$1)</f>
        <v/>
      </c>
      <c r="DC110" s="43" t="str">
        <f t="shared" ref="DC110:DC117" si="1609">IF(W110="","","|n"&amp;DC$2&amp;"+"&amp;W110&amp;DC$1)</f>
        <v/>
      </c>
      <c r="DD110" s="43" t="str">
        <f t="shared" ref="DD110:DD117" si="1610">IF(X110="","","|n"&amp;DD$2&amp;"+"&amp;X110&amp;DD$1)</f>
        <v/>
      </c>
      <c r="DE110" s="43" t="str">
        <f t="shared" ref="DE110:DE117" si="1611">IF(Y110="","","|n"&amp;DE$2&amp;"+"&amp;Y110&amp;DE$1)</f>
        <v/>
      </c>
      <c r="DF110" s="43" t="str">
        <f t="shared" ref="DF110:DF117" si="1612">IF(Z110="","","|n"&amp;DF$2&amp;"+"&amp;Z110&amp;DF$1)</f>
        <v/>
      </c>
      <c r="DG110" s="43" t="str">
        <f t="shared" ref="DG110:DG117" si="1613">IF(AA110="","","|n"&amp;DG$2&amp;"+"&amp;AA110&amp;DG$1)</f>
        <v/>
      </c>
      <c r="DH110" s="43" t="str">
        <f t="shared" ref="DH110:DH117" si="1614">IF(AB110="","","|n"&amp;DH$2&amp;"+"&amp;AB110&amp;DH$1)</f>
        <v/>
      </c>
      <c r="DI110" s="43" t="str">
        <f t="shared" ref="DI110:DI117" si="1615">IF(AC110="","","|n"&amp;DI$2&amp;"+"&amp;AC110&amp;DI$1)</f>
        <v/>
      </c>
      <c r="DJ110" s="43" t="str">
        <f t="shared" ref="DJ110:DJ117" si="1616">IF(AD110="","","|n"&amp;DJ$2&amp;"+"&amp;AD110&amp;DJ$1)</f>
        <v/>
      </c>
      <c r="DK110" s="43" t="str">
        <f t="shared" ref="DK110:DK117" si="1617">IF(AE110="","","|n"&amp;DK$2&amp;"+"&amp;AE110&amp;DK$1)</f>
        <v/>
      </c>
      <c r="DL110" s="43" t="str">
        <f t="shared" ref="DL110:DL117" si="1618">IF(AF110="","","|n"&amp;DL$2&amp;"+"&amp;AF110&amp;DL$1)</f>
        <v/>
      </c>
      <c r="DM110" s="43" t="str">
        <f t="shared" ref="DM110:DM117" si="1619">IF(AG110="","","|n"&amp;DM$2&amp;"+"&amp;AG110&amp;DM$1)</f>
        <v/>
      </c>
      <c r="DN110" s="43" t="str">
        <f t="shared" ref="DN110:DN117" si="1620">IF(AH110="","","|n"&amp;DN$2&amp;"+"&amp;AH110&amp;DN$1)</f>
        <v/>
      </c>
      <c r="DO110" s="43" t="str">
        <f t="shared" ref="DO110:DO117" si="1621">IF(AI110="","","|n"&amp;DO$2&amp;"+"&amp;AI110&amp;DO$1)</f>
        <v/>
      </c>
      <c r="DP110" s="43" t="str">
        <f t="shared" ref="DP110:DP117" si="1622">IF(AJ110="","","|n"&amp;DP$2&amp;"+"&amp;AJ110&amp;DP$1)</f>
        <v/>
      </c>
      <c r="DQ110" s="43" t="str">
        <f t="shared" ref="DQ110:DQ117" si="1623">IF(AK110="","","|n"&amp;DQ$2&amp;"+"&amp;AK110&amp;DQ$1)</f>
        <v/>
      </c>
      <c r="DR110" s="43" t="str">
        <f t="shared" ref="DR110:DR117" si="1624">IF(AL110="","","|n"&amp;DR$2&amp;"+"&amp;AL110&amp;DR$1)</f>
        <v/>
      </c>
      <c r="DS110" s="43" t="str">
        <f t="shared" ref="DS110:DS117" si="1625">IF(AM110="","","|n"&amp;DS$2&amp;"+"&amp;AM110&amp;DS$1)</f>
        <v/>
      </c>
      <c r="DT110" s="43" t="str">
        <f t="shared" ref="DT110:DT117" si="1626">IF(AN110="","","|n"&amp;DT$2&amp;"+"&amp;AN110&amp;DT$1)</f>
        <v/>
      </c>
      <c r="DU110" s="43" t="str">
        <f t="shared" ref="DU110:DU117" si="1627">IF(AO110="","","|n"&amp;DU$2&amp;"+"&amp;AO110&amp;DU$1)</f>
        <v/>
      </c>
      <c r="DV110" s="43" t="str">
        <f t="shared" ref="DV110:DV117" si="1628">IF(AP110="","","|n"&amp;DV$2&amp;"+"&amp;AP110&amp;DV$1)</f>
        <v/>
      </c>
      <c r="DW110" s="43" t="str">
        <f t="shared" ref="DW110:DW117" si="1629">IF(AQ110="","","|n"&amp;DW$2&amp;"+"&amp;AQ110&amp;DW$1)</f>
        <v/>
      </c>
      <c r="DX110" s="43" t="str">
        <f t="shared" ref="DX110:DX117" si="1630">IF(AR110="","","|n"&amp;DX$2&amp;"+"&amp;AR110&amp;DX$1)</f>
        <v/>
      </c>
      <c r="DY110" s="43" t="str">
        <f t="shared" ref="DY110:DY117" si="1631">IF(AS110="","","|n"&amp;DY$2&amp;"+"&amp;AS110&amp;DY$1)</f>
        <v/>
      </c>
      <c r="DZ110" s="43" t="str">
        <f t="shared" ref="DZ110:DZ117" si="1632">IF(AT110="","","|n"&amp;DZ$2&amp;"+"&amp;AT110&amp;DZ$1)</f>
        <v/>
      </c>
      <c r="EA110" s="43" t="str">
        <f t="shared" ref="EA110:EA117" si="1633">IF(AU110="","","|n"&amp;EA$2&amp;"+"&amp;AU110&amp;EA$1)</f>
        <v/>
      </c>
      <c r="EB110" s="43" t="str">
        <f t="shared" ref="EB110:EB117" si="1634">IF(AV110="","","|n"&amp;EB$2&amp;"+"&amp;AV110&amp;EB$1)</f>
        <v/>
      </c>
      <c r="EC110" s="43" t="str">
        <f t="shared" ref="EC110:EC117" si="1635">IF(AW110="","","|n"&amp;EC$2&amp;"+"&amp;AW110&amp;EC$1)</f>
        <v/>
      </c>
      <c r="ED110" s="43" t="str">
        <f t="shared" ref="ED110:ED117" si="1636">IF(AX110="","","|n"&amp;ED$2&amp;"+"&amp;AX110&amp;ED$1)</f>
        <v/>
      </c>
      <c r="EE110" s="43" t="str">
        <f t="shared" ref="EE110:EE117" si="1637">IF(AY110="","","|n"&amp;EE$2&amp;"+"&amp;AY110&amp;EE$1)</f>
        <v/>
      </c>
      <c r="EF110" s="43" t="str">
        <f t="shared" ref="EF110:EF117" si="1638">IF(AZ110="","","|n"&amp;EF$2&amp;"+"&amp;AZ110&amp;EF$1)</f>
        <v/>
      </c>
      <c r="EG110" s="43" t="str">
        <f t="shared" ref="EG110:EG117" si="1639">IF(BA110="","","|n"&amp;EG$2&amp;"+"&amp;BA110&amp;EG$1)</f>
        <v/>
      </c>
      <c r="EH110" s="43" t="str">
        <f t="shared" ref="EH110:EH117" si="1640">IF(BB110="","","|n"&amp;EH$2&amp;"+"&amp;BB110&amp;EH$1)</f>
        <v/>
      </c>
      <c r="EI110" s="43" t="str">
        <f t="shared" ref="EI110:EI117" si="1641">IF(BC110="","","|n"&amp;EI$2&amp;"+"&amp;BC110&amp;EI$1)</f>
        <v/>
      </c>
      <c r="EJ110" s="43" t="str">
        <f t="shared" ref="EJ110:EJ117" si="1642">IF(BD110="","","|n"&amp;EJ$2&amp;"+"&amp;BD110&amp;EJ$1)</f>
        <v/>
      </c>
      <c r="EK110" s="43" t="str">
        <f t="shared" ref="EK110:EK117" si="1643">IF(BE110="","","|n"&amp;EK$2&amp;"+"&amp;BE110&amp;EK$1)</f>
        <v/>
      </c>
      <c r="EL110" s="43" t="str">
        <f t="shared" ref="EL110:EL117" si="1644">IF(BF110="","","|n"&amp;EL$2&amp;"+"&amp;BF110&amp;EL$1)</f>
        <v/>
      </c>
      <c r="EM110" s="43" t="str">
        <f t="shared" ref="EM110:EM117" si="1645">IF(BG110="","","|n"&amp;EM$2&amp;"+"&amp;BG110&amp;EM$1)</f>
        <v/>
      </c>
      <c r="EN110" s="43" t="str">
        <f t="shared" ref="EN110:EN117" si="1646">IF(BH110="","","|n"&amp;EN$2&amp;"+"&amp;BH110&amp;EN$1)</f>
        <v/>
      </c>
      <c r="EO110" s="43" t="str">
        <f t="shared" ref="EO110:EO117" si="1647">IF(BI110="","","|n"&amp;EO$2&amp;"+"&amp;BI110&amp;EO$1)</f>
        <v/>
      </c>
      <c r="EP110" s="43" t="str">
        <f t="shared" ref="EP110:EP117" si="1648">IF(BJ110="","","|n"&amp;EP$2&amp;"+"&amp;BJ110&amp;EP$1)</f>
        <v/>
      </c>
      <c r="EQ110" s="43" t="str">
        <f t="shared" ref="EQ110:EQ117" si="1649">IF(BK110="","","|n"&amp;EQ$2&amp;"+"&amp;BK110&amp;EQ$1)</f>
        <v/>
      </c>
      <c r="ER110" s="43" t="str">
        <f t="shared" ref="ER110:ER117" si="1650">IF(BL110="","","|n"&amp;ER$2&amp;"+"&amp;BL110&amp;ER$1)</f>
        <v/>
      </c>
      <c r="ES110" s="43" t="str">
        <f t="shared" ref="ES110:ES117" si="1651">IF(BM110="","","|n"&amp;ES$2&amp;"+"&amp;BM110&amp;ES$1)</f>
        <v/>
      </c>
      <c r="ET110" s="43" t="str">
        <f t="shared" ref="ET110:ET117" si="1652">IF(BN110="","","|n"&amp;ET$2&amp;"+"&amp;BN110&amp;ET$1)</f>
        <v/>
      </c>
      <c r="EU110" s="43" t="str">
        <f t="shared" ref="EU110:EU117" si="1653">IF(BO110="","","|n"&amp;EU$2&amp;"+"&amp;BO110&amp;EU$1)</f>
        <v/>
      </c>
      <c r="EV110" s="43" t="str">
        <f t="shared" ref="EV110:EV117" si="1654">IF(BP110="","","|n"&amp;EV$2&amp;"+"&amp;BP110&amp;EV$1)</f>
        <v/>
      </c>
      <c r="EW110" s="43" t="str">
        <f t="shared" ref="EW110:EW117" si="1655">IF(BQ110="","","|n"&amp;EW$2&amp;"+"&amp;BQ110&amp;EW$1)</f>
        <v/>
      </c>
      <c r="EX110" s="43" t="str">
        <f t="shared" ref="EX110:EX117" si="1656">IF(BR110="","","|n"&amp;EX$2&amp;"+"&amp;BR110&amp;EX$1)</f>
        <v/>
      </c>
      <c r="EY110" s="43" t="str">
        <f t="shared" ref="EY110:EY117" si="1657">IF(BS110="","","|n"&amp;EY$2&amp;"+"&amp;BS110&amp;EY$1)</f>
        <v/>
      </c>
      <c r="EZ110" s="43" t="str">
        <f t="shared" ref="EZ110:EZ117" si="1658">IF(BT110="","","|n"&amp;EZ$2&amp;"+"&amp;BT110&amp;EZ$1)</f>
        <v/>
      </c>
      <c r="FA110" s="43" t="str">
        <f t="shared" ref="FA110:FA117" si="1659">IF(BU110="","","|n"&amp;FA$2&amp;"+"&amp;BU110&amp;FA$1)</f>
        <v/>
      </c>
      <c r="FB110" s="43" t="str">
        <f t="shared" ref="FB110:FB117" si="1660">IF(BV110="","","|n"&amp;FB$2&amp;"+"&amp;BV110&amp;FB$1)</f>
        <v/>
      </c>
      <c r="FC110" s="43" t="str">
        <f t="shared" ref="FC110:FC117" si="1661">IF(BW110="","","|n"&amp;FC$2&amp;"+"&amp;BW110&amp;FC$1)</f>
        <v/>
      </c>
      <c r="FD110" s="43" t="str">
        <f t="shared" ref="FD110:FD117" si="1662">IF(BX110="","","|n"&amp;FD$2&amp;"+"&amp;BX110&amp;FD$1)</f>
        <v/>
      </c>
      <c r="FE110" s="43" t="str">
        <f t="shared" ref="FE110:FE117" si="1663">IF(BY110="","","|n"&amp;FE$2&amp;"+"&amp;BY110&amp;FE$1)</f>
        <v/>
      </c>
      <c r="FF110" s="43" t="str">
        <f t="shared" ref="FF110:FF117" si="1664">IF(BZ110="","","|n"&amp;FF$2&amp;"+"&amp;BZ110&amp;FF$1)</f>
        <v/>
      </c>
      <c r="FG110" s="43" t="str">
        <f t="shared" ref="FG110:FG117" si="1665">IF(CA110="","","|n"&amp;FG$2&amp;"+"&amp;CA110&amp;FG$1)</f>
        <v/>
      </c>
      <c r="FH110" s="43" t="str">
        <f t="shared" ref="FH110:FH117" si="1666">IF(CB110="","","|n"&amp;FH$2&amp;"+"&amp;CB110&amp;FH$1)</f>
        <v/>
      </c>
      <c r="FI110" s="43" t="str">
        <f t="shared" ref="FI110:FI117" si="1667">IF(CC110="","","|n"&amp;FI$2&amp;"+"&amp;CC110&amp;FI$1)</f>
        <v/>
      </c>
      <c r="FJ110" s="43" t="str">
        <f t="shared" ref="FJ110:FJ117" si="1668">IF(CD110="","","|n"&amp;FJ$2&amp;"+"&amp;CD110&amp;FJ$1)</f>
        <v/>
      </c>
      <c r="FK110" s="43" t="str">
        <f t="shared" ref="FK110:FK117" si="1669">IF(CE110="","","|n"&amp;FK$2&amp;"+"&amp;CE110&amp;FK$1)</f>
        <v/>
      </c>
      <c r="FL110" s="43" t="str">
        <f t="shared" ref="FL110:FL117" si="1670">IF(CF110="","","|n"&amp;FL$2&amp;"+"&amp;CF110&amp;FL$1)</f>
        <v/>
      </c>
      <c r="FM110" s="43" t="str">
        <f t="shared" ref="FM110:FM117" si="1671">IF(CG110="","","|n"&amp;FM$2&amp;"+"&amp;CG110&amp;FM$1)</f>
        <v/>
      </c>
      <c r="FN110" s="43" t="str">
        <f t="shared" ref="FN110:FN117" si="1672">IF(CH110="","","|n"&amp;FN$2&amp;"+"&amp;CH110&amp;FN$1)</f>
        <v/>
      </c>
      <c r="FO110" s="43" t="str">
        <f t="shared" ref="FO110:FO117" si="1673">IF(CI110="","","|n"&amp;FO$2&amp;"+"&amp;CI110&amp;FO$1)</f>
        <v/>
      </c>
      <c r="FP110" s="43" t="str">
        <f t="shared" ref="FP110:FP117" si="1674">IF(CJ110="","","|n"&amp;FP$2&amp;"+"&amp;CJ110&amp;FP$1)</f>
        <v/>
      </c>
      <c r="FQ110" s="43" t="str">
        <f t="shared" ref="FQ110:FQ117" si="1675">IF(CK110="","","|n"&amp;FQ$2&amp;"+"&amp;CK110&amp;FQ$1)</f>
        <v/>
      </c>
      <c r="FR110" s="43" t="str">
        <f t="shared" ref="FR110:FR117" si="1676">IF(CL110="","","|n"&amp;FR$2&amp;"+"&amp;CL110&amp;FR$1)</f>
        <v/>
      </c>
      <c r="FS110" s="43" t="str">
        <f t="shared" ref="FS110:FS117" si="1677">IF(CM110="","","|n"&amp;FS$2&amp;"+"&amp;CM110&amp;FS$1)</f>
        <v/>
      </c>
    </row>
    <row r="111" ht="57.6" spans="1:175">
      <c r="A111" s="4"/>
      <c r="B111" s="6" t="s">
        <v>425</v>
      </c>
      <c r="C111" s="77" t="s">
        <v>411</v>
      </c>
      <c r="T111" s="82" t="s">
        <v>412</v>
      </c>
      <c r="U111" s="59" t="s">
        <v>413</v>
      </c>
      <c r="CN111" s="12" t="str">
        <f t="shared" si="1169"/>
        <v>InitUnitState('INDJ',,,,,,,,,,)</v>
      </c>
      <c r="CO111" s="12" t="str">
        <f t="shared" si="1170"/>
        <v>InitUnitNormal('INDJ',,,,,,,,,,)</v>
      </c>
      <c r="CP111" s="12" t="str">
        <f t="shared" si="1171"/>
        <v>InitUnitMagic('INDJ',,,,,,,,,,)</v>
      </c>
      <c r="CQ111" s="12" t="str">
        <f t="shared" si="1172"/>
        <v>InitUnitAdd('INDJ',,,,,,,,,,)</v>
      </c>
      <c r="CR111" s="12" t="str">
        <f t="shared" si="1605"/>
        <v>InitEquipData('INDJ',,"",,,,,'','','','','','',"ReplaceableTextures\\CommandButtons\\BTNIN12.blp")</v>
      </c>
      <c r="CU111" s="71" t="str">
        <f t="shared" si="1606"/>
        <v>|n</v>
      </c>
      <c r="CV111" s="5" t="str">
        <f t="shared" si="1607"/>
        <v>开启后获得|Cffffd24d42~700木头|r或|Cffffd24d随机锦囊卡|r。|n|n|Cff00ff7f掉落时激活的星宿越多，人品越好 |r     </v>
      </c>
      <c r="CW111" s="6"/>
      <c r="CX111" s="6"/>
      <c r="CY111" s="6"/>
      <c r="CZ111" s="6"/>
      <c r="DA111" s="6"/>
      <c r="DB111" s="43" t="str">
        <f t="shared" si="1608"/>
        <v/>
      </c>
      <c r="DC111" s="43" t="str">
        <f t="shared" si="1609"/>
        <v/>
      </c>
      <c r="DD111" s="43" t="str">
        <f t="shared" si="1610"/>
        <v/>
      </c>
      <c r="DE111" s="43" t="str">
        <f t="shared" si="1611"/>
        <v/>
      </c>
      <c r="DF111" s="43" t="str">
        <f t="shared" si="1612"/>
        <v/>
      </c>
      <c r="DG111" s="43" t="str">
        <f t="shared" si="1613"/>
        <v/>
      </c>
      <c r="DH111" s="43" t="str">
        <f t="shared" si="1614"/>
        <v/>
      </c>
      <c r="DI111" s="43" t="str">
        <f t="shared" si="1615"/>
        <v/>
      </c>
      <c r="DJ111" s="43" t="str">
        <f t="shared" si="1616"/>
        <v/>
      </c>
      <c r="DK111" s="43" t="str">
        <f t="shared" si="1617"/>
        <v/>
      </c>
      <c r="DL111" s="43" t="str">
        <f t="shared" si="1618"/>
        <v/>
      </c>
      <c r="DM111" s="43" t="str">
        <f t="shared" si="1619"/>
        <v/>
      </c>
      <c r="DN111" s="43" t="str">
        <f t="shared" si="1620"/>
        <v/>
      </c>
      <c r="DO111" s="43" t="str">
        <f t="shared" si="1621"/>
        <v/>
      </c>
      <c r="DP111" s="43" t="str">
        <f t="shared" si="1622"/>
        <v/>
      </c>
      <c r="DQ111" s="43" t="str">
        <f t="shared" si="1623"/>
        <v/>
      </c>
      <c r="DR111" s="43" t="str">
        <f t="shared" si="1624"/>
        <v/>
      </c>
      <c r="DS111" s="43" t="str">
        <f t="shared" si="1625"/>
        <v/>
      </c>
      <c r="DT111" s="43" t="str">
        <f t="shared" si="1626"/>
        <v/>
      </c>
      <c r="DU111" s="43" t="str">
        <f t="shared" si="1627"/>
        <v/>
      </c>
      <c r="DV111" s="43" t="str">
        <f t="shared" si="1628"/>
        <v/>
      </c>
      <c r="DW111" s="43" t="str">
        <f t="shared" si="1629"/>
        <v/>
      </c>
      <c r="DX111" s="43" t="str">
        <f t="shared" si="1630"/>
        <v/>
      </c>
      <c r="DY111" s="43" t="str">
        <f t="shared" si="1631"/>
        <v/>
      </c>
      <c r="DZ111" s="43" t="str">
        <f t="shared" si="1632"/>
        <v/>
      </c>
      <c r="EA111" s="43" t="str">
        <f t="shared" si="1633"/>
        <v/>
      </c>
      <c r="EB111" s="43" t="str">
        <f t="shared" si="1634"/>
        <v/>
      </c>
      <c r="EC111" s="43" t="str">
        <f t="shared" si="1635"/>
        <v/>
      </c>
      <c r="ED111" s="43" t="str">
        <f t="shared" si="1636"/>
        <v/>
      </c>
      <c r="EE111" s="43" t="str">
        <f t="shared" si="1637"/>
        <v/>
      </c>
      <c r="EF111" s="43" t="str">
        <f t="shared" si="1638"/>
        <v/>
      </c>
      <c r="EG111" s="43" t="str">
        <f t="shared" si="1639"/>
        <v/>
      </c>
      <c r="EH111" s="43" t="str">
        <f t="shared" si="1640"/>
        <v/>
      </c>
      <c r="EI111" s="43" t="str">
        <f t="shared" si="1641"/>
        <v/>
      </c>
      <c r="EJ111" s="43" t="str">
        <f t="shared" si="1642"/>
        <v/>
      </c>
      <c r="EK111" s="43" t="str">
        <f t="shared" si="1643"/>
        <v/>
      </c>
      <c r="EL111" s="43" t="str">
        <f t="shared" si="1644"/>
        <v/>
      </c>
      <c r="EM111" s="43" t="str">
        <f t="shared" si="1645"/>
        <v/>
      </c>
      <c r="EN111" s="43" t="str">
        <f t="shared" si="1646"/>
        <v/>
      </c>
      <c r="EO111" s="43" t="str">
        <f t="shared" si="1647"/>
        <v/>
      </c>
      <c r="EP111" s="43" t="str">
        <f t="shared" si="1648"/>
        <v/>
      </c>
      <c r="EQ111" s="43" t="str">
        <f t="shared" si="1649"/>
        <v/>
      </c>
      <c r="ER111" s="43" t="str">
        <f t="shared" si="1650"/>
        <v/>
      </c>
      <c r="ES111" s="43" t="str">
        <f t="shared" si="1651"/>
        <v/>
      </c>
      <c r="ET111" s="43" t="str">
        <f t="shared" si="1652"/>
        <v/>
      </c>
      <c r="EU111" s="43" t="str">
        <f t="shared" si="1653"/>
        <v/>
      </c>
      <c r="EV111" s="43" t="str">
        <f t="shared" si="1654"/>
        <v/>
      </c>
      <c r="EW111" s="43" t="str">
        <f t="shared" si="1655"/>
        <v/>
      </c>
      <c r="EX111" s="43" t="str">
        <f t="shared" si="1656"/>
        <v/>
      </c>
      <c r="EY111" s="43" t="str">
        <f t="shared" si="1657"/>
        <v/>
      </c>
      <c r="EZ111" s="43" t="str">
        <f t="shared" si="1658"/>
        <v/>
      </c>
      <c r="FA111" s="43" t="str">
        <f t="shared" si="1659"/>
        <v/>
      </c>
      <c r="FB111" s="43" t="str">
        <f t="shared" si="1660"/>
        <v/>
      </c>
      <c r="FC111" s="43" t="str">
        <f t="shared" si="1661"/>
        <v/>
      </c>
      <c r="FD111" s="43" t="str">
        <f t="shared" si="1662"/>
        <v/>
      </c>
      <c r="FE111" s="43" t="str">
        <f t="shared" si="1663"/>
        <v/>
      </c>
      <c r="FF111" s="43" t="str">
        <f t="shared" si="1664"/>
        <v/>
      </c>
      <c r="FG111" s="43" t="str">
        <f t="shared" si="1665"/>
        <v/>
      </c>
      <c r="FH111" s="43" t="str">
        <f t="shared" si="1666"/>
        <v/>
      </c>
      <c r="FI111" s="43" t="str">
        <f t="shared" si="1667"/>
        <v/>
      </c>
      <c r="FJ111" s="43" t="str">
        <f t="shared" si="1668"/>
        <v/>
      </c>
      <c r="FK111" s="43" t="str">
        <f t="shared" si="1669"/>
        <v/>
      </c>
      <c r="FL111" s="43" t="str">
        <f t="shared" si="1670"/>
        <v/>
      </c>
      <c r="FM111" s="43" t="str">
        <f t="shared" si="1671"/>
        <v/>
      </c>
      <c r="FN111" s="43" t="str">
        <f t="shared" si="1672"/>
        <v/>
      </c>
      <c r="FO111" s="43" t="str">
        <f t="shared" si="1673"/>
        <v/>
      </c>
      <c r="FP111" s="43" t="str">
        <f t="shared" si="1674"/>
        <v/>
      </c>
      <c r="FQ111" s="43" t="str">
        <f t="shared" si="1675"/>
        <v/>
      </c>
      <c r="FR111" s="43" t="str">
        <f t="shared" si="1676"/>
        <v/>
      </c>
      <c r="FS111" s="43" t="str">
        <f t="shared" si="1677"/>
        <v/>
      </c>
    </row>
    <row r="112" ht="57.6" spans="1:175">
      <c r="A112" s="4"/>
      <c r="B112" s="6" t="s">
        <v>426</v>
      </c>
      <c r="C112" s="77" t="s">
        <v>411</v>
      </c>
      <c r="T112" s="82" t="s">
        <v>412</v>
      </c>
      <c r="U112" s="59" t="s">
        <v>413</v>
      </c>
      <c r="CN112" s="12" t="str">
        <f t="shared" si="1169"/>
        <v>InitUnitState('INDK',,,,,,,,,,)</v>
      </c>
      <c r="CO112" s="12" t="str">
        <f t="shared" si="1170"/>
        <v>InitUnitNormal('INDK',,,,,,,,,,)</v>
      </c>
      <c r="CP112" s="12" t="str">
        <f t="shared" si="1171"/>
        <v>InitUnitMagic('INDK',,,,,,,,,,)</v>
      </c>
      <c r="CQ112" s="12" t="str">
        <f t="shared" si="1172"/>
        <v>InitUnitAdd('INDK',,,,,,,,,,)</v>
      </c>
      <c r="CR112" s="12" t="str">
        <f t="shared" si="1605"/>
        <v>InitEquipData('INDK',,"",,,,,'','','','','','',"ReplaceableTextures\\CommandButtons\\BTNIN13.blp")</v>
      </c>
      <c r="CU112" s="71" t="str">
        <f t="shared" si="1606"/>
        <v>|n</v>
      </c>
      <c r="CV112" s="5" t="str">
        <f t="shared" si="1607"/>
        <v>开启后获得|Cffffd24d42~700木头|r或|Cffffd24d随机锦囊卡|r。|n|n|Cff00ff7f掉落时激活的星宿越多，人品越好 |r     </v>
      </c>
      <c r="CW112" s="6"/>
      <c r="CX112" s="6"/>
      <c r="CY112" s="6"/>
      <c r="CZ112" s="6"/>
      <c r="DA112" s="6"/>
      <c r="DB112" s="43" t="str">
        <f t="shared" si="1608"/>
        <v/>
      </c>
      <c r="DC112" s="43" t="str">
        <f t="shared" si="1609"/>
        <v/>
      </c>
      <c r="DD112" s="43" t="str">
        <f t="shared" si="1610"/>
        <v/>
      </c>
      <c r="DE112" s="43" t="str">
        <f t="shared" si="1611"/>
        <v/>
      </c>
      <c r="DF112" s="43" t="str">
        <f t="shared" si="1612"/>
        <v/>
      </c>
      <c r="DG112" s="43" t="str">
        <f t="shared" si="1613"/>
        <v/>
      </c>
      <c r="DH112" s="43" t="str">
        <f t="shared" si="1614"/>
        <v/>
      </c>
      <c r="DI112" s="43" t="str">
        <f t="shared" si="1615"/>
        <v/>
      </c>
      <c r="DJ112" s="43" t="str">
        <f t="shared" si="1616"/>
        <v/>
      </c>
      <c r="DK112" s="43" t="str">
        <f t="shared" si="1617"/>
        <v/>
      </c>
      <c r="DL112" s="43" t="str">
        <f t="shared" si="1618"/>
        <v/>
      </c>
      <c r="DM112" s="43" t="str">
        <f t="shared" si="1619"/>
        <v/>
      </c>
      <c r="DN112" s="43" t="str">
        <f t="shared" si="1620"/>
        <v/>
      </c>
      <c r="DO112" s="43" t="str">
        <f t="shared" si="1621"/>
        <v/>
      </c>
      <c r="DP112" s="43" t="str">
        <f t="shared" si="1622"/>
        <v/>
      </c>
      <c r="DQ112" s="43" t="str">
        <f t="shared" si="1623"/>
        <v/>
      </c>
      <c r="DR112" s="43" t="str">
        <f t="shared" si="1624"/>
        <v/>
      </c>
      <c r="DS112" s="43" t="str">
        <f t="shared" si="1625"/>
        <v/>
      </c>
      <c r="DT112" s="43" t="str">
        <f t="shared" si="1626"/>
        <v/>
      </c>
      <c r="DU112" s="43" t="str">
        <f t="shared" si="1627"/>
        <v/>
      </c>
      <c r="DV112" s="43" t="str">
        <f t="shared" si="1628"/>
        <v/>
      </c>
      <c r="DW112" s="43" t="str">
        <f t="shared" si="1629"/>
        <v/>
      </c>
      <c r="DX112" s="43" t="str">
        <f t="shared" si="1630"/>
        <v/>
      </c>
      <c r="DY112" s="43" t="str">
        <f t="shared" si="1631"/>
        <v/>
      </c>
      <c r="DZ112" s="43" t="str">
        <f t="shared" si="1632"/>
        <v/>
      </c>
      <c r="EA112" s="43" t="str">
        <f t="shared" si="1633"/>
        <v/>
      </c>
      <c r="EB112" s="43" t="str">
        <f t="shared" si="1634"/>
        <v/>
      </c>
      <c r="EC112" s="43" t="str">
        <f t="shared" si="1635"/>
        <v/>
      </c>
      <c r="ED112" s="43" t="str">
        <f t="shared" si="1636"/>
        <v/>
      </c>
      <c r="EE112" s="43" t="str">
        <f t="shared" si="1637"/>
        <v/>
      </c>
      <c r="EF112" s="43" t="str">
        <f t="shared" si="1638"/>
        <v/>
      </c>
      <c r="EG112" s="43" t="str">
        <f t="shared" si="1639"/>
        <v/>
      </c>
      <c r="EH112" s="43" t="str">
        <f t="shared" si="1640"/>
        <v/>
      </c>
      <c r="EI112" s="43" t="str">
        <f t="shared" si="1641"/>
        <v/>
      </c>
      <c r="EJ112" s="43" t="str">
        <f t="shared" si="1642"/>
        <v/>
      </c>
      <c r="EK112" s="43" t="str">
        <f t="shared" si="1643"/>
        <v/>
      </c>
      <c r="EL112" s="43" t="str">
        <f t="shared" si="1644"/>
        <v/>
      </c>
      <c r="EM112" s="43" t="str">
        <f t="shared" si="1645"/>
        <v/>
      </c>
      <c r="EN112" s="43" t="str">
        <f t="shared" si="1646"/>
        <v/>
      </c>
      <c r="EO112" s="43" t="str">
        <f t="shared" si="1647"/>
        <v/>
      </c>
      <c r="EP112" s="43" t="str">
        <f t="shared" si="1648"/>
        <v/>
      </c>
      <c r="EQ112" s="43" t="str">
        <f t="shared" si="1649"/>
        <v/>
      </c>
      <c r="ER112" s="43" t="str">
        <f t="shared" si="1650"/>
        <v/>
      </c>
      <c r="ES112" s="43" t="str">
        <f t="shared" si="1651"/>
        <v/>
      </c>
      <c r="ET112" s="43" t="str">
        <f t="shared" si="1652"/>
        <v/>
      </c>
      <c r="EU112" s="43" t="str">
        <f t="shared" si="1653"/>
        <v/>
      </c>
      <c r="EV112" s="43" t="str">
        <f t="shared" si="1654"/>
        <v/>
      </c>
      <c r="EW112" s="43" t="str">
        <f t="shared" si="1655"/>
        <v/>
      </c>
      <c r="EX112" s="43" t="str">
        <f t="shared" si="1656"/>
        <v/>
      </c>
      <c r="EY112" s="43" t="str">
        <f t="shared" si="1657"/>
        <v/>
      </c>
      <c r="EZ112" s="43" t="str">
        <f t="shared" si="1658"/>
        <v/>
      </c>
      <c r="FA112" s="43" t="str">
        <f t="shared" si="1659"/>
        <v/>
      </c>
      <c r="FB112" s="43" t="str">
        <f t="shared" si="1660"/>
        <v/>
      </c>
      <c r="FC112" s="43" t="str">
        <f t="shared" si="1661"/>
        <v/>
      </c>
      <c r="FD112" s="43" t="str">
        <f t="shared" si="1662"/>
        <v/>
      </c>
      <c r="FE112" s="43" t="str">
        <f t="shared" si="1663"/>
        <v/>
      </c>
      <c r="FF112" s="43" t="str">
        <f t="shared" si="1664"/>
        <v/>
      </c>
      <c r="FG112" s="43" t="str">
        <f t="shared" si="1665"/>
        <v/>
      </c>
      <c r="FH112" s="43" t="str">
        <f t="shared" si="1666"/>
        <v/>
      </c>
      <c r="FI112" s="43" t="str">
        <f t="shared" si="1667"/>
        <v/>
      </c>
      <c r="FJ112" s="43" t="str">
        <f t="shared" si="1668"/>
        <v/>
      </c>
      <c r="FK112" s="43" t="str">
        <f t="shared" si="1669"/>
        <v/>
      </c>
      <c r="FL112" s="43" t="str">
        <f t="shared" si="1670"/>
        <v/>
      </c>
      <c r="FM112" s="43" t="str">
        <f t="shared" si="1671"/>
        <v/>
      </c>
      <c r="FN112" s="43" t="str">
        <f t="shared" si="1672"/>
        <v/>
      </c>
      <c r="FO112" s="43" t="str">
        <f t="shared" si="1673"/>
        <v/>
      </c>
      <c r="FP112" s="43" t="str">
        <f t="shared" si="1674"/>
        <v/>
      </c>
      <c r="FQ112" s="43" t="str">
        <f t="shared" si="1675"/>
        <v/>
      </c>
      <c r="FR112" s="43" t="str">
        <f t="shared" si="1676"/>
        <v/>
      </c>
      <c r="FS112" s="43" t="str">
        <f t="shared" si="1677"/>
        <v/>
      </c>
    </row>
    <row r="113" ht="15" spans="1:175">
      <c r="A113" s="4"/>
      <c r="B113" s="6" t="s">
        <v>427</v>
      </c>
      <c r="C113" s="77" t="s">
        <v>419</v>
      </c>
      <c r="T113" s="82" t="s">
        <v>420</v>
      </c>
      <c r="U113" s="59" t="s">
        <v>421</v>
      </c>
      <c r="CN113" s="12" t="str">
        <f t="shared" si="1169"/>
        <v>InitUnitState('INDL',,,,,,,,,,)</v>
      </c>
      <c r="CO113" s="12" t="str">
        <f t="shared" si="1170"/>
        <v>InitUnitNormal('INDL',,,,,,,,,,)</v>
      </c>
      <c r="CP113" s="12" t="str">
        <f t="shared" si="1171"/>
        <v>InitUnitMagic('INDL',,,,,,,,,,)</v>
      </c>
      <c r="CQ113" s="12" t="str">
        <f t="shared" si="1172"/>
        <v>InitUnitAdd('INDL',,,,,,,,,,)</v>
      </c>
      <c r="CR113" s="12" t="str">
        <f t="shared" si="1605"/>
        <v>InitEquipData('INDL',,"",,,,,'','','','','','',"ReplaceableTextures\\CommandButtons\\BTNIN14.blp")</v>
      </c>
      <c r="CU113" s="71" t="str">
        <f t="shared" si="1606"/>
        <v>|n</v>
      </c>
      <c r="CV113" s="5" t="str">
        <f t="shared" si="1607"/>
        <v>开启后随机获得一张|Cffffd24d锦囊卡|r</v>
      </c>
      <c r="CW113" s="6"/>
      <c r="CX113" s="6"/>
      <c r="CY113" s="6"/>
      <c r="CZ113" s="6"/>
      <c r="DA113" s="6"/>
      <c r="DB113" s="43" t="str">
        <f t="shared" si="1608"/>
        <v/>
      </c>
      <c r="DC113" s="43" t="str">
        <f t="shared" si="1609"/>
        <v/>
      </c>
      <c r="DD113" s="43" t="str">
        <f t="shared" si="1610"/>
        <v/>
      </c>
      <c r="DE113" s="43" t="str">
        <f t="shared" si="1611"/>
        <v/>
      </c>
      <c r="DF113" s="43" t="str">
        <f t="shared" si="1612"/>
        <v/>
      </c>
      <c r="DG113" s="43" t="str">
        <f t="shared" si="1613"/>
        <v/>
      </c>
      <c r="DH113" s="43" t="str">
        <f t="shared" si="1614"/>
        <v/>
      </c>
      <c r="DI113" s="43" t="str">
        <f t="shared" si="1615"/>
        <v/>
      </c>
      <c r="DJ113" s="43" t="str">
        <f t="shared" si="1616"/>
        <v/>
      </c>
      <c r="DK113" s="43" t="str">
        <f t="shared" si="1617"/>
        <v/>
      </c>
      <c r="DL113" s="43" t="str">
        <f t="shared" si="1618"/>
        <v/>
      </c>
      <c r="DM113" s="43" t="str">
        <f t="shared" si="1619"/>
        <v/>
      </c>
      <c r="DN113" s="43" t="str">
        <f t="shared" si="1620"/>
        <v/>
      </c>
      <c r="DO113" s="43" t="str">
        <f t="shared" si="1621"/>
        <v/>
      </c>
      <c r="DP113" s="43" t="str">
        <f t="shared" si="1622"/>
        <v/>
      </c>
      <c r="DQ113" s="43" t="str">
        <f t="shared" si="1623"/>
        <v/>
      </c>
      <c r="DR113" s="43" t="str">
        <f t="shared" si="1624"/>
        <v/>
      </c>
      <c r="DS113" s="43" t="str">
        <f t="shared" si="1625"/>
        <v/>
      </c>
      <c r="DT113" s="43" t="str">
        <f t="shared" si="1626"/>
        <v/>
      </c>
      <c r="DU113" s="43" t="str">
        <f t="shared" si="1627"/>
        <v/>
      </c>
      <c r="DV113" s="43" t="str">
        <f t="shared" si="1628"/>
        <v/>
      </c>
      <c r="DW113" s="43" t="str">
        <f t="shared" si="1629"/>
        <v/>
      </c>
      <c r="DX113" s="43" t="str">
        <f t="shared" si="1630"/>
        <v/>
      </c>
      <c r="DY113" s="43" t="str">
        <f t="shared" si="1631"/>
        <v/>
      </c>
      <c r="DZ113" s="43" t="str">
        <f t="shared" si="1632"/>
        <v/>
      </c>
      <c r="EA113" s="43" t="str">
        <f t="shared" si="1633"/>
        <v/>
      </c>
      <c r="EB113" s="43" t="str">
        <f t="shared" si="1634"/>
        <v/>
      </c>
      <c r="EC113" s="43" t="str">
        <f t="shared" si="1635"/>
        <v/>
      </c>
      <c r="ED113" s="43" t="str">
        <f t="shared" si="1636"/>
        <v/>
      </c>
      <c r="EE113" s="43" t="str">
        <f t="shared" si="1637"/>
        <v/>
      </c>
      <c r="EF113" s="43" t="str">
        <f t="shared" si="1638"/>
        <v/>
      </c>
      <c r="EG113" s="43" t="str">
        <f t="shared" si="1639"/>
        <v/>
      </c>
      <c r="EH113" s="43" t="str">
        <f t="shared" si="1640"/>
        <v/>
      </c>
      <c r="EI113" s="43" t="str">
        <f t="shared" si="1641"/>
        <v/>
      </c>
      <c r="EJ113" s="43" t="str">
        <f t="shared" si="1642"/>
        <v/>
      </c>
      <c r="EK113" s="43" t="str">
        <f t="shared" si="1643"/>
        <v/>
      </c>
      <c r="EL113" s="43" t="str">
        <f t="shared" si="1644"/>
        <v/>
      </c>
      <c r="EM113" s="43" t="str">
        <f t="shared" si="1645"/>
        <v/>
      </c>
      <c r="EN113" s="43" t="str">
        <f t="shared" si="1646"/>
        <v/>
      </c>
      <c r="EO113" s="43" t="str">
        <f t="shared" si="1647"/>
        <v/>
      </c>
      <c r="EP113" s="43" t="str">
        <f t="shared" si="1648"/>
        <v/>
      </c>
      <c r="EQ113" s="43" t="str">
        <f t="shared" si="1649"/>
        <v/>
      </c>
      <c r="ER113" s="43" t="str">
        <f t="shared" si="1650"/>
        <v/>
      </c>
      <c r="ES113" s="43" t="str">
        <f t="shared" si="1651"/>
        <v/>
      </c>
      <c r="ET113" s="43" t="str">
        <f t="shared" si="1652"/>
        <v/>
      </c>
      <c r="EU113" s="43" t="str">
        <f t="shared" si="1653"/>
        <v/>
      </c>
      <c r="EV113" s="43" t="str">
        <f t="shared" si="1654"/>
        <v/>
      </c>
      <c r="EW113" s="43" t="str">
        <f t="shared" si="1655"/>
        <v/>
      </c>
      <c r="EX113" s="43" t="str">
        <f t="shared" si="1656"/>
        <v/>
      </c>
      <c r="EY113" s="43" t="str">
        <f t="shared" si="1657"/>
        <v/>
      </c>
      <c r="EZ113" s="43" t="str">
        <f t="shared" si="1658"/>
        <v/>
      </c>
      <c r="FA113" s="43" t="str">
        <f t="shared" si="1659"/>
        <v/>
      </c>
      <c r="FB113" s="43" t="str">
        <f t="shared" si="1660"/>
        <v/>
      </c>
      <c r="FC113" s="43" t="str">
        <f t="shared" si="1661"/>
        <v/>
      </c>
      <c r="FD113" s="43" t="str">
        <f t="shared" si="1662"/>
        <v/>
      </c>
      <c r="FE113" s="43" t="str">
        <f t="shared" si="1663"/>
        <v/>
      </c>
      <c r="FF113" s="43" t="str">
        <f t="shared" si="1664"/>
        <v/>
      </c>
      <c r="FG113" s="43" t="str">
        <f t="shared" si="1665"/>
        <v/>
      </c>
      <c r="FH113" s="43" t="str">
        <f t="shared" si="1666"/>
        <v/>
      </c>
      <c r="FI113" s="43" t="str">
        <f t="shared" si="1667"/>
        <v/>
      </c>
      <c r="FJ113" s="43" t="str">
        <f t="shared" si="1668"/>
        <v/>
      </c>
      <c r="FK113" s="43" t="str">
        <f t="shared" si="1669"/>
        <v/>
      </c>
      <c r="FL113" s="43" t="str">
        <f t="shared" si="1670"/>
        <v/>
      </c>
      <c r="FM113" s="43" t="str">
        <f t="shared" si="1671"/>
        <v/>
      </c>
      <c r="FN113" s="43" t="str">
        <f t="shared" si="1672"/>
        <v/>
      </c>
      <c r="FO113" s="43" t="str">
        <f t="shared" si="1673"/>
        <v/>
      </c>
      <c r="FP113" s="43" t="str">
        <f t="shared" si="1674"/>
        <v/>
      </c>
      <c r="FQ113" s="43" t="str">
        <f t="shared" si="1675"/>
        <v/>
      </c>
      <c r="FR113" s="43" t="str">
        <f t="shared" si="1676"/>
        <v/>
      </c>
      <c r="FS113" s="43" t="str">
        <f t="shared" si="1677"/>
        <v/>
      </c>
    </row>
    <row r="114" ht="57.6" spans="1:175">
      <c r="A114" s="4"/>
      <c r="B114" s="6" t="s">
        <v>428</v>
      </c>
      <c r="C114" s="77" t="s">
        <v>411</v>
      </c>
      <c r="T114" s="82" t="s">
        <v>412</v>
      </c>
      <c r="U114" s="59" t="s">
        <v>413</v>
      </c>
      <c r="CN114" s="12" t="str">
        <f t="shared" si="1169"/>
        <v>InitUnitState('INDM',,,,,,,,,,)</v>
      </c>
      <c r="CO114" s="12" t="str">
        <f t="shared" si="1170"/>
        <v>InitUnitNormal('INDM',,,,,,,,,,)</v>
      </c>
      <c r="CP114" s="12" t="str">
        <f t="shared" si="1171"/>
        <v>InitUnitMagic('INDM',,,,,,,,,,)</v>
      </c>
      <c r="CQ114" s="12" t="str">
        <f t="shared" si="1172"/>
        <v>InitUnitAdd('INDM',,,,,,,,,,)</v>
      </c>
      <c r="CR114" s="12" t="str">
        <f t="shared" si="1605"/>
        <v>InitEquipData('INDM',,"",,,,,'','','','','','',"ReplaceableTextures\\CommandButtons\\BTNIN15.blp")</v>
      </c>
      <c r="CU114" s="71" t="str">
        <f t="shared" si="1606"/>
        <v>|n</v>
      </c>
      <c r="CV114" s="5" t="str">
        <f t="shared" si="1607"/>
        <v>开启后获得|Cffffd24d42~700木头|r或|Cffffd24d随机锦囊卡|r。|n|n|Cff00ff7f掉落时激活的星宿越多，人品越好 |r     </v>
      </c>
      <c r="CW114" s="6"/>
      <c r="CX114" s="6"/>
      <c r="CY114" s="6"/>
      <c r="CZ114" s="6"/>
      <c r="DA114" s="6"/>
      <c r="DB114" s="43" t="str">
        <f t="shared" si="1608"/>
        <v/>
      </c>
      <c r="DC114" s="43" t="str">
        <f t="shared" si="1609"/>
        <v/>
      </c>
      <c r="DD114" s="43" t="str">
        <f t="shared" si="1610"/>
        <v/>
      </c>
      <c r="DE114" s="43" t="str">
        <f t="shared" si="1611"/>
        <v/>
      </c>
      <c r="DF114" s="43" t="str">
        <f t="shared" si="1612"/>
        <v/>
      </c>
      <c r="DG114" s="43" t="str">
        <f t="shared" si="1613"/>
        <v/>
      </c>
      <c r="DH114" s="43" t="str">
        <f t="shared" si="1614"/>
        <v/>
      </c>
      <c r="DI114" s="43" t="str">
        <f t="shared" si="1615"/>
        <v/>
      </c>
      <c r="DJ114" s="43" t="str">
        <f t="shared" si="1616"/>
        <v/>
      </c>
      <c r="DK114" s="43" t="str">
        <f t="shared" si="1617"/>
        <v/>
      </c>
      <c r="DL114" s="43" t="str">
        <f t="shared" si="1618"/>
        <v/>
      </c>
      <c r="DM114" s="43" t="str">
        <f t="shared" si="1619"/>
        <v/>
      </c>
      <c r="DN114" s="43" t="str">
        <f t="shared" si="1620"/>
        <v/>
      </c>
      <c r="DO114" s="43" t="str">
        <f t="shared" si="1621"/>
        <v/>
      </c>
      <c r="DP114" s="43" t="str">
        <f t="shared" si="1622"/>
        <v/>
      </c>
      <c r="DQ114" s="43" t="str">
        <f t="shared" si="1623"/>
        <v/>
      </c>
      <c r="DR114" s="43" t="str">
        <f t="shared" si="1624"/>
        <v/>
      </c>
      <c r="DS114" s="43" t="str">
        <f t="shared" si="1625"/>
        <v/>
      </c>
      <c r="DT114" s="43" t="str">
        <f t="shared" si="1626"/>
        <v/>
      </c>
      <c r="DU114" s="43" t="str">
        <f t="shared" si="1627"/>
        <v/>
      </c>
      <c r="DV114" s="43" t="str">
        <f t="shared" si="1628"/>
        <v/>
      </c>
      <c r="DW114" s="43" t="str">
        <f t="shared" si="1629"/>
        <v/>
      </c>
      <c r="DX114" s="43" t="str">
        <f t="shared" si="1630"/>
        <v/>
      </c>
      <c r="DY114" s="43" t="str">
        <f t="shared" si="1631"/>
        <v/>
      </c>
      <c r="DZ114" s="43" t="str">
        <f t="shared" si="1632"/>
        <v/>
      </c>
      <c r="EA114" s="43" t="str">
        <f t="shared" si="1633"/>
        <v/>
      </c>
      <c r="EB114" s="43" t="str">
        <f t="shared" si="1634"/>
        <v/>
      </c>
      <c r="EC114" s="43" t="str">
        <f t="shared" si="1635"/>
        <v/>
      </c>
      <c r="ED114" s="43" t="str">
        <f t="shared" si="1636"/>
        <v/>
      </c>
      <c r="EE114" s="43" t="str">
        <f t="shared" si="1637"/>
        <v/>
      </c>
      <c r="EF114" s="43" t="str">
        <f t="shared" si="1638"/>
        <v/>
      </c>
      <c r="EG114" s="43" t="str">
        <f t="shared" si="1639"/>
        <v/>
      </c>
      <c r="EH114" s="43" t="str">
        <f t="shared" si="1640"/>
        <v/>
      </c>
      <c r="EI114" s="43" t="str">
        <f t="shared" si="1641"/>
        <v/>
      </c>
      <c r="EJ114" s="43" t="str">
        <f t="shared" si="1642"/>
        <v/>
      </c>
      <c r="EK114" s="43" t="str">
        <f t="shared" si="1643"/>
        <v/>
      </c>
      <c r="EL114" s="43" t="str">
        <f t="shared" si="1644"/>
        <v/>
      </c>
      <c r="EM114" s="43" t="str">
        <f t="shared" si="1645"/>
        <v/>
      </c>
      <c r="EN114" s="43" t="str">
        <f t="shared" si="1646"/>
        <v/>
      </c>
      <c r="EO114" s="43" t="str">
        <f t="shared" si="1647"/>
        <v/>
      </c>
      <c r="EP114" s="43" t="str">
        <f t="shared" si="1648"/>
        <v/>
      </c>
      <c r="EQ114" s="43" t="str">
        <f t="shared" si="1649"/>
        <v/>
      </c>
      <c r="ER114" s="43" t="str">
        <f t="shared" si="1650"/>
        <v/>
      </c>
      <c r="ES114" s="43" t="str">
        <f t="shared" si="1651"/>
        <v/>
      </c>
      <c r="ET114" s="43" t="str">
        <f t="shared" si="1652"/>
        <v/>
      </c>
      <c r="EU114" s="43" t="str">
        <f t="shared" si="1653"/>
        <v/>
      </c>
      <c r="EV114" s="43" t="str">
        <f t="shared" si="1654"/>
        <v/>
      </c>
      <c r="EW114" s="43" t="str">
        <f t="shared" si="1655"/>
        <v/>
      </c>
      <c r="EX114" s="43" t="str">
        <f t="shared" si="1656"/>
        <v/>
      </c>
      <c r="EY114" s="43" t="str">
        <f t="shared" si="1657"/>
        <v/>
      </c>
      <c r="EZ114" s="43" t="str">
        <f t="shared" si="1658"/>
        <v/>
      </c>
      <c r="FA114" s="43" t="str">
        <f t="shared" si="1659"/>
        <v/>
      </c>
      <c r="FB114" s="43" t="str">
        <f t="shared" si="1660"/>
        <v/>
      </c>
      <c r="FC114" s="43" t="str">
        <f t="shared" si="1661"/>
        <v/>
      </c>
      <c r="FD114" s="43" t="str">
        <f t="shared" si="1662"/>
        <v/>
      </c>
      <c r="FE114" s="43" t="str">
        <f t="shared" si="1663"/>
        <v/>
      </c>
      <c r="FF114" s="43" t="str">
        <f t="shared" si="1664"/>
        <v/>
      </c>
      <c r="FG114" s="43" t="str">
        <f t="shared" si="1665"/>
        <v/>
      </c>
      <c r="FH114" s="43" t="str">
        <f t="shared" si="1666"/>
        <v/>
      </c>
      <c r="FI114" s="43" t="str">
        <f t="shared" si="1667"/>
        <v/>
      </c>
      <c r="FJ114" s="43" t="str">
        <f t="shared" si="1668"/>
        <v/>
      </c>
      <c r="FK114" s="43" t="str">
        <f t="shared" si="1669"/>
        <v/>
      </c>
      <c r="FL114" s="43" t="str">
        <f t="shared" si="1670"/>
        <v/>
      </c>
      <c r="FM114" s="43" t="str">
        <f t="shared" si="1671"/>
        <v/>
      </c>
      <c r="FN114" s="43" t="str">
        <f t="shared" si="1672"/>
        <v/>
      </c>
      <c r="FO114" s="43" t="str">
        <f t="shared" si="1673"/>
        <v/>
      </c>
      <c r="FP114" s="43" t="str">
        <f t="shared" si="1674"/>
        <v/>
      </c>
      <c r="FQ114" s="43" t="str">
        <f t="shared" si="1675"/>
        <v/>
      </c>
      <c r="FR114" s="43" t="str">
        <f t="shared" si="1676"/>
        <v/>
      </c>
      <c r="FS114" s="43" t="str">
        <f t="shared" si="1677"/>
        <v/>
      </c>
    </row>
    <row r="115" ht="57.6" spans="1:175">
      <c r="A115" s="4"/>
      <c r="B115" s="6" t="s">
        <v>429</v>
      </c>
      <c r="C115" s="77" t="s">
        <v>411</v>
      </c>
      <c r="T115" s="82" t="s">
        <v>412</v>
      </c>
      <c r="U115" s="59" t="s">
        <v>413</v>
      </c>
      <c r="CN115" s="12" t="str">
        <f t="shared" si="1169"/>
        <v>InitUnitState('INDN',,,,,,,,,,)</v>
      </c>
      <c r="CO115" s="12" t="str">
        <f t="shared" si="1170"/>
        <v>InitUnitNormal('INDN',,,,,,,,,,)</v>
      </c>
      <c r="CP115" s="12" t="str">
        <f t="shared" si="1171"/>
        <v>InitUnitMagic('INDN',,,,,,,,,,)</v>
      </c>
      <c r="CQ115" s="12" t="str">
        <f t="shared" si="1172"/>
        <v>InitUnitAdd('INDN',,,,,,,,,,)</v>
      </c>
      <c r="CR115" s="12" t="str">
        <f t="shared" si="1605"/>
        <v>InitEquipData('INDN',,"",,,,,'','','','','','',"ReplaceableTextures\\CommandButtons\\BTNIN16.blp")</v>
      </c>
      <c r="CU115" s="71" t="str">
        <f t="shared" si="1606"/>
        <v>|n</v>
      </c>
      <c r="CV115" s="5" t="str">
        <f t="shared" si="1607"/>
        <v>开启后获得|Cffffd24d42~700木头|r或|Cffffd24d随机锦囊卡|r。|n|n|Cff00ff7f掉落时激活的星宿越多，人品越好 |r     </v>
      </c>
      <c r="CW115" s="6"/>
      <c r="CX115" s="6"/>
      <c r="CY115" s="6"/>
      <c r="CZ115" s="6"/>
      <c r="DA115" s="6"/>
      <c r="DB115" s="43" t="str">
        <f t="shared" si="1608"/>
        <v/>
      </c>
      <c r="DC115" s="43" t="str">
        <f t="shared" si="1609"/>
        <v/>
      </c>
      <c r="DD115" s="43" t="str">
        <f t="shared" si="1610"/>
        <v/>
      </c>
      <c r="DE115" s="43" t="str">
        <f t="shared" si="1611"/>
        <v/>
      </c>
      <c r="DF115" s="43" t="str">
        <f t="shared" si="1612"/>
        <v/>
      </c>
      <c r="DG115" s="43" t="str">
        <f t="shared" si="1613"/>
        <v/>
      </c>
      <c r="DH115" s="43" t="str">
        <f t="shared" si="1614"/>
        <v/>
      </c>
      <c r="DI115" s="43" t="str">
        <f t="shared" si="1615"/>
        <v/>
      </c>
      <c r="DJ115" s="43" t="str">
        <f t="shared" si="1616"/>
        <v/>
      </c>
      <c r="DK115" s="43" t="str">
        <f t="shared" si="1617"/>
        <v/>
      </c>
      <c r="DL115" s="43" t="str">
        <f t="shared" si="1618"/>
        <v/>
      </c>
      <c r="DM115" s="43" t="str">
        <f t="shared" si="1619"/>
        <v/>
      </c>
      <c r="DN115" s="43" t="str">
        <f t="shared" si="1620"/>
        <v/>
      </c>
      <c r="DO115" s="43" t="str">
        <f t="shared" si="1621"/>
        <v/>
      </c>
      <c r="DP115" s="43" t="str">
        <f t="shared" si="1622"/>
        <v/>
      </c>
      <c r="DQ115" s="43" t="str">
        <f t="shared" si="1623"/>
        <v/>
      </c>
      <c r="DR115" s="43" t="str">
        <f t="shared" si="1624"/>
        <v/>
      </c>
      <c r="DS115" s="43" t="str">
        <f t="shared" si="1625"/>
        <v/>
      </c>
      <c r="DT115" s="43" t="str">
        <f t="shared" si="1626"/>
        <v/>
      </c>
      <c r="DU115" s="43" t="str">
        <f t="shared" si="1627"/>
        <v/>
      </c>
      <c r="DV115" s="43" t="str">
        <f t="shared" si="1628"/>
        <v/>
      </c>
      <c r="DW115" s="43" t="str">
        <f t="shared" si="1629"/>
        <v/>
      </c>
      <c r="DX115" s="43" t="str">
        <f t="shared" si="1630"/>
        <v/>
      </c>
      <c r="DY115" s="43" t="str">
        <f t="shared" si="1631"/>
        <v/>
      </c>
      <c r="DZ115" s="43" t="str">
        <f t="shared" si="1632"/>
        <v/>
      </c>
      <c r="EA115" s="43" t="str">
        <f t="shared" si="1633"/>
        <v/>
      </c>
      <c r="EB115" s="43" t="str">
        <f t="shared" si="1634"/>
        <v/>
      </c>
      <c r="EC115" s="43" t="str">
        <f t="shared" si="1635"/>
        <v/>
      </c>
      <c r="ED115" s="43" t="str">
        <f t="shared" si="1636"/>
        <v/>
      </c>
      <c r="EE115" s="43" t="str">
        <f t="shared" si="1637"/>
        <v/>
      </c>
      <c r="EF115" s="43" t="str">
        <f t="shared" si="1638"/>
        <v/>
      </c>
      <c r="EG115" s="43" t="str">
        <f t="shared" si="1639"/>
        <v/>
      </c>
      <c r="EH115" s="43" t="str">
        <f t="shared" si="1640"/>
        <v/>
      </c>
      <c r="EI115" s="43" t="str">
        <f t="shared" si="1641"/>
        <v/>
      </c>
      <c r="EJ115" s="43" t="str">
        <f t="shared" si="1642"/>
        <v/>
      </c>
      <c r="EK115" s="43" t="str">
        <f t="shared" si="1643"/>
        <v/>
      </c>
      <c r="EL115" s="43" t="str">
        <f t="shared" si="1644"/>
        <v/>
      </c>
      <c r="EM115" s="43" t="str">
        <f t="shared" si="1645"/>
        <v/>
      </c>
      <c r="EN115" s="43" t="str">
        <f t="shared" si="1646"/>
        <v/>
      </c>
      <c r="EO115" s="43" t="str">
        <f t="shared" si="1647"/>
        <v/>
      </c>
      <c r="EP115" s="43" t="str">
        <f t="shared" si="1648"/>
        <v/>
      </c>
      <c r="EQ115" s="43" t="str">
        <f t="shared" si="1649"/>
        <v/>
      </c>
      <c r="ER115" s="43" t="str">
        <f t="shared" si="1650"/>
        <v/>
      </c>
      <c r="ES115" s="43" t="str">
        <f t="shared" si="1651"/>
        <v/>
      </c>
      <c r="ET115" s="43" t="str">
        <f t="shared" si="1652"/>
        <v/>
      </c>
      <c r="EU115" s="43" t="str">
        <f t="shared" si="1653"/>
        <v/>
      </c>
      <c r="EV115" s="43" t="str">
        <f t="shared" si="1654"/>
        <v/>
      </c>
      <c r="EW115" s="43" t="str">
        <f t="shared" si="1655"/>
        <v/>
      </c>
      <c r="EX115" s="43" t="str">
        <f t="shared" si="1656"/>
        <v/>
      </c>
      <c r="EY115" s="43" t="str">
        <f t="shared" si="1657"/>
        <v/>
      </c>
      <c r="EZ115" s="43" t="str">
        <f t="shared" si="1658"/>
        <v/>
      </c>
      <c r="FA115" s="43" t="str">
        <f t="shared" si="1659"/>
        <v/>
      </c>
      <c r="FB115" s="43" t="str">
        <f t="shared" si="1660"/>
        <v/>
      </c>
      <c r="FC115" s="43" t="str">
        <f t="shared" si="1661"/>
        <v/>
      </c>
      <c r="FD115" s="43" t="str">
        <f t="shared" si="1662"/>
        <v/>
      </c>
      <c r="FE115" s="43" t="str">
        <f t="shared" si="1663"/>
        <v/>
      </c>
      <c r="FF115" s="43" t="str">
        <f t="shared" si="1664"/>
        <v/>
      </c>
      <c r="FG115" s="43" t="str">
        <f t="shared" si="1665"/>
        <v/>
      </c>
      <c r="FH115" s="43" t="str">
        <f t="shared" si="1666"/>
        <v/>
      </c>
      <c r="FI115" s="43" t="str">
        <f t="shared" si="1667"/>
        <v/>
      </c>
      <c r="FJ115" s="43" t="str">
        <f t="shared" si="1668"/>
        <v/>
      </c>
      <c r="FK115" s="43" t="str">
        <f t="shared" si="1669"/>
        <v/>
      </c>
      <c r="FL115" s="43" t="str">
        <f t="shared" si="1670"/>
        <v/>
      </c>
      <c r="FM115" s="43" t="str">
        <f t="shared" si="1671"/>
        <v/>
      </c>
      <c r="FN115" s="43" t="str">
        <f t="shared" si="1672"/>
        <v/>
      </c>
      <c r="FO115" s="43" t="str">
        <f t="shared" si="1673"/>
        <v/>
      </c>
      <c r="FP115" s="43" t="str">
        <f t="shared" si="1674"/>
        <v/>
      </c>
      <c r="FQ115" s="43" t="str">
        <f t="shared" si="1675"/>
        <v/>
      </c>
      <c r="FR115" s="43" t="str">
        <f t="shared" si="1676"/>
        <v/>
      </c>
      <c r="FS115" s="43" t="str">
        <f t="shared" si="1677"/>
        <v/>
      </c>
    </row>
    <row r="116" ht="57.6" spans="1:175">
      <c r="A116" s="4"/>
      <c r="B116" s="6" t="s">
        <v>430</v>
      </c>
      <c r="C116" s="77" t="s">
        <v>411</v>
      </c>
      <c r="T116" s="82" t="s">
        <v>412</v>
      </c>
      <c r="U116" s="59" t="s">
        <v>413</v>
      </c>
      <c r="CN116" s="12" t="str">
        <f t="shared" si="1169"/>
        <v>InitUnitState('INDO',,,,,,,,,,)</v>
      </c>
      <c r="CO116" s="12" t="str">
        <f t="shared" si="1170"/>
        <v>InitUnitNormal('INDO',,,,,,,,,,)</v>
      </c>
      <c r="CP116" s="12" t="str">
        <f t="shared" si="1171"/>
        <v>InitUnitMagic('INDO',,,,,,,,,,)</v>
      </c>
      <c r="CQ116" s="12" t="str">
        <f t="shared" si="1172"/>
        <v>InitUnitAdd('INDO',,,,,,,,,,)</v>
      </c>
      <c r="CR116" s="12" t="str">
        <f t="shared" si="1605"/>
        <v>InitEquipData('INDO',,"",,,,,'','','','','','',"ReplaceableTextures\\CommandButtons\\BTNIN17.blp")</v>
      </c>
      <c r="CU116" s="71" t="str">
        <f t="shared" si="1606"/>
        <v>|n</v>
      </c>
      <c r="CV116" s="5" t="str">
        <f t="shared" si="1607"/>
        <v>开启后获得|Cffffd24d42~700木头|r或|Cffffd24d随机锦囊卡|r。|n|n|Cff00ff7f掉落时激活的星宿越多，人品越好 |r     </v>
      </c>
      <c r="CW116" s="6"/>
      <c r="CX116" s="6"/>
      <c r="CY116" s="6"/>
      <c r="CZ116" s="6"/>
      <c r="DA116" s="6"/>
      <c r="DB116" s="43" t="str">
        <f t="shared" si="1608"/>
        <v/>
      </c>
      <c r="DC116" s="43" t="str">
        <f t="shared" si="1609"/>
        <v/>
      </c>
      <c r="DD116" s="43" t="str">
        <f t="shared" si="1610"/>
        <v/>
      </c>
      <c r="DE116" s="43" t="str">
        <f t="shared" si="1611"/>
        <v/>
      </c>
      <c r="DF116" s="43" t="str">
        <f t="shared" si="1612"/>
        <v/>
      </c>
      <c r="DG116" s="43" t="str">
        <f t="shared" si="1613"/>
        <v/>
      </c>
      <c r="DH116" s="43" t="str">
        <f t="shared" si="1614"/>
        <v/>
      </c>
      <c r="DI116" s="43" t="str">
        <f t="shared" si="1615"/>
        <v/>
      </c>
      <c r="DJ116" s="43" t="str">
        <f t="shared" si="1616"/>
        <v/>
      </c>
      <c r="DK116" s="43" t="str">
        <f t="shared" si="1617"/>
        <v/>
      </c>
      <c r="DL116" s="43" t="str">
        <f t="shared" si="1618"/>
        <v/>
      </c>
      <c r="DM116" s="43" t="str">
        <f t="shared" si="1619"/>
        <v/>
      </c>
      <c r="DN116" s="43" t="str">
        <f t="shared" si="1620"/>
        <v/>
      </c>
      <c r="DO116" s="43" t="str">
        <f t="shared" si="1621"/>
        <v/>
      </c>
      <c r="DP116" s="43" t="str">
        <f t="shared" si="1622"/>
        <v/>
      </c>
      <c r="DQ116" s="43" t="str">
        <f t="shared" si="1623"/>
        <v/>
      </c>
      <c r="DR116" s="43" t="str">
        <f t="shared" si="1624"/>
        <v/>
      </c>
      <c r="DS116" s="43" t="str">
        <f t="shared" si="1625"/>
        <v/>
      </c>
      <c r="DT116" s="43" t="str">
        <f t="shared" si="1626"/>
        <v/>
      </c>
      <c r="DU116" s="43" t="str">
        <f t="shared" si="1627"/>
        <v/>
      </c>
      <c r="DV116" s="43" t="str">
        <f t="shared" si="1628"/>
        <v/>
      </c>
      <c r="DW116" s="43" t="str">
        <f t="shared" si="1629"/>
        <v/>
      </c>
      <c r="DX116" s="43" t="str">
        <f t="shared" si="1630"/>
        <v/>
      </c>
      <c r="DY116" s="43" t="str">
        <f t="shared" si="1631"/>
        <v/>
      </c>
      <c r="DZ116" s="43" t="str">
        <f t="shared" si="1632"/>
        <v/>
      </c>
      <c r="EA116" s="43" t="str">
        <f t="shared" si="1633"/>
        <v/>
      </c>
      <c r="EB116" s="43" t="str">
        <f t="shared" si="1634"/>
        <v/>
      </c>
      <c r="EC116" s="43" t="str">
        <f t="shared" si="1635"/>
        <v/>
      </c>
      <c r="ED116" s="43" t="str">
        <f t="shared" si="1636"/>
        <v/>
      </c>
      <c r="EE116" s="43" t="str">
        <f t="shared" si="1637"/>
        <v/>
      </c>
      <c r="EF116" s="43" t="str">
        <f t="shared" si="1638"/>
        <v/>
      </c>
      <c r="EG116" s="43" t="str">
        <f t="shared" si="1639"/>
        <v/>
      </c>
      <c r="EH116" s="43" t="str">
        <f t="shared" si="1640"/>
        <v/>
      </c>
      <c r="EI116" s="43" t="str">
        <f t="shared" si="1641"/>
        <v/>
      </c>
      <c r="EJ116" s="43" t="str">
        <f t="shared" si="1642"/>
        <v/>
      </c>
      <c r="EK116" s="43" t="str">
        <f t="shared" si="1643"/>
        <v/>
      </c>
      <c r="EL116" s="43" t="str">
        <f t="shared" si="1644"/>
        <v/>
      </c>
      <c r="EM116" s="43" t="str">
        <f t="shared" si="1645"/>
        <v/>
      </c>
      <c r="EN116" s="43" t="str">
        <f t="shared" si="1646"/>
        <v/>
      </c>
      <c r="EO116" s="43" t="str">
        <f t="shared" si="1647"/>
        <v/>
      </c>
      <c r="EP116" s="43" t="str">
        <f t="shared" si="1648"/>
        <v/>
      </c>
      <c r="EQ116" s="43" t="str">
        <f t="shared" si="1649"/>
        <v/>
      </c>
      <c r="ER116" s="43" t="str">
        <f t="shared" si="1650"/>
        <v/>
      </c>
      <c r="ES116" s="43" t="str">
        <f t="shared" si="1651"/>
        <v/>
      </c>
      <c r="ET116" s="43" t="str">
        <f t="shared" si="1652"/>
        <v/>
      </c>
      <c r="EU116" s="43" t="str">
        <f t="shared" si="1653"/>
        <v/>
      </c>
      <c r="EV116" s="43" t="str">
        <f t="shared" si="1654"/>
        <v/>
      </c>
      <c r="EW116" s="43" t="str">
        <f t="shared" si="1655"/>
        <v/>
      </c>
      <c r="EX116" s="43" t="str">
        <f t="shared" si="1656"/>
        <v/>
      </c>
      <c r="EY116" s="43" t="str">
        <f t="shared" si="1657"/>
        <v/>
      </c>
      <c r="EZ116" s="43" t="str">
        <f t="shared" si="1658"/>
        <v/>
      </c>
      <c r="FA116" s="43" t="str">
        <f t="shared" si="1659"/>
        <v/>
      </c>
      <c r="FB116" s="43" t="str">
        <f t="shared" si="1660"/>
        <v/>
      </c>
      <c r="FC116" s="43" t="str">
        <f t="shared" si="1661"/>
        <v/>
      </c>
      <c r="FD116" s="43" t="str">
        <f t="shared" si="1662"/>
        <v/>
      </c>
      <c r="FE116" s="43" t="str">
        <f t="shared" si="1663"/>
        <v/>
      </c>
      <c r="FF116" s="43" t="str">
        <f t="shared" si="1664"/>
        <v/>
      </c>
      <c r="FG116" s="43" t="str">
        <f t="shared" si="1665"/>
        <v/>
      </c>
      <c r="FH116" s="43" t="str">
        <f t="shared" si="1666"/>
        <v/>
      </c>
      <c r="FI116" s="43" t="str">
        <f t="shared" si="1667"/>
        <v/>
      </c>
      <c r="FJ116" s="43" t="str">
        <f t="shared" si="1668"/>
        <v/>
      </c>
      <c r="FK116" s="43" t="str">
        <f t="shared" si="1669"/>
        <v/>
      </c>
      <c r="FL116" s="43" t="str">
        <f t="shared" si="1670"/>
        <v/>
      </c>
      <c r="FM116" s="43" t="str">
        <f t="shared" si="1671"/>
        <v/>
      </c>
      <c r="FN116" s="43" t="str">
        <f t="shared" si="1672"/>
        <v/>
      </c>
      <c r="FO116" s="43" t="str">
        <f t="shared" si="1673"/>
        <v/>
      </c>
      <c r="FP116" s="43" t="str">
        <f t="shared" si="1674"/>
        <v/>
      </c>
      <c r="FQ116" s="43" t="str">
        <f t="shared" si="1675"/>
        <v/>
      </c>
      <c r="FR116" s="43" t="str">
        <f t="shared" si="1676"/>
        <v/>
      </c>
      <c r="FS116" s="43" t="str">
        <f t="shared" si="1677"/>
        <v/>
      </c>
    </row>
    <row r="117" ht="57.6" spans="1:175">
      <c r="A117" s="4"/>
      <c r="B117" s="6" t="s">
        <v>431</v>
      </c>
      <c r="C117" s="77" t="s">
        <v>411</v>
      </c>
      <c r="T117" s="82" t="s">
        <v>412</v>
      </c>
      <c r="U117" s="59" t="s">
        <v>413</v>
      </c>
      <c r="CN117" s="12" t="str">
        <f t="shared" si="1169"/>
        <v>InitUnitState('INDP',,,,,,,,,,)</v>
      </c>
      <c r="CO117" s="12" t="str">
        <f t="shared" si="1170"/>
        <v>InitUnitNormal('INDP',,,,,,,,,,)</v>
      </c>
      <c r="CP117" s="12" t="str">
        <f t="shared" si="1171"/>
        <v>InitUnitMagic('INDP',,,,,,,,,,)</v>
      </c>
      <c r="CQ117" s="12" t="str">
        <f t="shared" si="1172"/>
        <v>InitUnitAdd('INDP',,,,,,,,,,)</v>
      </c>
      <c r="CR117" s="12" t="str">
        <f t="shared" si="1605"/>
        <v>InitEquipData('INDP',,"",,,,,'','','','','','',"ReplaceableTextures\\CommandButtons\\BTNIN18.blp")</v>
      </c>
      <c r="CU117" s="71" t="str">
        <f t="shared" si="1606"/>
        <v>|n</v>
      </c>
      <c r="CV117" s="5" t="str">
        <f t="shared" si="1607"/>
        <v>开启后获得|Cffffd24d42~700木头|r或|Cffffd24d随机锦囊卡|r。|n|n|Cff00ff7f掉落时激活的星宿越多，人品越好 |r     </v>
      </c>
      <c r="CW117" s="6"/>
      <c r="CX117" s="6"/>
      <c r="CY117" s="6"/>
      <c r="CZ117" s="6"/>
      <c r="DA117" s="6"/>
      <c r="DB117" s="43" t="str">
        <f t="shared" si="1608"/>
        <v/>
      </c>
      <c r="DC117" s="43" t="str">
        <f t="shared" si="1609"/>
        <v/>
      </c>
      <c r="DD117" s="43" t="str">
        <f t="shared" si="1610"/>
        <v/>
      </c>
      <c r="DE117" s="43" t="str">
        <f t="shared" si="1611"/>
        <v/>
      </c>
      <c r="DF117" s="43" t="str">
        <f t="shared" si="1612"/>
        <v/>
      </c>
      <c r="DG117" s="43" t="str">
        <f t="shared" si="1613"/>
        <v/>
      </c>
      <c r="DH117" s="43" t="str">
        <f t="shared" si="1614"/>
        <v/>
      </c>
      <c r="DI117" s="43" t="str">
        <f t="shared" si="1615"/>
        <v/>
      </c>
      <c r="DJ117" s="43" t="str">
        <f t="shared" si="1616"/>
        <v/>
      </c>
      <c r="DK117" s="43" t="str">
        <f t="shared" si="1617"/>
        <v/>
      </c>
      <c r="DL117" s="43" t="str">
        <f t="shared" si="1618"/>
        <v/>
      </c>
      <c r="DM117" s="43" t="str">
        <f t="shared" si="1619"/>
        <v/>
      </c>
      <c r="DN117" s="43" t="str">
        <f t="shared" si="1620"/>
        <v/>
      </c>
      <c r="DO117" s="43" t="str">
        <f t="shared" si="1621"/>
        <v/>
      </c>
      <c r="DP117" s="43" t="str">
        <f t="shared" si="1622"/>
        <v/>
      </c>
      <c r="DQ117" s="43" t="str">
        <f t="shared" si="1623"/>
        <v/>
      </c>
      <c r="DR117" s="43" t="str">
        <f t="shared" si="1624"/>
        <v/>
      </c>
      <c r="DS117" s="43" t="str">
        <f t="shared" si="1625"/>
        <v/>
      </c>
      <c r="DT117" s="43" t="str">
        <f t="shared" si="1626"/>
        <v/>
      </c>
      <c r="DU117" s="43" t="str">
        <f t="shared" si="1627"/>
        <v/>
      </c>
      <c r="DV117" s="43" t="str">
        <f t="shared" si="1628"/>
        <v/>
      </c>
      <c r="DW117" s="43" t="str">
        <f t="shared" si="1629"/>
        <v/>
      </c>
      <c r="DX117" s="43" t="str">
        <f t="shared" si="1630"/>
        <v/>
      </c>
      <c r="DY117" s="43" t="str">
        <f t="shared" si="1631"/>
        <v/>
      </c>
      <c r="DZ117" s="43" t="str">
        <f t="shared" si="1632"/>
        <v/>
      </c>
      <c r="EA117" s="43" t="str">
        <f t="shared" si="1633"/>
        <v/>
      </c>
      <c r="EB117" s="43" t="str">
        <f t="shared" si="1634"/>
        <v/>
      </c>
      <c r="EC117" s="43" t="str">
        <f t="shared" si="1635"/>
        <v/>
      </c>
      <c r="ED117" s="43" t="str">
        <f t="shared" si="1636"/>
        <v/>
      </c>
      <c r="EE117" s="43" t="str">
        <f t="shared" si="1637"/>
        <v/>
      </c>
      <c r="EF117" s="43" t="str">
        <f t="shared" si="1638"/>
        <v/>
      </c>
      <c r="EG117" s="43" t="str">
        <f t="shared" si="1639"/>
        <v/>
      </c>
      <c r="EH117" s="43" t="str">
        <f t="shared" si="1640"/>
        <v/>
      </c>
      <c r="EI117" s="43" t="str">
        <f t="shared" si="1641"/>
        <v/>
      </c>
      <c r="EJ117" s="43" t="str">
        <f t="shared" si="1642"/>
        <v/>
      </c>
      <c r="EK117" s="43" t="str">
        <f t="shared" si="1643"/>
        <v/>
      </c>
      <c r="EL117" s="43" t="str">
        <f t="shared" si="1644"/>
        <v/>
      </c>
      <c r="EM117" s="43" t="str">
        <f t="shared" si="1645"/>
        <v/>
      </c>
      <c r="EN117" s="43" t="str">
        <f t="shared" si="1646"/>
        <v/>
      </c>
      <c r="EO117" s="43" t="str">
        <f t="shared" si="1647"/>
        <v/>
      </c>
      <c r="EP117" s="43" t="str">
        <f t="shared" si="1648"/>
        <v/>
      </c>
      <c r="EQ117" s="43" t="str">
        <f t="shared" si="1649"/>
        <v/>
      </c>
      <c r="ER117" s="43" t="str">
        <f t="shared" si="1650"/>
        <v/>
      </c>
      <c r="ES117" s="43" t="str">
        <f t="shared" si="1651"/>
        <v/>
      </c>
      <c r="ET117" s="43" t="str">
        <f t="shared" si="1652"/>
        <v/>
      </c>
      <c r="EU117" s="43" t="str">
        <f t="shared" si="1653"/>
        <v/>
      </c>
      <c r="EV117" s="43" t="str">
        <f t="shared" si="1654"/>
        <v/>
      </c>
      <c r="EW117" s="43" t="str">
        <f t="shared" si="1655"/>
        <v/>
      </c>
      <c r="EX117" s="43" t="str">
        <f t="shared" si="1656"/>
        <v/>
      </c>
      <c r="EY117" s="43" t="str">
        <f t="shared" si="1657"/>
        <v/>
      </c>
      <c r="EZ117" s="43" t="str">
        <f t="shared" si="1658"/>
        <v/>
      </c>
      <c r="FA117" s="43" t="str">
        <f t="shared" si="1659"/>
        <v/>
      </c>
      <c r="FB117" s="43" t="str">
        <f t="shared" si="1660"/>
        <v/>
      </c>
      <c r="FC117" s="43" t="str">
        <f t="shared" si="1661"/>
        <v/>
      </c>
      <c r="FD117" s="43" t="str">
        <f t="shared" si="1662"/>
        <v/>
      </c>
      <c r="FE117" s="43" t="str">
        <f t="shared" si="1663"/>
        <v/>
      </c>
      <c r="FF117" s="43" t="str">
        <f t="shared" si="1664"/>
        <v/>
      </c>
      <c r="FG117" s="43" t="str">
        <f t="shared" si="1665"/>
        <v/>
      </c>
      <c r="FH117" s="43" t="str">
        <f t="shared" si="1666"/>
        <v/>
      </c>
      <c r="FI117" s="43" t="str">
        <f t="shared" si="1667"/>
        <v/>
      </c>
      <c r="FJ117" s="43" t="str">
        <f t="shared" si="1668"/>
        <v/>
      </c>
      <c r="FK117" s="43" t="str">
        <f t="shared" si="1669"/>
        <v/>
      </c>
      <c r="FL117" s="43" t="str">
        <f t="shared" si="1670"/>
        <v/>
      </c>
      <c r="FM117" s="43" t="str">
        <f t="shared" si="1671"/>
        <v/>
      </c>
      <c r="FN117" s="43" t="str">
        <f t="shared" si="1672"/>
        <v/>
      </c>
      <c r="FO117" s="43" t="str">
        <f t="shared" si="1673"/>
        <v/>
      </c>
      <c r="FP117" s="43" t="str">
        <f t="shared" si="1674"/>
        <v/>
      </c>
      <c r="FQ117" s="43" t="str">
        <f t="shared" si="1675"/>
        <v/>
      </c>
      <c r="FR117" s="43" t="str">
        <f t="shared" si="1676"/>
        <v/>
      </c>
      <c r="FS117" s="43" t="str">
        <f t="shared" si="1677"/>
        <v/>
      </c>
    </row>
    <row r="118" ht="57.6" spans="1:175">
      <c r="A118" s="4"/>
      <c r="B118" s="6" t="s">
        <v>432</v>
      </c>
      <c r="C118" s="77" t="s">
        <v>411</v>
      </c>
      <c r="T118" s="82" t="s">
        <v>412</v>
      </c>
      <c r="U118" s="59" t="s">
        <v>413</v>
      </c>
      <c r="CN118" s="12" t="str">
        <f t="shared" si="1169"/>
        <v>InitUnitState('INDQ',,,,,,,,,,)</v>
      </c>
      <c r="CO118" s="12" t="str">
        <f t="shared" si="1170"/>
        <v>InitUnitNormal('INDQ',,,,,,,,,,)</v>
      </c>
      <c r="CP118" s="12" t="str">
        <f t="shared" si="1171"/>
        <v>InitUnitMagic('INDQ',,,,,,,,,,)</v>
      </c>
      <c r="CQ118" s="12" t="str">
        <f t="shared" si="1172"/>
        <v>InitUnitAdd('INDQ',,,,,,,,,,)</v>
      </c>
      <c r="CR118" s="12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146&amp;CR$1&amp;")"</f>
        <v>InitEquipData('INDQ',,"",,,,,'','','','','','',"ReplaceableTextures\\CommandButtons\\BTNIP01.blp")</v>
      </c>
      <c r="CU118" s="71" t="str">
        <f t="shared" si="1533"/>
        <v>|n</v>
      </c>
      <c r="CV118" s="5" t="str">
        <f t="shared" si="1534"/>
        <v>开启后获得|Cffffd24d42~700木头|r或|Cffffd24d随机锦囊卡|r。|n|n|Cff00ff7f掉落时激活的星宿越多，人品越好 |r     </v>
      </c>
      <c r="CW118" s="6"/>
      <c r="CX118" s="6"/>
      <c r="CY118" s="6"/>
      <c r="CZ118" s="6"/>
      <c r="DA118" s="6"/>
      <c r="DB118" s="43" t="str">
        <f t="shared" si="1535"/>
        <v/>
      </c>
      <c r="DC118" s="43" t="str">
        <f t="shared" si="1536"/>
        <v/>
      </c>
      <c r="DD118" s="43" t="str">
        <f t="shared" si="1537"/>
        <v/>
      </c>
      <c r="DE118" s="43" t="str">
        <f t="shared" si="1538"/>
        <v/>
      </c>
      <c r="DF118" s="43" t="str">
        <f t="shared" si="1539"/>
        <v/>
      </c>
      <c r="DG118" s="43" t="str">
        <f t="shared" si="1540"/>
        <v/>
      </c>
      <c r="DH118" s="43" t="str">
        <f t="shared" si="1541"/>
        <v/>
      </c>
      <c r="DI118" s="43" t="str">
        <f t="shared" si="1542"/>
        <v/>
      </c>
      <c r="DJ118" s="43" t="str">
        <f t="shared" si="1543"/>
        <v/>
      </c>
      <c r="DK118" s="43" t="str">
        <f t="shared" si="1544"/>
        <v/>
      </c>
      <c r="DL118" s="43" t="str">
        <f t="shared" si="1545"/>
        <v/>
      </c>
      <c r="DM118" s="43" t="str">
        <f t="shared" si="1546"/>
        <v/>
      </c>
      <c r="DN118" s="43" t="str">
        <f t="shared" si="1547"/>
        <v/>
      </c>
      <c r="DO118" s="43" t="str">
        <f t="shared" si="1548"/>
        <v/>
      </c>
      <c r="DP118" s="43" t="str">
        <f t="shared" si="1549"/>
        <v/>
      </c>
      <c r="DQ118" s="43" t="str">
        <f t="shared" si="1550"/>
        <v/>
      </c>
      <c r="DR118" s="43" t="str">
        <f t="shared" si="1551"/>
        <v/>
      </c>
      <c r="DS118" s="43" t="str">
        <f t="shared" si="1552"/>
        <v/>
      </c>
      <c r="DT118" s="43" t="str">
        <f t="shared" si="1553"/>
        <v/>
      </c>
      <c r="DU118" s="43" t="str">
        <f t="shared" si="1554"/>
        <v/>
      </c>
      <c r="DV118" s="43" t="str">
        <f t="shared" si="1555"/>
        <v/>
      </c>
      <c r="DW118" s="43" t="str">
        <f t="shared" si="1556"/>
        <v/>
      </c>
      <c r="DX118" s="43" t="str">
        <f t="shared" si="1557"/>
        <v/>
      </c>
      <c r="DY118" s="43" t="str">
        <f t="shared" si="1558"/>
        <v/>
      </c>
      <c r="DZ118" s="43" t="str">
        <f t="shared" si="1559"/>
        <v/>
      </c>
      <c r="EA118" s="43" t="str">
        <f t="shared" si="1560"/>
        <v/>
      </c>
      <c r="EB118" s="43" t="str">
        <f t="shared" si="1561"/>
        <v/>
      </c>
      <c r="EC118" s="43" t="str">
        <f t="shared" si="1562"/>
        <v/>
      </c>
      <c r="ED118" s="43" t="str">
        <f t="shared" si="1563"/>
        <v/>
      </c>
      <c r="EE118" s="43" t="str">
        <f t="shared" si="1564"/>
        <v/>
      </c>
      <c r="EF118" s="43" t="str">
        <f t="shared" si="1565"/>
        <v/>
      </c>
      <c r="EG118" s="43" t="str">
        <f t="shared" si="1566"/>
        <v/>
      </c>
      <c r="EH118" s="43" t="str">
        <f t="shared" si="1567"/>
        <v/>
      </c>
      <c r="EI118" s="43" t="str">
        <f t="shared" si="1568"/>
        <v/>
      </c>
      <c r="EJ118" s="43" t="str">
        <f t="shared" si="1569"/>
        <v/>
      </c>
      <c r="EK118" s="43" t="str">
        <f t="shared" si="1570"/>
        <v/>
      </c>
      <c r="EL118" s="43" t="str">
        <f t="shared" si="1571"/>
        <v/>
      </c>
      <c r="EM118" s="43" t="str">
        <f t="shared" si="1572"/>
        <v/>
      </c>
      <c r="EN118" s="43" t="str">
        <f t="shared" si="1573"/>
        <v/>
      </c>
      <c r="EO118" s="43" t="str">
        <f t="shared" si="1574"/>
        <v/>
      </c>
      <c r="EP118" s="43" t="str">
        <f t="shared" si="1575"/>
        <v/>
      </c>
      <c r="EQ118" s="43" t="str">
        <f t="shared" si="1576"/>
        <v/>
      </c>
      <c r="ER118" s="43" t="str">
        <f t="shared" si="1577"/>
        <v/>
      </c>
      <c r="ES118" s="43" t="str">
        <f t="shared" si="1578"/>
        <v/>
      </c>
      <c r="ET118" s="43" t="str">
        <f t="shared" si="1579"/>
        <v/>
      </c>
      <c r="EU118" s="43" t="str">
        <f t="shared" si="1580"/>
        <v/>
      </c>
      <c r="EV118" s="43" t="str">
        <f t="shared" si="1581"/>
        <v/>
      </c>
      <c r="EW118" s="43" t="str">
        <f t="shared" si="1582"/>
        <v/>
      </c>
      <c r="EX118" s="43" t="str">
        <f t="shared" si="1583"/>
        <v/>
      </c>
      <c r="EY118" s="43" t="str">
        <f t="shared" si="1584"/>
        <v/>
      </c>
      <c r="EZ118" s="43" t="str">
        <f t="shared" si="1585"/>
        <v/>
      </c>
      <c r="FA118" s="43" t="str">
        <f t="shared" si="1586"/>
        <v/>
      </c>
      <c r="FB118" s="43" t="str">
        <f t="shared" si="1587"/>
        <v/>
      </c>
      <c r="FC118" s="43" t="str">
        <f t="shared" si="1588"/>
        <v/>
      </c>
      <c r="FD118" s="43" t="str">
        <f t="shared" si="1589"/>
        <v/>
      </c>
      <c r="FE118" s="43" t="str">
        <f t="shared" si="1590"/>
        <v/>
      </c>
      <c r="FF118" s="43" t="str">
        <f t="shared" si="1591"/>
        <v/>
      </c>
      <c r="FG118" s="43" t="str">
        <f t="shared" si="1592"/>
        <v/>
      </c>
      <c r="FH118" s="43" t="str">
        <f t="shared" si="1593"/>
        <v/>
      </c>
      <c r="FI118" s="43" t="str">
        <f t="shared" si="1594"/>
        <v/>
      </c>
      <c r="FJ118" s="43" t="str">
        <f t="shared" si="1595"/>
        <v/>
      </c>
      <c r="FK118" s="43" t="str">
        <f t="shared" si="1596"/>
        <v/>
      </c>
      <c r="FL118" s="43" t="str">
        <f t="shared" si="1597"/>
        <v/>
      </c>
      <c r="FM118" s="43" t="str">
        <f t="shared" si="1598"/>
        <v/>
      </c>
      <c r="FN118" s="43" t="str">
        <f t="shared" si="1599"/>
        <v/>
      </c>
      <c r="FO118" s="43" t="str">
        <f t="shared" si="1600"/>
        <v/>
      </c>
      <c r="FP118" s="43" t="str">
        <f t="shared" si="1601"/>
        <v/>
      </c>
      <c r="FQ118" s="43" t="str">
        <f t="shared" si="1602"/>
        <v/>
      </c>
      <c r="FR118" s="43" t="str">
        <f t="shared" si="1603"/>
        <v/>
      </c>
      <c r="FS118" s="43" t="str">
        <f t="shared" si="1604"/>
        <v/>
      </c>
    </row>
    <row r="119" ht="15" spans="1:175">
      <c r="A119" s="4"/>
      <c r="B119" s="6" t="s">
        <v>433</v>
      </c>
      <c r="C119" s="77" t="s">
        <v>419</v>
      </c>
      <c r="T119" s="82" t="s">
        <v>420</v>
      </c>
      <c r="U119" s="59" t="s">
        <v>421</v>
      </c>
      <c r="CN119" s="12" t="str">
        <f t="shared" ref="CN119:CN150" si="1678">"InitUnitState('"&amp;B119&amp;"',"&amp;V119&amp;","&amp;W119&amp;","&amp;X119&amp;","&amp;Y119&amp;","&amp;Z119&amp;","&amp;AA119&amp;","&amp;AB119&amp;","&amp;AC119&amp;","&amp;AD119&amp;","&amp;AE119&amp;")"</f>
        <v>InitUnitState('INDR',,,,,,,,,,)</v>
      </c>
      <c r="CO119" s="12" t="str">
        <f t="shared" ref="CO119:CO150" si="1679">"InitUnitNormal('"&amp;B119&amp;"',"&amp;AF119&amp;","&amp;AG119&amp;","&amp;AH119&amp;","&amp;AI119&amp;","&amp;AJ119&amp;","&amp;AK119&amp;","&amp;AL119&amp;","&amp;AM119&amp;","&amp;AN119&amp;","&amp;AO119&amp;")"</f>
        <v>InitUnitNormal('INDR',,,,,,,,,,)</v>
      </c>
      <c r="CP119" s="12" t="str">
        <f t="shared" ref="CP119:CP150" si="1680">"InitUnitMagic('"&amp;B119&amp;"',"&amp;AP119&amp;","&amp;AQ119&amp;","&amp;AR119&amp;","&amp;AS119&amp;","&amp;AT119&amp;","&amp;AU119&amp;","&amp;AV119&amp;","&amp;AW119&amp;","&amp;BI119&amp;","&amp;BJ119&amp;")"</f>
        <v>InitUnitMagic('INDR',,,,,,,,,,)</v>
      </c>
      <c r="CQ119" s="12" t="str">
        <f t="shared" ref="CQ119:CQ150" si="1681">"InitUnitAdd('"&amp;B119&amp;"',"&amp;BK119&amp;","&amp;BL119&amp;","&amp;BM119&amp;","&amp;BN119&amp;","&amp;BO119&amp;","&amp;BP119&amp;","&amp;BQ119&amp;","&amp;BR119&amp;","&amp;BS119&amp;","&amp;BT119&amp;")"</f>
        <v>InitUnitAdd('INDR',,,,,,,,,,)</v>
      </c>
      <c r="CR119" s="12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InitEquipData('INDR',,"",,,,,'','','','','','',"ReplaceableTextures\\CommandButtons\\BTNIP02.blp")</v>
      </c>
      <c r="CU119" s="71" t="str">
        <f t="shared" si="1533"/>
        <v>|n</v>
      </c>
      <c r="CV119" s="5" t="str">
        <f t="shared" si="1534"/>
        <v>开启后随机获得一张|Cffffd24d锦囊卡|r</v>
      </c>
      <c r="CW119" s="6"/>
      <c r="CX119" s="6"/>
      <c r="CY119" s="6"/>
      <c r="CZ119" s="6"/>
      <c r="DA119" s="6"/>
      <c r="DB119" s="43" t="str">
        <f t="shared" si="1535"/>
        <v/>
      </c>
      <c r="DC119" s="43" t="str">
        <f t="shared" si="1536"/>
        <v/>
      </c>
      <c r="DD119" s="43" t="str">
        <f t="shared" si="1537"/>
        <v/>
      </c>
      <c r="DE119" s="43" t="str">
        <f t="shared" si="1538"/>
        <v/>
      </c>
      <c r="DF119" s="43" t="str">
        <f t="shared" si="1539"/>
        <v/>
      </c>
      <c r="DG119" s="43" t="str">
        <f t="shared" si="1540"/>
        <v/>
      </c>
      <c r="DH119" s="43" t="str">
        <f t="shared" si="1541"/>
        <v/>
      </c>
      <c r="DI119" s="43" t="str">
        <f t="shared" si="1542"/>
        <v/>
      </c>
      <c r="DJ119" s="43" t="str">
        <f t="shared" si="1543"/>
        <v/>
      </c>
      <c r="DK119" s="43" t="str">
        <f t="shared" si="1544"/>
        <v/>
      </c>
      <c r="DL119" s="43" t="str">
        <f t="shared" si="1545"/>
        <v/>
      </c>
      <c r="DM119" s="43" t="str">
        <f t="shared" si="1546"/>
        <v/>
      </c>
      <c r="DN119" s="43" t="str">
        <f t="shared" si="1547"/>
        <v/>
      </c>
      <c r="DO119" s="43" t="str">
        <f t="shared" si="1548"/>
        <v/>
      </c>
      <c r="DP119" s="43" t="str">
        <f t="shared" si="1549"/>
        <v/>
      </c>
      <c r="DQ119" s="43" t="str">
        <f t="shared" si="1550"/>
        <v/>
      </c>
      <c r="DR119" s="43" t="str">
        <f t="shared" si="1551"/>
        <v/>
      </c>
      <c r="DS119" s="43" t="str">
        <f t="shared" si="1552"/>
        <v/>
      </c>
      <c r="DT119" s="43" t="str">
        <f t="shared" si="1553"/>
        <v/>
      </c>
      <c r="DU119" s="43" t="str">
        <f t="shared" si="1554"/>
        <v/>
      </c>
      <c r="DV119" s="43" t="str">
        <f t="shared" si="1555"/>
        <v/>
      </c>
      <c r="DW119" s="43" t="str">
        <f t="shared" si="1556"/>
        <v/>
      </c>
      <c r="DX119" s="43" t="str">
        <f t="shared" si="1557"/>
        <v/>
      </c>
      <c r="DY119" s="43" t="str">
        <f t="shared" si="1558"/>
        <v/>
      </c>
      <c r="DZ119" s="43" t="str">
        <f t="shared" si="1559"/>
        <v/>
      </c>
      <c r="EA119" s="43" t="str">
        <f t="shared" si="1560"/>
        <v/>
      </c>
      <c r="EB119" s="43" t="str">
        <f t="shared" si="1561"/>
        <v/>
      </c>
      <c r="EC119" s="43" t="str">
        <f t="shared" si="1562"/>
        <v/>
      </c>
      <c r="ED119" s="43" t="str">
        <f t="shared" si="1563"/>
        <v/>
      </c>
      <c r="EE119" s="43" t="str">
        <f t="shared" si="1564"/>
        <v/>
      </c>
      <c r="EF119" s="43" t="str">
        <f t="shared" si="1565"/>
        <v/>
      </c>
      <c r="EG119" s="43" t="str">
        <f t="shared" si="1566"/>
        <v/>
      </c>
      <c r="EH119" s="43" t="str">
        <f t="shared" si="1567"/>
        <v/>
      </c>
      <c r="EI119" s="43" t="str">
        <f t="shared" si="1568"/>
        <v/>
      </c>
      <c r="EJ119" s="43" t="str">
        <f t="shared" si="1569"/>
        <v/>
      </c>
      <c r="EK119" s="43" t="str">
        <f t="shared" si="1570"/>
        <v/>
      </c>
      <c r="EL119" s="43" t="str">
        <f t="shared" si="1571"/>
        <v/>
      </c>
      <c r="EM119" s="43" t="str">
        <f t="shared" si="1572"/>
        <v/>
      </c>
      <c r="EN119" s="43" t="str">
        <f t="shared" si="1573"/>
        <v/>
      </c>
      <c r="EO119" s="43" t="str">
        <f t="shared" si="1574"/>
        <v/>
      </c>
      <c r="EP119" s="43" t="str">
        <f t="shared" si="1575"/>
        <v/>
      </c>
      <c r="EQ119" s="43" t="str">
        <f t="shared" si="1576"/>
        <v/>
      </c>
      <c r="ER119" s="43" t="str">
        <f t="shared" si="1577"/>
        <v/>
      </c>
      <c r="ES119" s="43" t="str">
        <f t="shared" si="1578"/>
        <v/>
      </c>
      <c r="ET119" s="43" t="str">
        <f t="shared" si="1579"/>
        <v/>
      </c>
      <c r="EU119" s="43" t="str">
        <f t="shared" si="1580"/>
        <v/>
      </c>
      <c r="EV119" s="43" t="str">
        <f t="shared" si="1581"/>
        <v/>
      </c>
      <c r="EW119" s="43" t="str">
        <f t="shared" si="1582"/>
        <v/>
      </c>
      <c r="EX119" s="43" t="str">
        <f t="shared" si="1583"/>
        <v/>
      </c>
      <c r="EY119" s="43" t="str">
        <f t="shared" si="1584"/>
        <v/>
      </c>
      <c r="EZ119" s="43" t="str">
        <f t="shared" si="1585"/>
        <v/>
      </c>
      <c r="FA119" s="43" t="str">
        <f t="shared" si="1586"/>
        <v/>
      </c>
      <c r="FB119" s="43" t="str">
        <f t="shared" si="1587"/>
        <v/>
      </c>
      <c r="FC119" s="43" t="str">
        <f t="shared" si="1588"/>
        <v/>
      </c>
      <c r="FD119" s="43" t="str">
        <f t="shared" si="1589"/>
        <v/>
      </c>
      <c r="FE119" s="43" t="str">
        <f t="shared" si="1590"/>
        <v/>
      </c>
      <c r="FF119" s="43" t="str">
        <f t="shared" si="1591"/>
        <v/>
      </c>
      <c r="FG119" s="43" t="str">
        <f t="shared" si="1592"/>
        <v/>
      </c>
      <c r="FH119" s="43" t="str">
        <f t="shared" si="1593"/>
        <v/>
      </c>
      <c r="FI119" s="43" t="str">
        <f t="shared" si="1594"/>
        <v/>
      </c>
      <c r="FJ119" s="43" t="str">
        <f t="shared" si="1595"/>
        <v/>
      </c>
      <c r="FK119" s="43" t="str">
        <f t="shared" si="1596"/>
        <v/>
      </c>
      <c r="FL119" s="43" t="str">
        <f t="shared" si="1597"/>
        <v/>
      </c>
      <c r="FM119" s="43" t="str">
        <f t="shared" si="1598"/>
        <v/>
      </c>
      <c r="FN119" s="43" t="str">
        <f t="shared" si="1599"/>
        <v/>
      </c>
      <c r="FO119" s="43" t="str">
        <f t="shared" si="1600"/>
        <v/>
      </c>
      <c r="FP119" s="43" t="str">
        <f t="shared" si="1601"/>
        <v/>
      </c>
      <c r="FQ119" s="43" t="str">
        <f t="shared" si="1602"/>
        <v/>
      </c>
      <c r="FR119" s="43" t="str">
        <f t="shared" si="1603"/>
        <v/>
      </c>
      <c r="FS119" s="43" t="str">
        <f t="shared" si="1604"/>
        <v/>
      </c>
    </row>
    <row r="120" ht="57.6" spans="1:175">
      <c r="A120" s="4"/>
      <c r="B120" s="6" t="s">
        <v>434</v>
      </c>
      <c r="C120" s="77" t="s">
        <v>411</v>
      </c>
      <c r="T120" s="82" t="s">
        <v>412</v>
      </c>
      <c r="U120" s="59" t="s">
        <v>413</v>
      </c>
      <c r="CN120" s="12" t="str">
        <f t="shared" si="1678"/>
        <v>InitUnitState('INDS',,,,,,,,,,)</v>
      </c>
      <c r="CO120" s="12" t="str">
        <f t="shared" si="1679"/>
        <v>InitUnitNormal('INDS',,,,,,,,,,)</v>
      </c>
      <c r="CP120" s="12" t="str">
        <f t="shared" si="1680"/>
        <v>InitUnitMagic('INDS',,,,,,,,,,)</v>
      </c>
      <c r="CQ120" s="12" t="str">
        <f t="shared" si="1681"/>
        <v>InitUnitAdd('INDS',,,,,,,,,,)</v>
      </c>
      <c r="CR120" s="12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InitEquipData('INDS',,"",,,,,'','','','','','',"ReplaceableTextures\\CommandButtons\\BTNIP03.blp")</v>
      </c>
      <c r="CU120" s="71" t="str">
        <f t="shared" ref="CU120:CU121" si="168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5" t="str">
        <f t="shared" ref="CV120:CV121" si="1683">T120</f>
        <v>开启后获得|Cffffd24d42~700木头|r或|Cffffd24d随机锦囊卡|r。|n|n|Cff00ff7f掉落时激活的星宿越多，人品越好 |r     </v>
      </c>
      <c r="CW120" s="6"/>
      <c r="CX120" s="6"/>
      <c r="CY120" s="6"/>
      <c r="CZ120" s="6"/>
      <c r="DA120" s="6"/>
      <c r="DB120" s="43" t="str">
        <f t="shared" ref="DB120:DB121" si="1684">IF(V120="","","|n"&amp;DB$2&amp;"+"&amp;V120&amp;DB$1)</f>
        <v/>
      </c>
      <c r="DC120" s="43" t="str">
        <f t="shared" ref="DC120:DC121" si="1685">IF(W120="","","|n"&amp;DC$2&amp;"+"&amp;W120&amp;DC$1)</f>
        <v/>
      </c>
      <c r="DD120" s="43" t="str">
        <f t="shared" ref="DD120:DD121" si="1686">IF(X120="","","|n"&amp;DD$2&amp;"+"&amp;X120&amp;DD$1)</f>
        <v/>
      </c>
      <c r="DE120" s="43" t="str">
        <f t="shared" ref="DE120:DE121" si="1687">IF(Y120="","","|n"&amp;DE$2&amp;"+"&amp;Y120&amp;DE$1)</f>
        <v/>
      </c>
      <c r="DF120" s="43" t="str">
        <f t="shared" ref="DF120:DF121" si="1688">IF(Z120="","","|n"&amp;DF$2&amp;"+"&amp;Z120&amp;DF$1)</f>
        <v/>
      </c>
      <c r="DG120" s="43" t="str">
        <f t="shared" ref="DG120:DG121" si="1689">IF(AA120="","","|n"&amp;DG$2&amp;"+"&amp;AA120&amp;DG$1)</f>
        <v/>
      </c>
      <c r="DH120" s="43" t="str">
        <f t="shared" ref="DH120:DH121" si="1690">IF(AB120="","","|n"&amp;DH$2&amp;"+"&amp;AB120&amp;DH$1)</f>
        <v/>
      </c>
      <c r="DI120" s="43" t="str">
        <f t="shared" ref="DI120:DI121" si="1691">IF(AC120="","","|n"&amp;DI$2&amp;"+"&amp;AC120&amp;DI$1)</f>
        <v/>
      </c>
      <c r="DJ120" s="43" t="str">
        <f t="shared" ref="DJ120:DJ121" si="1692">IF(AD120="","","|n"&amp;DJ$2&amp;"+"&amp;AD120&amp;DJ$1)</f>
        <v/>
      </c>
      <c r="DK120" s="43" t="str">
        <f t="shared" ref="DK120:DK121" si="1693">IF(AE120="","","|n"&amp;DK$2&amp;"+"&amp;AE120&amp;DK$1)</f>
        <v/>
      </c>
      <c r="DL120" s="43" t="str">
        <f t="shared" ref="DL120:DL121" si="1694">IF(AF120="","","|n"&amp;DL$2&amp;"+"&amp;AF120&amp;DL$1)</f>
        <v/>
      </c>
      <c r="DM120" s="43" t="str">
        <f t="shared" ref="DM120:DM121" si="1695">IF(AG120="","","|n"&amp;DM$2&amp;"+"&amp;AG120&amp;DM$1)</f>
        <v/>
      </c>
      <c r="DN120" s="43" t="str">
        <f t="shared" ref="DN120:DN121" si="1696">IF(AH120="","","|n"&amp;DN$2&amp;"+"&amp;AH120&amp;DN$1)</f>
        <v/>
      </c>
      <c r="DO120" s="43" t="str">
        <f t="shared" ref="DO120:DO121" si="1697">IF(AI120="","","|n"&amp;DO$2&amp;"+"&amp;AI120&amp;DO$1)</f>
        <v/>
      </c>
      <c r="DP120" s="43" t="str">
        <f t="shared" ref="DP120:DP121" si="1698">IF(AJ120="","","|n"&amp;DP$2&amp;"+"&amp;AJ120&amp;DP$1)</f>
        <v/>
      </c>
      <c r="DQ120" s="43" t="str">
        <f t="shared" ref="DQ120:DQ121" si="1699">IF(AK120="","","|n"&amp;DQ$2&amp;"+"&amp;AK120&amp;DQ$1)</f>
        <v/>
      </c>
      <c r="DR120" s="43" t="str">
        <f t="shared" ref="DR120:DR121" si="1700">IF(AL120="","","|n"&amp;DR$2&amp;"+"&amp;AL120&amp;DR$1)</f>
        <v/>
      </c>
      <c r="DS120" s="43" t="str">
        <f t="shared" ref="DS120:DS121" si="1701">IF(AM120="","","|n"&amp;DS$2&amp;"+"&amp;AM120&amp;DS$1)</f>
        <v/>
      </c>
      <c r="DT120" s="43" t="str">
        <f t="shared" ref="DT120:DT121" si="1702">IF(AN120="","","|n"&amp;DT$2&amp;"+"&amp;AN120&amp;DT$1)</f>
        <v/>
      </c>
      <c r="DU120" s="43" t="str">
        <f t="shared" ref="DU120:DU121" si="1703">IF(AO120="","","|n"&amp;DU$2&amp;"+"&amp;AO120&amp;DU$1)</f>
        <v/>
      </c>
      <c r="DV120" s="43" t="str">
        <f t="shared" ref="DV120:DV121" si="1704">IF(AP120="","","|n"&amp;DV$2&amp;"+"&amp;AP120&amp;DV$1)</f>
        <v/>
      </c>
      <c r="DW120" s="43" t="str">
        <f t="shared" ref="DW120:DW121" si="1705">IF(AQ120="","","|n"&amp;DW$2&amp;"+"&amp;AQ120&amp;DW$1)</f>
        <v/>
      </c>
      <c r="DX120" s="43" t="str">
        <f t="shared" ref="DX120:DX121" si="1706">IF(AR120="","","|n"&amp;DX$2&amp;"+"&amp;AR120&amp;DX$1)</f>
        <v/>
      </c>
      <c r="DY120" s="43" t="str">
        <f t="shared" ref="DY120:DY121" si="1707">IF(AS120="","","|n"&amp;DY$2&amp;"+"&amp;AS120&amp;DY$1)</f>
        <v/>
      </c>
      <c r="DZ120" s="43" t="str">
        <f t="shared" ref="DZ120:DZ121" si="1708">IF(AT120="","","|n"&amp;DZ$2&amp;"+"&amp;AT120&amp;DZ$1)</f>
        <v/>
      </c>
      <c r="EA120" s="43" t="str">
        <f t="shared" ref="EA120:EA121" si="1709">IF(AU120="","","|n"&amp;EA$2&amp;"+"&amp;AU120&amp;EA$1)</f>
        <v/>
      </c>
      <c r="EB120" s="43" t="str">
        <f t="shared" ref="EB120:EB121" si="1710">IF(AV120="","","|n"&amp;EB$2&amp;"+"&amp;AV120&amp;EB$1)</f>
        <v/>
      </c>
      <c r="EC120" s="43" t="str">
        <f t="shared" ref="EC120:EC121" si="1711">IF(AW120="","","|n"&amp;EC$2&amp;"+"&amp;AW120&amp;EC$1)</f>
        <v/>
      </c>
      <c r="ED120" s="43" t="str">
        <f t="shared" ref="ED120:ED121" si="1712">IF(AX120="","","|n"&amp;ED$2&amp;"+"&amp;AX120&amp;ED$1)</f>
        <v/>
      </c>
      <c r="EE120" s="43" t="str">
        <f t="shared" ref="EE120:EE121" si="1713">IF(AY120="","","|n"&amp;EE$2&amp;"+"&amp;AY120&amp;EE$1)</f>
        <v/>
      </c>
      <c r="EF120" s="43" t="str">
        <f t="shared" ref="EF120:EF121" si="1714">IF(AZ120="","","|n"&amp;EF$2&amp;"+"&amp;AZ120&amp;EF$1)</f>
        <v/>
      </c>
      <c r="EG120" s="43" t="str">
        <f t="shared" ref="EG120:EG121" si="1715">IF(BA120="","","|n"&amp;EG$2&amp;"+"&amp;BA120&amp;EG$1)</f>
        <v/>
      </c>
      <c r="EH120" s="43" t="str">
        <f t="shared" ref="EH120:EH121" si="1716">IF(BB120="","","|n"&amp;EH$2&amp;"+"&amp;BB120&amp;EH$1)</f>
        <v/>
      </c>
      <c r="EI120" s="43" t="str">
        <f t="shared" ref="EI120:EI121" si="1717">IF(BC120="","","|n"&amp;EI$2&amp;"+"&amp;BC120&amp;EI$1)</f>
        <v/>
      </c>
      <c r="EJ120" s="43" t="str">
        <f t="shared" ref="EJ120:EJ121" si="1718">IF(BD120="","","|n"&amp;EJ$2&amp;"+"&amp;BD120&amp;EJ$1)</f>
        <v/>
      </c>
      <c r="EK120" s="43" t="str">
        <f t="shared" ref="EK120:EK121" si="1719">IF(BE120="","","|n"&amp;EK$2&amp;"+"&amp;BE120&amp;EK$1)</f>
        <v/>
      </c>
      <c r="EL120" s="43" t="str">
        <f t="shared" ref="EL120:EL121" si="1720">IF(BF120="","","|n"&amp;EL$2&amp;"+"&amp;BF120&amp;EL$1)</f>
        <v/>
      </c>
      <c r="EM120" s="43" t="str">
        <f t="shared" ref="EM120:EM121" si="1721">IF(BG120="","","|n"&amp;EM$2&amp;"+"&amp;BG120&amp;EM$1)</f>
        <v/>
      </c>
      <c r="EN120" s="43" t="str">
        <f t="shared" ref="EN120:EN121" si="1722">IF(BH120="","","|n"&amp;EN$2&amp;"+"&amp;BH120&amp;EN$1)</f>
        <v/>
      </c>
      <c r="EO120" s="43" t="str">
        <f t="shared" ref="EO120:EO121" si="1723">IF(BI120="","","|n"&amp;EO$2&amp;"+"&amp;BI120&amp;EO$1)</f>
        <v/>
      </c>
      <c r="EP120" s="43" t="str">
        <f t="shared" ref="EP120:EP121" si="1724">IF(BJ120="","","|n"&amp;EP$2&amp;"+"&amp;BJ120&amp;EP$1)</f>
        <v/>
      </c>
      <c r="EQ120" s="43" t="str">
        <f t="shared" ref="EQ120:EQ121" si="1725">IF(BK120="","","|n"&amp;EQ$2&amp;"+"&amp;BK120&amp;EQ$1)</f>
        <v/>
      </c>
      <c r="ER120" s="43" t="str">
        <f t="shared" ref="ER120:ER121" si="1726">IF(BL120="","","|n"&amp;ER$2&amp;"+"&amp;BL120&amp;ER$1)</f>
        <v/>
      </c>
      <c r="ES120" s="43" t="str">
        <f t="shared" ref="ES120:ES121" si="1727">IF(BM120="","","|n"&amp;ES$2&amp;"+"&amp;BM120&amp;ES$1)</f>
        <v/>
      </c>
      <c r="ET120" s="43" t="str">
        <f t="shared" ref="ET120:ET121" si="1728">IF(BN120="","","|n"&amp;ET$2&amp;"+"&amp;BN120&amp;ET$1)</f>
        <v/>
      </c>
      <c r="EU120" s="43" t="str">
        <f t="shared" ref="EU120:EU121" si="1729">IF(BO120="","","|n"&amp;EU$2&amp;"+"&amp;BO120&amp;EU$1)</f>
        <v/>
      </c>
      <c r="EV120" s="43" t="str">
        <f t="shared" ref="EV120:EV121" si="1730">IF(BP120="","","|n"&amp;EV$2&amp;"+"&amp;BP120&amp;EV$1)</f>
        <v/>
      </c>
      <c r="EW120" s="43" t="str">
        <f t="shared" ref="EW120:EW121" si="1731">IF(BQ120="","","|n"&amp;EW$2&amp;"+"&amp;BQ120&amp;EW$1)</f>
        <v/>
      </c>
      <c r="EX120" s="43" t="str">
        <f t="shared" ref="EX120:EX121" si="1732">IF(BR120="","","|n"&amp;EX$2&amp;"+"&amp;BR120&amp;EX$1)</f>
        <v/>
      </c>
      <c r="EY120" s="43" t="str">
        <f t="shared" ref="EY120:EY121" si="1733">IF(BS120="","","|n"&amp;EY$2&amp;"+"&amp;BS120&amp;EY$1)</f>
        <v/>
      </c>
      <c r="EZ120" s="43" t="str">
        <f t="shared" ref="EZ120:EZ121" si="1734">IF(BT120="","","|n"&amp;EZ$2&amp;"+"&amp;BT120&amp;EZ$1)</f>
        <v/>
      </c>
      <c r="FA120" s="43" t="str">
        <f t="shared" ref="FA120:FA121" si="1735">IF(BU120="","","|n"&amp;FA$2&amp;"+"&amp;BU120&amp;FA$1)</f>
        <v/>
      </c>
      <c r="FB120" s="43" t="str">
        <f t="shared" ref="FB120:FB121" si="1736">IF(BV120="","","|n"&amp;FB$2&amp;"+"&amp;BV120&amp;FB$1)</f>
        <v/>
      </c>
      <c r="FC120" s="43" t="str">
        <f t="shared" ref="FC120:FC121" si="1737">IF(BW120="","","|n"&amp;FC$2&amp;"+"&amp;BW120&amp;FC$1)</f>
        <v/>
      </c>
      <c r="FD120" s="43" t="str">
        <f t="shared" ref="FD120:FD121" si="1738">IF(BX120="","","|n"&amp;FD$2&amp;"+"&amp;BX120&amp;FD$1)</f>
        <v/>
      </c>
      <c r="FE120" s="43" t="str">
        <f t="shared" ref="FE120:FE121" si="1739">IF(BY120="","","|n"&amp;FE$2&amp;"+"&amp;BY120&amp;FE$1)</f>
        <v/>
      </c>
      <c r="FF120" s="43" t="str">
        <f t="shared" ref="FF120:FF121" si="1740">IF(BZ120="","","|n"&amp;FF$2&amp;"+"&amp;BZ120&amp;FF$1)</f>
        <v/>
      </c>
      <c r="FG120" s="43" t="str">
        <f t="shared" ref="FG120:FG121" si="1741">IF(CA120="","","|n"&amp;FG$2&amp;"+"&amp;CA120&amp;FG$1)</f>
        <v/>
      </c>
      <c r="FH120" s="43" t="str">
        <f t="shared" ref="FH120:FH121" si="1742">IF(CB120="","","|n"&amp;FH$2&amp;"+"&amp;CB120&amp;FH$1)</f>
        <v/>
      </c>
      <c r="FI120" s="43" t="str">
        <f t="shared" ref="FI120:FI121" si="1743">IF(CC120="","","|n"&amp;FI$2&amp;"+"&amp;CC120&amp;FI$1)</f>
        <v/>
      </c>
      <c r="FJ120" s="43" t="str">
        <f t="shared" ref="FJ120:FJ121" si="1744">IF(CD120="","","|n"&amp;FJ$2&amp;"+"&amp;CD120&amp;FJ$1)</f>
        <v/>
      </c>
      <c r="FK120" s="43" t="str">
        <f t="shared" ref="FK120:FK121" si="1745">IF(CE120="","","|n"&amp;FK$2&amp;"+"&amp;CE120&amp;FK$1)</f>
        <v/>
      </c>
      <c r="FL120" s="43" t="str">
        <f t="shared" ref="FL120:FL121" si="1746">IF(CF120="","","|n"&amp;FL$2&amp;"+"&amp;CF120&amp;FL$1)</f>
        <v/>
      </c>
      <c r="FM120" s="43" t="str">
        <f t="shared" ref="FM120:FM121" si="1747">IF(CG120="","","|n"&amp;FM$2&amp;"+"&amp;CG120&amp;FM$1)</f>
        <v/>
      </c>
      <c r="FN120" s="43" t="str">
        <f t="shared" ref="FN120:FN121" si="1748">IF(CH120="","","|n"&amp;FN$2&amp;"+"&amp;CH120&amp;FN$1)</f>
        <v/>
      </c>
      <c r="FO120" s="43" t="str">
        <f t="shared" ref="FO120:FO121" si="1749">IF(CI120="","","|n"&amp;FO$2&amp;"+"&amp;CI120&amp;FO$1)</f>
        <v/>
      </c>
      <c r="FP120" s="43" t="str">
        <f t="shared" ref="FP120:FP121" si="1750">IF(CJ120="","","|n"&amp;FP$2&amp;"+"&amp;CJ120&amp;FP$1)</f>
        <v/>
      </c>
      <c r="FQ120" s="43" t="str">
        <f t="shared" ref="FQ120:FQ121" si="1751">IF(CK120="","","|n"&amp;FQ$2&amp;"+"&amp;CK120&amp;FQ$1)</f>
        <v/>
      </c>
      <c r="FR120" s="43" t="str">
        <f t="shared" ref="FR120:FR121" si="1752">IF(CL120="","","|n"&amp;FR$2&amp;"+"&amp;CL120&amp;FR$1)</f>
        <v/>
      </c>
      <c r="FS120" s="43" t="str">
        <f t="shared" ref="FS120:FS121" si="1753">IF(CM120="","","|n"&amp;FS$2&amp;"+"&amp;CM120&amp;FS$1)</f>
        <v/>
      </c>
    </row>
    <row r="121" ht="57.6" spans="1:175">
      <c r="A121" s="4"/>
      <c r="B121" s="6" t="s">
        <v>435</v>
      </c>
      <c r="C121" s="77" t="s">
        <v>411</v>
      </c>
      <c r="T121" s="82" t="s">
        <v>412</v>
      </c>
      <c r="U121" s="59" t="s">
        <v>413</v>
      </c>
      <c r="CN121" s="12" t="str">
        <f t="shared" si="1678"/>
        <v>InitUnitState('INDT',,,,,,,,,,)</v>
      </c>
      <c r="CO121" s="12" t="str">
        <f t="shared" si="1679"/>
        <v>InitUnitNormal('INDT',,,,,,,,,,)</v>
      </c>
      <c r="CP121" s="12" t="str">
        <f t="shared" si="1680"/>
        <v>InitUnitMagic('INDT',,,,,,,,,,)</v>
      </c>
      <c r="CQ121" s="12" t="str">
        <f t="shared" si="1681"/>
        <v>InitUnitAdd('INDT',,,,,,,,,,)</v>
      </c>
      <c r="CR121" s="12" t="str">
        <f t="shared" ref="CR121:CR126" si="1754"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151&amp;CR$1&amp;")"</f>
        <v>InitEquipData('INDT',,"",,,,,'','','','','','',"ReplaceableTextures\\CommandButtons\\BTNIT01.blp")</v>
      </c>
      <c r="CU121" s="71" t="str">
        <f t="shared" si="1682"/>
        <v>|n</v>
      </c>
      <c r="CV121" s="5" t="str">
        <f t="shared" si="1683"/>
        <v>开启后获得|Cffffd24d42~700木头|r或|Cffffd24d随机锦囊卡|r。|n|n|Cff00ff7f掉落时激活的星宿越多，人品越好 |r     </v>
      </c>
      <c r="CW121" s="6"/>
      <c r="CX121" s="6"/>
      <c r="CY121" s="6"/>
      <c r="CZ121" s="6"/>
      <c r="DA121" s="6"/>
      <c r="DB121" s="43" t="str">
        <f t="shared" si="1684"/>
        <v/>
      </c>
      <c r="DC121" s="43" t="str">
        <f t="shared" si="1685"/>
        <v/>
      </c>
      <c r="DD121" s="43" t="str">
        <f t="shared" si="1686"/>
        <v/>
      </c>
      <c r="DE121" s="43" t="str">
        <f t="shared" si="1687"/>
        <v/>
      </c>
      <c r="DF121" s="43" t="str">
        <f t="shared" si="1688"/>
        <v/>
      </c>
      <c r="DG121" s="43" t="str">
        <f t="shared" si="1689"/>
        <v/>
      </c>
      <c r="DH121" s="43" t="str">
        <f t="shared" si="1690"/>
        <v/>
      </c>
      <c r="DI121" s="43" t="str">
        <f t="shared" si="1691"/>
        <v/>
      </c>
      <c r="DJ121" s="43" t="str">
        <f t="shared" si="1692"/>
        <v/>
      </c>
      <c r="DK121" s="43" t="str">
        <f t="shared" si="1693"/>
        <v/>
      </c>
      <c r="DL121" s="43" t="str">
        <f t="shared" si="1694"/>
        <v/>
      </c>
      <c r="DM121" s="43" t="str">
        <f t="shared" si="1695"/>
        <v/>
      </c>
      <c r="DN121" s="43" t="str">
        <f t="shared" si="1696"/>
        <v/>
      </c>
      <c r="DO121" s="43" t="str">
        <f t="shared" si="1697"/>
        <v/>
      </c>
      <c r="DP121" s="43" t="str">
        <f t="shared" si="1698"/>
        <v/>
      </c>
      <c r="DQ121" s="43" t="str">
        <f t="shared" si="1699"/>
        <v/>
      </c>
      <c r="DR121" s="43" t="str">
        <f t="shared" si="1700"/>
        <v/>
      </c>
      <c r="DS121" s="43" t="str">
        <f t="shared" si="1701"/>
        <v/>
      </c>
      <c r="DT121" s="43" t="str">
        <f t="shared" si="1702"/>
        <v/>
      </c>
      <c r="DU121" s="43" t="str">
        <f t="shared" si="1703"/>
        <v/>
      </c>
      <c r="DV121" s="43" t="str">
        <f t="shared" si="1704"/>
        <v/>
      </c>
      <c r="DW121" s="43" t="str">
        <f t="shared" si="1705"/>
        <v/>
      </c>
      <c r="DX121" s="43" t="str">
        <f t="shared" si="1706"/>
        <v/>
      </c>
      <c r="DY121" s="43" t="str">
        <f t="shared" si="1707"/>
        <v/>
      </c>
      <c r="DZ121" s="43" t="str">
        <f t="shared" si="1708"/>
        <v/>
      </c>
      <c r="EA121" s="43" t="str">
        <f t="shared" si="1709"/>
        <v/>
      </c>
      <c r="EB121" s="43" t="str">
        <f t="shared" si="1710"/>
        <v/>
      </c>
      <c r="EC121" s="43" t="str">
        <f t="shared" si="1711"/>
        <v/>
      </c>
      <c r="ED121" s="43" t="str">
        <f t="shared" si="1712"/>
        <v/>
      </c>
      <c r="EE121" s="43" t="str">
        <f t="shared" si="1713"/>
        <v/>
      </c>
      <c r="EF121" s="43" t="str">
        <f t="shared" si="1714"/>
        <v/>
      </c>
      <c r="EG121" s="43" t="str">
        <f t="shared" si="1715"/>
        <v/>
      </c>
      <c r="EH121" s="43" t="str">
        <f t="shared" si="1716"/>
        <v/>
      </c>
      <c r="EI121" s="43" t="str">
        <f t="shared" si="1717"/>
        <v/>
      </c>
      <c r="EJ121" s="43" t="str">
        <f t="shared" si="1718"/>
        <v/>
      </c>
      <c r="EK121" s="43" t="str">
        <f t="shared" si="1719"/>
        <v/>
      </c>
      <c r="EL121" s="43" t="str">
        <f t="shared" si="1720"/>
        <v/>
      </c>
      <c r="EM121" s="43" t="str">
        <f t="shared" si="1721"/>
        <v/>
      </c>
      <c r="EN121" s="43" t="str">
        <f t="shared" si="1722"/>
        <v/>
      </c>
      <c r="EO121" s="43" t="str">
        <f t="shared" si="1723"/>
        <v/>
      </c>
      <c r="EP121" s="43" t="str">
        <f t="shared" si="1724"/>
        <v/>
      </c>
      <c r="EQ121" s="43" t="str">
        <f t="shared" si="1725"/>
        <v/>
      </c>
      <c r="ER121" s="43" t="str">
        <f t="shared" si="1726"/>
        <v/>
      </c>
      <c r="ES121" s="43" t="str">
        <f t="shared" si="1727"/>
        <v/>
      </c>
      <c r="ET121" s="43" t="str">
        <f t="shared" si="1728"/>
        <v/>
      </c>
      <c r="EU121" s="43" t="str">
        <f t="shared" si="1729"/>
        <v/>
      </c>
      <c r="EV121" s="43" t="str">
        <f t="shared" si="1730"/>
        <v/>
      </c>
      <c r="EW121" s="43" t="str">
        <f t="shared" si="1731"/>
        <v/>
      </c>
      <c r="EX121" s="43" t="str">
        <f t="shared" si="1732"/>
        <v/>
      </c>
      <c r="EY121" s="43" t="str">
        <f t="shared" si="1733"/>
        <v/>
      </c>
      <c r="EZ121" s="43" t="str">
        <f t="shared" si="1734"/>
        <v/>
      </c>
      <c r="FA121" s="43" t="str">
        <f t="shared" si="1735"/>
        <v/>
      </c>
      <c r="FB121" s="43" t="str">
        <f t="shared" si="1736"/>
        <v/>
      </c>
      <c r="FC121" s="43" t="str">
        <f t="shared" si="1737"/>
        <v/>
      </c>
      <c r="FD121" s="43" t="str">
        <f t="shared" si="1738"/>
        <v/>
      </c>
      <c r="FE121" s="43" t="str">
        <f t="shared" si="1739"/>
        <v/>
      </c>
      <c r="FF121" s="43" t="str">
        <f t="shared" si="1740"/>
        <v/>
      </c>
      <c r="FG121" s="43" t="str">
        <f t="shared" si="1741"/>
        <v/>
      </c>
      <c r="FH121" s="43" t="str">
        <f t="shared" si="1742"/>
        <v/>
      </c>
      <c r="FI121" s="43" t="str">
        <f t="shared" si="1743"/>
        <v/>
      </c>
      <c r="FJ121" s="43" t="str">
        <f t="shared" si="1744"/>
        <v/>
      </c>
      <c r="FK121" s="43" t="str">
        <f t="shared" si="1745"/>
        <v/>
      </c>
      <c r="FL121" s="43" t="str">
        <f t="shared" si="1746"/>
        <v/>
      </c>
      <c r="FM121" s="43" t="str">
        <f t="shared" si="1747"/>
        <v/>
      </c>
      <c r="FN121" s="43" t="str">
        <f t="shared" si="1748"/>
        <v/>
      </c>
      <c r="FO121" s="43" t="str">
        <f t="shared" si="1749"/>
        <v/>
      </c>
      <c r="FP121" s="43" t="str">
        <f t="shared" si="1750"/>
        <v/>
      </c>
      <c r="FQ121" s="43" t="str">
        <f t="shared" si="1751"/>
        <v/>
      </c>
      <c r="FR121" s="43" t="str">
        <f t="shared" si="1752"/>
        <v/>
      </c>
      <c r="FS121" s="43" t="str">
        <f t="shared" si="1753"/>
        <v/>
      </c>
    </row>
    <row r="122" ht="57.6" spans="1:175">
      <c r="A122" s="4"/>
      <c r="B122" s="6" t="s">
        <v>436</v>
      </c>
      <c r="C122" s="77" t="s">
        <v>411</v>
      </c>
      <c r="T122" s="82" t="s">
        <v>412</v>
      </c>
      <c r="U122" s="59" t="s">
        <v>413</v>
      </c>
      <c r="CN122" s="12" t="str">
        <f t="shared" si="1678"/>
        <v>InitUnitState('INDU',,,,,,,,,,)</v>
      </c>
      <c r="CO122" s="12" t="str">
        <f t="shared" si="1679"/>
        <v>InitUnitNormal('INDU',,,,,,,,,,)</v>
      </c>
      <c r="CP122" s="12" t="str">
        <f t="shared" si="1680"/>
        <v>InitUnitMagic('INDU',,,,,,,,,,)</v>
      </c>
      <c r="CQ122" s="12" t="str">
        <f t="shared" si="1681"/>
        <v>InitUnitAdd('INDU',,,,,,,,,,)</v>
      </c>
      <c r="CR122" s="12" t="str">
        <f t="shared" si="1754"/>
        <v>InitEquipData('INDU',,"",,,,,'','','','','','',"ReplaceableTextures\\CommandButtons\\BTNIT02.blp")</v>
      </c>
      <c r="CU122" s="71" t="str">
        <f t="shared" ref="CU122:CU123" si="1755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5" t="str">
        <f t="shared" ref="CV122:CV123" si="1756">T122</f>
        <v>开启后获得|Cffffd24d42~700木头|r或|Cffffd24d随机锦囊卡|r。|n|n|Cff00ff7f掉落时激活的星宿越多，人品越好 |r     </v>
      </c>
      <c r="CW122" s="6"/>
      <c r="CX122" s="6"/>
      <c r="CY122" s="6"/>
      <c r="CZ122" s="6"/>
      <c r="DA122" s="6"/>
      <c r="DB122" s="43" t="str">
        <f t="shared" ref="DB122:DB123" si="1757">IF(V122="","","|n"&amp;DB$2&amp;"+"&amp;V122&amp;DB$1)</f>
        <v/>
      </c>
      <c r="DC122" s="43" t="str">
        <f t="shared" ref="DC122:DC123" si="1758">IF(W122="","","|n"&amp;DC$2&amp;"+"&amp;W122&amp;DC$1)</f>
        <v/>
      </c>
      <c r="DD122" s="43" t="str">
        <f t="shared" ref="DD122:DD123" si="1759">IF(X122="","","|n"&amp;DD$2&amp;"+"&amp;X122&amp;DD$1)</f>
        <v/>
      </c>
      <c r="DE122" s="43" t="str">
        <f t="shared" ref="DE122:DE123" si="1760">IF(Y122="","","|n"&amp;DE$2&amp;"+"&amp;Y122&amp;DE$1)</f>
        <v/>
      </c>
      <c r="DF122" s="43" t="str">
        <f t="shared" ref="DF122:DF123" si="1761">IF(Z122="","","|n"&amp;DF$2&amp;"+"&amp;Z122&amp;DF$1)</f>
        <v/>
      </c>
      <c r="DG122" s="43" t="str">
        <f t="shared" ref="DG122:DG123" si="1762">IF(AA122="","","|n"&amp;DG$2&amp;"+"&amp;AA122&amp;DG$1)</f>
        <v/>
      </c>
      <c r="DH122" s="43" t="str">
        <f t="shared" ref="DH122:DH123" si="1763">IF(AB122="","","|n"&amp;DH$2&amp;"+"&amp;AB122&amp;DH$1)</f>
        <v/>
      </c>
      <c r="DI122" s="43" t="str">
        <f t="shared" ref="DI122:DI123" si="1764">IF(AC122="","","|n"&amp;DI$2&amp;"+"&amp;AC122&amp;DI$1)</f>
        <v/>
      </c>
      <c r="DJ122" s="43" t="str">
        <f t="shared" ref="DJ122:DJ123" si="1765">IF(AD122="","","|n"&amp;DJ$2&amp;"+"&amp;AD122&amp;DJ$1)</f>
        <v/>
      </c>
      <c r="DK122" s="43" t="str">
        <f t="shared" ref="DK122:DK123" si="1766">IF(AE122="","","|n"&amp;DK$2&amp;"+"&amp;AE122&amp;DK$1)</f>
        <v/>
      </c>
      <c r="DL122" s="43" t="str">
        <f t="shared" ref="DL122:DL123" si="1767">IF(AF122="","","|n"&amp;DL$2&amp;"+"&amp;AF122&amp;DL$1)</f>
        <v/>
      </c>
      <c r="DM122" s="43" t="str">
        <f t="shared" ref="DM122:DM123" si="1768">IF(AG122="","","|n"&amp;DM$2&amp;"+"&amp;AG122&amp;DM$1)</f>
        <v/>
      </c>
      <c r="DN122" s="43" t="str">
        <f t="shared" ref="DN122:DN123" si="1769">IF(AH122="","","|n"&amp;DN$2&amp;"+"&amp;AH122&amp;DN$1)</f>
        <v/>
      </c>
      <c r="DO122" s="43" t="str">
        <f t="shared" ref="DO122:DO123" si="1770">IF(AI122="","","|n"&amp;DO$2&amp;"+"&amp;AI122&amp;DO$1)</f>
        <v/>
      </c>
      <c r="DP122" s="43" t="str">
        <f t="shared" ref="DP122:DP123" si="1771">IF(AJ122="","","|n"&amp;DP$2&amp;"+"&amp;AJ122&amp;DP$1)</f>
        <v/>
      </c>
      <c r="DQ122" s="43" t="str">
        <f t="shared" ref="DQ122:DQ123" si="1772">IF(AK122="","","|n"&amp;DQ$2&amp;"+"&amp;AK122&amp;DQ$1)</f>
        <v/>
      </c>
      <c r="DR122" s="43" t="str">
        <f t="shared" ref="DR122:DR123" si="1773">IF(AL122="","","|n"&amp;DR$2&amp;"+"&amp;AL122&amp;DR$1)</f>
        <v/>
      </c>
      <c r="DS122" s="43" t="str">
        <f t="shared" ref="DS122:DS123" si="1774">IF(AM122="","","|n"&amp;DS$2&amp;"+"&amp;AM122&amp;DS$1)</f>
        <v/>
      </c>
      <c r="DT122" s="43" t="str">
        <f t="shared" ref="DT122:DT123" si="1775">IF(AN122="","","|n"&amp;DT$2&amp;"+"&amp;AN122&amp;DT$1)</f>
        <v/>
      </c>
      <c r="DU122" s="43" t="str">
        <f t="shared" ref="DU122:DU123" si="1776">IF(AO122="","","|n"&amp;DU$2&amp;"+"&amp;AO122&amp;DU$1)</f>
        <v/>
      </c>
      <c r="DV122" s="43" t="str">
        <f t="shared" ref="DV122:DV123" si="1777">IF(AP122="","","|n"&amp;DV$2&amp;"+"&amp;AP122&amp;DV$1)</f>
        <v/>
      </c>
      <c r="DW122" s="43" t="str">
        <f t="shared" ref="DW122:DW123" si="1778">IF(AQ122="","","|n"&amp;DW$2&amp;"+"&amp;AQ122&amp;DW$1)</f>
        <v/>
      </c>
      <c r="DX122" s="43" t="str">
        <f t="shared" ref="DX122:DX123" si="1779">IF(AR122="","","|n"&amp;DX$2&amp;"+"&amp;AR122&amp;DX$1)</f>
        <v/>
      </c>
      <c r="DY122" s="43" t="str">
        <f t="shared" ref="DY122:DY123" si="1780">IF(AS122="","","|n"&amp;DY$2&amp;"+"&amp;AS122&amp;DY$1)</f>
        <v/>
      </c>
      <c r="DZ122" s="43" t="str">
        <f t="shared" ref="DZ122:DZ123" si="1781">IF(AT122="","","|n"&amp;DZ$2&amp;"+"&amp;AT122&amp;DZ$1)</f>
        <v/>
      </c>
      <c r="EA122" s="43" t="str">
        <f t="shared" ref="EA122:EA123" si="1782">IF(AU122="","","|n"&amp;EA$2&amp;"+"&amp;AU122&amp;EA$1)</f>
        <v/>
      </c>
      <c r="EB122" s="43" t="str">
        <f t="shared" ref="EB122:EB123" si="1783">IF(AV122="","","|n"&amp;EB$2&amp;"+"&amp;AV122&amp;EB$1)</f>
        <v/>
      </c>
      <c r="EC122" s="43" t="str">
        <f t="shared" ref="EC122:EC123" si="1784">IF(AW122="","","|n"&amp;EC$2&amp;"+"&amp;AW122&amp;EC$1)</f>
        <v/>
      </c>
      <c r="ED122" s="43" t="str">
        <f t="shared" ref="ED122:ED123" si="1785">IF(AX122="","","|n"&amp;ED$2&amp;"+"&amp;AX122&amp;ED$1)</f>
        <v/>
      </c>
      <c r="EE122" s="43" t="str">
        <f t="shared" ref="EE122:EE123" si="1786">IF(AY122="","","|n"&amp;EE$2&amp;"+"&amp;AY122&amp;EE$1)</f>
        <v/>
      </c>
      <c r="EF122" s="43" t="str">
        <f t="shared" ref="EF122:EF123" si="1787">IF(AZ122="","","|n"&amp;EF$2&amp;"+"&amp;AZ122&amp;EF$1)</f>
        <v/>
      </c>
      <c r="EG122" s="43" t="str">
        <f t="shared" ref="EG122:EG123" si="1788">IF(BA122="","","|n"&amp;EG$2&amp;"+"&amp;BA122&amp;EG$1)</f>
        <v/>
      </c>
      <c r="EH122" s="43" t="str">
        <f t="shared" ref="EH122:EH123" si="1789">IF(BB122="","","|n"&amp;EH$2&amp;"+"&amp;BB122&amp;EH$1)</f>
        <v/>
      </c>
      <c r="EI122" s="43" t="str">
        <f t="shared" ref="EI122:EI123" si="1790">IF(BC122="","","|n"&amp;EI$2&amp;"+"&amp;BC122&amp;EI$1)</f>
        <v/>
      </c>
      <c r="EJ122" s="43" t="str">
        <f t="shared" ref="EJ122:EJ123" si="1791">IF(BD122="","","|n"&amp;EJ$2&amp;"+"&amp;BD122&amp;EJ$1)</f>
        <v/>
      </c>
      <c r="EK122" s="43" t="str">
        <f t="shared" ref="EK122:EK123" si="1792">IF(BE122="","","|n"&amp;EK$2&amp;"+"&amp;BE122&amp;EK$1)</f>
        <v/>
      </c>
      <c r="EL122" s="43" t="str">
        <f t="shared" ref="EL122:EL123" si="1793">IF(BF122="","","|n"&amp;EL$2&amp;"+"&amp;BF122&amp;EL$1)</f>
        <v/>
      </c>
      <c r="EM122" s="43" t="str">
        <f t="shared" ref="EM122:EM123" si="1794">IF(BG122="","","|n"&amp;EM$2&amp;"+"&amp;BG122&amp;EM$1)</f>
        <v/>
      </c>
      <c r="EN122" s="43" t="str">
        <f t="shared" ref="EN122:EN123" si="1795">IF(BH122="","","|n"&amp;EN$2&amp;"+"&amp;BH122&amp;EN$1)</f>
        <v/>
      </c>
      <c r="EO122" s="43" t="str">
        <f t="shared" ref="EO122:EO123" si="1796">IF(BI122="","","|n"&amp;EO$2&amp;"+"&amp;BI122&amp;EO$1)</f>
        <v/>
      </c>
      <c r="EP122" s="43" t="str">
        <f t="shared" ref="EP122:EP123" si="1797">IF(BJ122="","","|n"&amp;EP$2&amp;"+"&amp;BJ122&amp;EP$1)</f>
        <v/>
      </c>
      <c r="EQ122" s="43" t="str">
        <f t="shared" ref="EQ122:EQ123" si="1798">IF(BK122="","","|n"&amp;EQ$2&amp;"+"&amp;BK122&amp;EQ$1)</f>
        <v/>
      </c>
      <c r="ER122" s="43" t="str">
        <f t="shared" ref="ER122:ER123" si="1799">IF(BL122="","","|n"&amp;ER$2&amp;"+"&amp;BL122&amp;ER$1)</f>
        <v/>
      </c>
      <c r="ES122" s="43" t="str">
        <f t="shared" ref="ES122:ES123" si="1800">IF(BM122="","","|n"&amp;ES$2&amp;"+"&amp;BM122&amp;ES$1)</f>
        <v/>
      </c>
      <c r="ET122" s="43" t="str">
        <f t="shared" ref="ET122:ET123" si="1801">IF(BN122="","","|n"&amp;ET$2&amp;"+"&amp;BN122&amp;ET$1)</f>
        <v/>
      </c>
      <c r="EU122" s="43" t="str">
        <f t="shared" ref="EU122:EU123" si="1802">IF(BO122="","","|n"&amp;EU$2&amp;"+"&amp;BO122&amp;EU$1)</f>
        <v/>
      </c>
      <c r="EV122" s="43" t="str">
        <f t="shared" ref="EV122:EV123" si="1803">IF(BP122="","","|n"&amp;EV$2&amp;"+"&amp;BP122&amp;EV$1)</f>
        <v/>
      </c>
      <c r="EW122" s="43" t="str">
        <f t="shared" ref="EW122:EW123" si="1804">IF(BQ122="","","|n"&amp;EW$2&amp;"+"&amp;BQ122&amp;EW$1)</f>
        <v/>
      </c>
      <c r="EX122" s="43" t="str">
        <f t="shared" ref="EX122:EX123" si="1805">IF(BR122="","","|n"&amp;EX$2&amp;"+"&amp;BR122&amp;EX$1)</f>
        <v/>
      </c>
      <c r="EY122" s="43" t="str">
        <f t="shared" ref="EY122:EY123" si="1806">IF(BS122="","","|n"&amp;EY$2&amp;"+"&amp;BS122&amp;EY$1)</f>
        <v/>
      </c>
      <c r="EZ122" s="43" t="str">
        <f t="shared" ref="EZ122:EZ123" si="1807">IF(BT122="","","|n"&amp;EZ$2&amp;"+"&amp;BT122&amp;EZ$1)</f>
        <v/>
      </c>
      <c r="FA122" s="43" t="str">
        <f t="shared" ref="FA122:FA123" si="1808">IF(BU122="","","|n"&amp;FA$2&amp;"+"&amp;BU122&amp;FA$1)</f>
        <v/>
      </c>
      <c r="FB122" s="43" t="str">
        <f t="shared" ref="FB122:FB123" si="1809">IF(BV122="","","|n"&amp;FB$2&amp;"+"&amp;BV122&amp;FB$1)</f>
        <v/>
      </c>
      <c r="FC122" s="43" t="str">
        <f t="shared" ref="FC122:FC123" si="1810">IF(BW122="","","|n"&amp;FC$2&amp;"+"&amp;BW122&amp;FC$1)</f>
        <v/>
      </c>
      <c r="FD122" s="43" t="str">
        <f t="shared" ref="FD122:FD123" si="1811">IF(BX122="","","|n"&amp;FD$2&amp;"+"&amp;BX122&amp;FD$1)</f>
        <v/>
      </c>
      <c r="FE122" s="43" t="str">
        <f t="shared" ref="FE122:FE123" si="1812">IF(BY122="","","|n"&amp;FE$2&amp;"+"&amp;BY122&amp;FE$1)</f>
        <v/>
      </c>
      <c r="FF122" s="43" t="str">
        <f t="shared" ref="FF122:FF123" si="1813">IF(BZ122="","","|n"&amp;FF$2&amp;"+"&amp;BZ122&amp;FF$1)</f>
        <v/>
      </c>
      <c r="FG122" s="43" t="str">
        <f t="shared" ref="FG122:FG123" si="1814">IF(CA122="","","|n"&amp;FG$2&amp;"+"&amp;CA122&amp;FG$1)</f>
        <v/>
      </c>
      <c r="FH122" s="43" t="str">
        <f t="shared" ref="FH122:FH123" si="1815">IF(CB122="","","|n"&amp;FH$2&amp;"+"&amp;CB122&amp;FH$1)</f>
        <v/>
      </c>
      <c r="FI122" s="43" t="str">
        <f t="shared" ref="FI122:FI123" si="1816">IF(CC122="","","|n"&amp;FI$2&amp;"+"&amp;CC122&amp;FI$1)</f>
        <v/>
      </c>
      <c r="FJ122" s="43" t="str">
        <f t="shared" ref="FJ122:FJ123" si="1817">IF(CD122="","","|n"&amp;FJ$2&amp;"+"&amp;CD122&amp;FJ$1)</f>
        <v/>
      </c>
      <c r="FK122" s="43" t="str">
        <f t="shared" ref="FK122:FK123" si="1818">IF(CE122="","","|n"&amp;FK$2&amp;"+"&amp;CE122&amp;FK$1)</f>
        <v/>
      </c>
      <c r="FL122" s="43" t="str">
        <f t="shared" ref="FL122:FL123" si="1819">IF(CF122="","","|n"&amp;FL$2&amp;"+"&amp;CF122&amp;FL$1)</f>
        <v/>
      </c>
      <c r="FM122" s="43" t="str">
        <f t="shared" ref="FM122:FM123" si="1820">IF(CG122="","","|n"&amp;FM$2&amp;"+"&amp;CG122&amp;FM$1)</f>
        <v/>
      </c>
      <c r="FN122" s="43" t="str">
        <f t="shared" ref="FN122:FN123" si="1821">IF(CH122="","","|n"&amp;FN$2&amp;"+"&amp;CH122&amp;FN$1)</f>
        <v/>
      </c>
      <c r="FO122" s="43" t="str">
        <f t="shared" ref="FO122:FO123" si="1822">IF(CI122="","","|n"&amp;FO$2&amp;"+"&amp;CI122&amp;FO$1)</f>
        <v/>
      </c>
      <c r="FP122" s="43" t="str">
        <f t="shared" ref="FP122:FP123" si="1823">IF(CJ122="","","|n"&amp;FP$2&amp;"+"&amp;CJ122&amp;FP$1)</f>
        <v/>
      </c>
      <c r="FQ122" s="43" t="str">
        <f t="shared" ref="FQ122:FQ123" si="1824">IF(CK122="","","|n"&amp;FQ$2&amp;"+"&amp;CK122&amp;FQ$1)</f>
        <v/>
      </c>
      <c r="FR122" s="43" t="str">
        <f t="shared" ref="FR122:FR123" si="1825">IF(CL122="","","|n"&amp;FR$2&amp;"+"&amp;CL122&amp;FR$1)</f>
        <v/>
      </c>
      <c r="FS122" s="43" t="str">
        <f t="shared" ref="FS122:FS123" si="1826">IF(CM122="","","|n"&amp;FS$2&amp;"+"&amp;CM122&amp;FS$1)</f>
        <v/>
      </c>
    </row>
    <row r="123" ht="57.6" spans="1:175">
      <c r="A123" s="4"/>
      <c r="B123" s="6" t="s">
        <v>437</v>
      </c>
      <c r="C123" s="77" t="s">
        <v>411</v>
      </c>
      <c r="T123" s="82" t="s">
        <v>412</v>
      </c>
      <c r="U123" s="59" t="s">
        <v>413</v>
      </c>
      <c r="CN123" s="12" t="str">
        <f t="shared" si="1678"/>
        <v>InitUnitState('INDV',,,,,,,,,,)</v>
      </c>
      <c r="CO123" s="12" t="str">
        <f t="shared" si="1679"/>
        <v>InitUnitNormal('INDV',,,,,,,,,,)</v>
      </c>
      <c r="CP123" s="12" t="str">
        <f t="shared" si="1680"/>
        <v>InitUnitMagic('INDV',,,,,,,,,,)</v>
      </c>
      <c r="CQ123" s="12" t="str">
        <f t="shared" si="1681"/>
        <v>InitUnitAdd('INDV',,,,,,,,,,)</v>
      </c>
      <c r="CR123" s="12" t="str">
        <f t="shared" si="1754"/>
        <v>InitEquipData('INDV',,"",,,,,'','','','','','',"ReplaceableTextures\\CommandButtons\\BTNIT03.blp")</v>
      </c>
      <c r="CU123" s="71" t="str">
        <f t="shared" si="1755"/>
        <v>|n</v>
      </c>
      <c r="CV123" s="5" t="str">
        <f t="shared" si="1756"/>
        <v>开启后获得|Cffffd24d42~700木头|r或|Cffffd24d随机锦囊卡|r。|n|n|Cff00ff7f掉落时激活的星宿越多，人品越好 |r     </v>
      </c>
      <c r="CW123" s="6"/>
      <c r="CX123" s="6"/>
      <c r="CY123" s="6"/>
      <c r="CZ123" s="6"/>
      <c r="DA123" s="6"/>
      <c r="DB123" s="43" t="str">
        <f t="shared" si="1757"/>
        <v/>
      </c>
      <c r="DC123" s="43" t="str">
        <f t="shared" si="1758"/>
        <v/>
      </c>
      <c r="DD123" s="43" t="str">
        <f t="shared" si="1759"/>
        <v/>
      </c>
      <c r="DE123" s="43" t="str">
        <f t="shared" si="1760"/>
        <v/>
      </c>
      <c r="DF123" s="43" t="str">
        <f t="shared" si="1761"/>
        <v/>
      </c>
      <c r="DG123" s="43" t="str">
        <f t="shared" si="1762"/>
        <v/>
      </c>
      <c r="DH123" s="43" t="str">
        <f t="shared" si="1763"/>
        <v/>
      </c>
      <c r="DI123" s="43" t="str">
        <f t="shared" si="1764"/>
        <v/>
      </c>
      <c r="DJ123" s="43" t="str">
        <f t="shared" si="1765"/>
        <v/>
      </c>
      <c r="DK123" s="43" t="str">
        <f t="shared" si="1766"/>
        <v/>
      </c>
      <c r="DL123" s="43" t="str">
        <f t="shared" si="1767"/>
        <v/>
      </c>
      <c r="DM123" s="43" t="str">
        <f t="shared" si="1768"/>
        <v/>
      </c>
      <c r="DN123" s="43" t="str">
        <f t="shared" si="1769"/>
        <v/>
      </c>
      <c r="DO123" s="43" t="str">
        <f t="shared" si="1770"/>
        <v/>
      </c>
      <c r="DP123" s="43" t="str">
        <f t="shared" si="1771"/>
        <v/>
      </c>
      <c r="DQ123" s="43" t="str">
        <f t="shared" si="1772"/>
        <v/>
      </c>
      <c r="DR123" s="43" t="str">
        <f t="shared" si="1773"/>
        <v/>
      </c>
      <c r="DS123" s="43" t="str">
        <f t="shared" si="1774"/>
        <v/>
      </c>
      <c r="DT123" s="43" t="str">
        <f t="shared" si="1775"/>
        <v/>
      </c>
      <c r="DU123" s="43" t="str">
        <f t="shared" si="1776"/>
        <v/>
      </c>
      <c r="DV123" s="43" t="str">
        <f t="shared" si="1777"/>
        <v/>
      </c>
      <c r="DW123" s="43" t="str">
        <f t="shared" si="1778"/>
        <v/>
      </c>
      <c r="DX123" s="43" t="str">
        <f t="shared" si="1779"/>
        <v/>
      </c>
      <c r="DY123" s="43" t="str">
        <f t="shared" si="1780"/>
        <v/>
      </c>
      <c r="DZ123" s="43" t="str">
        <f t="shared" si="1781"/>
        <v/>
      </c>
      <c r="EA123" s="43" t="str">
        <f t="shared" si="1782"/>
        <v/>
      </c>
      <c r="EB123" s="43" t="str">
        <f t="shared" si="1783"/>
        <v/>
      </c>
      <c r="EC123" s="43" t="str">
        <f t="shared" si="1784"/>
        <v/>
      </c>
      <c r="ED123" s="43" t="str">
        <f t="shared" si="1785"/>
        <v/>
      </c>
      <c r="EE123" s="43" t="str">
        <f t="shared" si="1786"/>
        <v/>
      </c>
      <c r="EF123" s="43" t="str">
        <f t="shared" si="1787"/>
        <v/>
      </c>
      <c r="EG123" s="43" t="str">
        <f t="shared" si="1788"/>
        <v/>
      </c>
      <c r="EH123" s="43" t="str">
        <f t="shared" si="1789"/>
        <v/>
      </c>
      <c r="EI123" s="43" t="str">
        <f t="shared" si="1790"/>
        <v/>
      </c>
      <c r="EJ123" s="43" t="str">
        <f t="shared" si="1791"/>
        <v/>
      </c>
      <c r="EK123" s="43" t="str">
        <f t="shared" si="1792"/>
        <v/>
      </c>
      <c r="EL123" s="43" t="str">
        <f t="shared" si="1793"/>
        <v/>
      </c>
      <c r="EM123" s="43" t="str">
        <f t="shared" si="1794"/>
        <v/>
      </c>
      <c r="EN123" s="43" t="str">
        <f t="shared" si="1795"/>
        <v/>
      </c>
      <c r="EO123" s="43" t="str">
        <f t="shared" si="1796"/>
        <v/>
      </c>
      <c r="EP123" s="43" t="str">
        <f t="shared" si="1797"/>
        <v/>
      </c>
      <c r="EQ123" s="43" t="str">
        <f t="shared" si="1798"/>
        <v/>
      </c>
      <c r="ER123" s="43" t="str">
        <f t="shared" si="1799"/>
        <v/>
      </c>
      <c r="ES123" s="43" t="str">
        <f t="shared" si="1800"/>
        <v/>
      </c>
      <c r="ET123" s="43" t="str">
        <f t="shared" si="1801"/>
        <v/>
      </c>
      <c r="EU123" s="43" t="str">
        <f t="shared" si="1802"/>
        <v/>
      </c>
      <c r="EV123" s="43" t="str">
        <f t="shared" si="1803"/>
        <v/>
      </c>
      <c r="EW123" s="43" t="str">
        <f t="shared" si="1804"/>
        <v/>
      </c>
      <c r="EX123" s="43" t="str">
        <f t="shared" si="1805"/>
        <v/>
      </c>
      <c r="EY123" s="43" t="str">
        <f t="shared" si="1806"/>
        <v/>
      </c>
      <c r="EZ123" s="43" t="str">
        <f t="shared" si="1807"/>
        <v/>
      </c>
      <c r="FA123" s="43" t="str">
        <f t="shared" si="1808"/>
        <v/>
      </c>
      <c r="FB123" s="43" t="str">
        <f t="shared" si="1809"/>
        <v/>
      </c>
      <c r="FC123" s="43" t="str">
        <f t="shared" si="1810"/>
        <v/>
      </c>
      <c r="FD123" s="43" t="str">
        <f t="shared" si="1811"/>
        <v/>
      </c>
      <c r="FE123" s="43" t="str">
        <f t="shared" si="1812"/>
        <v/>
      </c>
      <c r="FF123" s="43" t="str">
        <f t="shared" si="1813"/>
        <v/>
      </c>
      <c r="FG123" s="43" t="str">
        <f t="shared" si="1814"/>
        <v/>
      </c>
      <c r="FH123" s="43" t="str">
        <f t="shared" si="1815"/>
        <v/>
      </c>
      <c r="FI123" s="43" t="str">
        <f t="shared" si="1816"/>
        <v/>
      </c>
      <c r="FJ123" s="43" t="str">
        <f t="shared" si="1817"/>
        <v/>
      </c>
      <c r="FK123" s="43" t="str">
        <f t="shared" si="1818"/>
        <v/>
      </c>
      <c r="FL123" s="43" t="str">
        <f t="shared" si="1819"/>
        <v/>
      </c>
      <c r="FM123" s="43" t="str">
        <f t="shared" si="1820"/>
        <v/>
      </c>
      <c r="FN123" s="43" t="str">
        <f t="shared" si="1821"/>
        <v/>
      </c>
      <c r="FO123" s="43" t="str">
        <f t="shared" si="1822"/>
        <v/>
      </c>
      <c r="FP123" s="43" t="str">
        <f t="shared" si="1823"/>
        <v/>
      </c>
      <c r="FQ123" s="43" t="str">
        <f t="shared" si="1824"/>
        <v/>
      </c>
      <c r="FR123" s="43" t="str">
        <f t="shared" si="1825"/>
        <v/>
      </c>
      <c r="FS123" s="43" t="str">
        <f t="shared" si="1826"/>
        <v/>
      </c>
    </row>
    <row r="124" ht="57.6" spans="1:175">
      <c r="A124" s="4"/>
      <c r="B124" s="6" t="s">
        <v>438</v>
      </c>
      <c r="C124" s="77" t="s">
        <v>411</v>
      </c>
      <c r="T124" s="82" t="s">
        <v>412</v>
      </c>
      <c r="U124" s="59" t="s">
        <v>413</v>
      </c>
      <c r="CN124" s="12" t="str">
        <f t="shared" si="1678"/>
        <v>InitUnitState('INDW',,,,,,,,,,)</v>
      </c>
      <c r="CO124" s="12" t="str">
        <f t="shared" si="1679"/>
        <v>InitUnitNormal('INDW',,,,,,,,,,)</v>
      </c>
      <c r="CP124" s="12" t="str">
        <f t="shared" si="1680"/>
        <v>InitUnitMagic('INDW',,,,,,,,,,)</v>
      </c>
      <c r="CQ124" s="12" t="str">
        <f t="shared" si="1681"/>
        <v>InitUnitAdd('INDW',,,,,,,,,,)</v>
      </c>
      <c r="CR124" s="12" t="str">
        <f t="shared" si="1754"/>
        <v>InitEquipData('INDW',,"",,,,,'','','','','','',"ReplaceableTextures\\CommandButtons\\BTNIT04.blp")</v>
      </c>
      <c r="CU124" s="71" t="str">
        <f t="shared" si="1533"/>
        <v>|n</v>
      </c>
      <c r="CV124" s="5" t="str">
        <f t="shared" si="1534"/>
        <v>开启后获得|Cffffd24d42~700木头|r或|Cffffd24d随机锦囊卡|r。|n|n|Cff00ff7f掉落时激活的星宿越多，人品越好 |r     </v>
      </c>
      <c r="CW124" s="6"/>
      <c r="CX124" s="6"/>
      <c r="CY124" s="6"/>
      <c r="CZ124" s="6"/>
      <c r="DA124" s="6"/>
      <c r="DB124" s="43" t="str">
        <f t="shared" si="1535"/>
        <v/>
      </c>
      <c r="DC124" s="43" t="str">
        <f t="shared" si="1536"/>
        <v/>
      </c>
      <c r="DD124" s="43" t="str">
        <f t="shared" si="1537"/>
        <v/>
      </c>
      <c r="DE124" s="43" t="str">
        <f t="shared" si="1538"/>
        <v/>
      </c>
      <c r="DF124" s="43" t="str">
        <f t="shared" si="1539"/>
        <v/>
      </c>
      <c r="DG124" s="43" t="str">
        <f t="shared" si="1540"/>
        <v/>
      </c>
      <c r="DH124" s="43" t="str">
        <f t="shared" si="1541"/>
        <v/>
      </c>
      <c r="DI124" s="43" t="str">
        <f t="shared" si="1542"/>
        <v/>
      </c>
      <c r="DJ124" s="43" t="str">
        <f t="shared" si="1543"/>
        <v/>
      </c>
      <c r="DK124" s="43" t="str">
        <f t="shared" si="1544"/>
        <v/>
      </c>
      <c r="DL124" s="43" t="str">
        <f t="shared" si="1545"/>
        <v/>
      </c>
      <c r="DM124" s="43" t="str">
        <f t="shared" si="1546"/>
        <v/>
      </c>
      <c r="DN124" s="43" t="str">
        <f t="shared" si="1547"/>
        <v/>
      </c>
      <c r="DO124" s="43" t="str">
        <f t="shared" si="1548"/>
        <v/>
      </c>
      <c r="DP124" s="43" t="str">
        <f t="shared" si="1549"/>
        <v/>
      </c>
      <c r="DQ124" s="43" t="str">
        <f t="shared" si="1550"/>
        <v/>
      </c>
      <c r="DR124" s="43" t="str">
        <f t="shared" si="1551"/>
        <v/>
      </c>
      <c r="DS124" s="43" t="str">
        <f t="shared" si="1552"/>
        <v/>
      </c>
      <c r="DT124" s="43" t="str">
        <f t="shared" si="1553"/>
        <v/>
      </c>
      <c r="DU124" s="43" t="str">
        <f t="shared" si="1554"/>
        <v/>
      </c>
      <c r="DV124" s="43" t="str">
        <f t="shared" si="1555"/>
        <v/>
      </c>
      <c r="DW124" s="43" t="str">
        <f t="shared" si="1556"/>
        <v/>
      </c>
      <c r="DX124" s="43" t="str">
        <f t="shared" si="1557"/>
        <v/>
      </c>
      <c r="DY124" s="43" t="str">
        <f t="shared" si="1558"/>
        <v/>
      </c>
      <c r="DZ124" s="43" t="str">
        <f t="shared" si="1559"/>
        <v/>
      </c>
      <c r="EA124" s="43" t="str">
        <f t="shared" si="1560"/>
        <v/>
      </c>
      <c r="EB124" s="43" t="str">
        <f t="shared" si="1561"/>
        <v/>
      </c>
      <c r="EC124" s="43" t="str">
        <f t="shared" si="1562"/>
        <v/>
      </c>
      <c r="ED124" s="43" t="str">
        <f t="shared" si="1563"/>
        <v/>
      </c>
      <c r="EE124" s="43" t="str">
        <f t="shared" si="1564"/>
        <v/>
      </c>
      <c r="EF124" s="43" t="str">
        <f t="shared" si="1565"/>
        <v/>
      </c>
      <c r="EG124" s="43" t="str">
        <f t="shared" si="1566"/>
        <v/>
      </c>
      <c r="EH124" s="43" t="str">
        <f t="shared" si="1567"/>
        <v/>
      </c>
      <c r="EI124" s="43" t="str">
        <f t="shared" si="1568"/>
        <v/>
      </c>
      <c r="EJ124" s="43" t="str">
        <f t="shared" si="1569"/>
        <v/>
      </c>
      <c r="EK124" s="43" t="str">
        <f t="shared" si="1570"/>
        <v/>
      </c>
      <c r="EL124" s="43" t="str">
        <f t="shared" si="1571"/>
        <v/>
      </c>
      <c r="EM124" s="43" t="str">
        <f t="shared" si="1572"/>
        <v/>
      </c>
      <c r="EN124" s="43" t="str">
        <f t="shared" si="1573"/>
        <v/>
      </c>
      <c r="EO124" s="43" t="str">
        <f t="shared" si="1574"/>
        <v/>
      </c>
      <c r="EP124" s="43" t="str">
        <f t="shared" si="1575"/>
        <v/>
      </c>
      <c r="EQ124" s="43" t="str">
        <f t="shared" si="1576"/>
        <v/>
      </c>
      <c r="ER124" s="43" t="str">
        <f t="shared" si="1577"/>
        <v/>
      </c>
      <c r="ES124" s="43" t="str">
        <f t="shared" si="1578"/>
        <v/>
      </c>
      <c r="ET124" s="43" t="str">
        <f t="shared" si="1579"/>
        <v/>
      </c>
      <c r="EU124" s="43" t="str">
        <f t="shared" si="1580"/>
        <v/>
      </c>
      <c r="EV124" s="43" t="str">
        <f t="shared" si="1581"/>
        <v/>
      </c>
      <c r="EW124" s="43" t="str">
        <f t="shared" si="1582"/>
        <v/>
      </c>
      <c r="EX124" s="43" t="str">
        <f t="shared" si="1583"/>
        <v/>
      </c>
      <c r="EY124" s="43" t="str">
        <f t="shared" si="1584"/>
        <v/>
      </c>
      <c r="EZ124" s="43" t="str">
        <f t="shared" si="1585"/>
        <v/>
      </c>
      <c r="FA124" s="43" t="str">
        <f t="shared" si="1586"/>
        <v/>
      </c>
      <c r="FB124" s="43" t="str">
        <f t="shared" si="1587"/>
        <v/>
      </c>
      <c r="FC124" s="43" t="str">
        <f t="shared" si="1588"/>
        <v/>
      </c>
      <c r="FD124" s="43" t="str">
        <f t="shared" si="1589"/>
        <v/>
      </c>
      <c r="FE124" s="43" t="str">
        <f t="shared" si="1590"/>
        <v/>
      </c>
      <c r="FF124" s="43" t="str">
        <f t="shared" si="1591"/>
        <v/>
      </c>
      <c r="FG124" s="43" t="str">
        <f t="shared" si="1592"/>
        <v/>
      </c>
      <c r="FH124" s="43" t="str">
        <f t="shared" si="1593"/>
        <v/>
      </c>
      <c r="FI124" s="43" t="str">
        <f t="shared" si="1594"/>
        <v/>
      </c>
      <c r="FJ124" s="43" t="str">
        <f t="shared" si="1595"/>
        <v/>
      </c>
      <c r="FK124" s="43" t="str">
        <f t="shared" si="1596"/>
        <v/>
      </c>
      <c r="FL124" s="43" t="str">
        <f t="shared" si="1597"/>
        <v/>
      </c>
      <c r="FM124" s="43" t="str">
        <f t="shared" si="1598"/>
        <v/>
      </c>
      <c r="FN124" s="43" t="str">
        <f t="shared" si="1599"/>
        <v/>
      </c>
      <c r="FO124" s="43" t="str">
        <f t="shared" si="1600"/>
        <v/>
      </c>
      <c r="FP124" s="43" t="str">
        <f t="shared" si="1601"/>
        <v/>
      </c>
      <c r="FQ124" s="43" t="str">
        <f t="shared" si="1602"/>
        <v/>
      </c>
      <c r="FR124" s="43" t="str">
        <f t="shared" si="1603"/>
        <v/>
      </c>
      <c r="FS124" s="43" t="str">
        <f t="shared" si="1604"/>
        <v/>
      </c>
    </row>
    <row r="125" ht="15" spans="1:175">
      <c r="A125" s="4"/>
      <c r="B125" s="6" t="s">
        <v>439</v>
      </c>
      <c r="C125" s="77" t="s">
        <v>419</v>
      </c>
      <c r="T125" s="82" t="s">
        <v>420</v>
      </c>
      <c r="U125" s="59" t="s">
        <v>421</v>
      </c>
      <c r="CN125" s="12" t="str">
        <f t="shared" si="1678"/>
        <v>InitUnitState('INDX',,,,,,,,,,)</v>
      </c>
      <c r="CO125" s="12" t="str">
        <f t="shared" si="1679"/>
        <v>InitUnitNormal('INDX',,,,,,,,,,)</v>
      </c>
      <c r="CP125" s="12" t="str">
        <f t="shared" si="1680"/>
        <v>InitUnitMagic('INDX',,,,,,,,,,)</v>
      </c>
      <c r="CQ125" s="12" t="str">
        <f t="shared" si="1681"/>
        <v>InitUnitAdd('INDX',,,,,,,,,,)</v>
      </c>
      <c r="CR125" s="12" t="str">
        <f t="shared" si="1754"/>
        <v>InitEquipData('INDX',,"",,,,,'','','','','','',"ReplaceableTextures\\CommandButtons\\BTNIT05.blp")</v>
      </c>
      <c r="CU125" s="71" t="str">
        <f t="shared" ref="CU125" si="182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5" t="str">
        <f t="shared" ref="CV125" si="1828">T125</f>
        <v>开启后随机获得一张|Cffffd24d锦囊卡|r</v>
      </c>
      <c r="CW125" s="6"/>
      <c r="CX125" s="6"/>
      <c r="CY125" s="6"/>
      <c r="CZ125" s="6"/>
      <c r="DA125" s="6"/>
      <c r="DB125" s="43" t="str">
        <f t="shared" ref="DB125" si="1829">IF(V125="","","|n"&amp;DB$2&amp;"+"&amp;V125&amp;DB$1)</f>
        <v/>
      </c>
      <c r="DC125" s="43" t="str">
        <f t="shared" ref="DC125" si="1830">IF(W125="","","|n"&amp;DC$2&amp;"+"&amp;W125&amp;DC$1)</f>
        <v/>
      </c>
      <c r="DD125" s="43" t="str">
        <f t="shared" ref="DD125" si="1831">IF(X125="","","|n"&amp;DD$2&amp;"+"&amp;X125&amp;DD$1)</f>
        <v/>
      </c>
      <c r="DE125" s="43" t="str">
        <f t="shared" ref="DE125" si="1832">IF(Y125="","","|n"&amp;DE$2&amp;"+"&amp;Y125&amp;DE$1)</f>
        <v/>
      </c>
      <c r="DF125" s="43" t="str">
        <f t="shared" ref="DF125" si="1833">IF(Z125="","","|n"&amp;DF$2&amp;"+"&amp;Z125&amp;DF$1)</f>
        <v/>
      </c>
      <c r="DG125" s="43" t="str">
        <f t="shared" ref="DG125" si="1834">IF(AA125="","","|n"&amp;DG$2&amp;"+"&amp;AA125&amp;DG$1)</f>
        <v/>
      </c>
      <c r="DH125" s="43" t="str">
        <f t="shared" ref="DH125" si="1835">IF(AB125="","","|n"&amp;DH$2&amp;"+"&amp;AB125&amp;DH$1)</f>
        <v/>
      </c>
      <c r="DI125" s="43" t="str">
        <f t="shared" ref="DI125" si="1836">IF(AC125="","","|n"&amp;DI$2&amp;"+"&amp;AC125&amp;DI$1)</f>
        <v/>
      </c>
      <c r="DJ125" s="43" t="str">
        <f t="shared" ref="DJ125" si="1837">IF(AD125="","","|n"&amp;DJ$2&amp;"+"&amp;AD125&amp;DJ$1)</f>
        <v/>
      </c>
      <c r="DK125" s="43" t="str">
        <f t="shared" ref="DK125" si="1838">IF(AE125="","","|n"&amp;DK$2&amp;"+"&amp;AE125&amp;DK$1)</f>
        <v/>
      </c>
      <c r="DL125" s="43" t="str">
        <f t="shared" ref="DL125" si="1839">IF(AF125="","","|n"&amp;DL$2&amp;"+"&amp;AF125&amp;DL$1)</f>
        <v/>
      </c>
      <c r="DM125" s="43" t="str">
        <f t="shared" ref="DM125" si="1840">IF(AG125="","","|n"&amp;DM$2&amp;"+"&amp;AG125&amp;DM$1)</f>
        <v/>
      </c>
      <c r="DN125" s="43" t="str">
        <f t="shared" ref="DN125" si="1841">IF(AH125="","","|n"&amp;DN$2&amp;"+"&amp;AH125&amp;DN$1)</f>
        <v/>
      </c>
      <c r="DO125" s="43" t="str">
        <f t="shared" ref="DO125" si="1842">IF(AI125="","","|n"&amp;DO$2&amp;"+"&amp;AI125&amp;DO$1)</f>
        <v/>
      </c>
      <c r="DP125" s="43" t="str">
        <f t="shared" ref="DP125" si="1843">IF(AJ125="","","|n"&amp;DP$2&amp;"+"&amp;AJ125&amp;DP$1)</f>
        <v/>
      </c>
      <c r="DQ125" s="43" t="str">
        <f t="shared" ref="DQ125" si="1844">IF(AK125="","","|n"&amp;DQ$2&amp;"+"&amp;AK125&amp;DQ$1)</f>
        <v/>
      </c>
      <c r="DR125" s="43" t="str">
        <f t="shared" ref="DR125" si="1845">IF(AL125="","","|n"&amp;DR$2&amp;"+"&amp;AL125&amp;DR$1)</f>
        <v/>
      </c>
      <c r="DS125" s="43" t="str">
        <f t="shared" ref="DS125" si="1846">IF(AM125="","","|n"&amp;DS$2&amp;"+"&amp;AM125&amp;DS$1)</f>
        <v/>
      </c>
      <c r="DT125" s="43" t="str">
        <f t="shared" ref="DT125" si="1847">IF(AN125="","","|n"&amp;DT$2&amp;"+"&amp;AN125&amp;DT$1)</f>
        <v/>
      </c>
      <c r="DU125" s="43" t="str">
        <f t="shared" ref="DU125" si="1848">IF(AO125="","","|n"&amp;DU$2&amp;"+"&amp;AO125&amp;DU$1)</f>
        <v/>
      </c>
      <c r="DV125" s="43" t="str">
        <f t="shared" ref="DV125" si="1849">IF(AP125="","","|n"&amp;DV$2&amp;"+"&amp;AP125&amp;DV$1)</f>
        <v/>
      </c>
      <c r="DW125" s="43" t="str">
        <f t="shared" ref="DW125" si="1850">IF(AQ125="","","|n"&amp;DW$2&amp;"+"&amp;AQ125&amp;DW$1)</f>
        <v/>
      </c>
      <c r="DX125" s="43" t="str">
        <f t="shared" ref="DX125" si="1851">IF(AR125="","","|n"&amp;DX$2&amp;"+"&amp;AR125&amp;DX$1)</f>
        <v/>
      </c>
      <c r="DY125" s="43" t="str">
        <f t="shared" ref="DY125" si="1852">IF(AS125="","","|n"&amp;DY$2&amp;"+"&amp;AS125&amp;DY$1)</f>
        <v/>
      </c>
      <c r="DZ125" s="43" t="str">
        <f t="shared" ref="DZ125" si="1853">IF(AT125="","","|n"&amp;DZ$2&amp;"+"&amp;AT125&amp;DZ$1)</f>
        <v/>
      </c>
      <c r="EA125" s="43" t="str">
        <f t="shared" ref="EA125" si="1854">IF(AU125="","","|n"&amp;EA$2&amp;"+"&amp;AU125&amp;EA$1)</f>
        <v/>
      </c>
      <c r="EB125" s="43" t="str">
        <f t="shared" ref="EB125" si="1855">IF(AV125="","","|n"&amp;EB$2&amp;"+"&amp;AV125&amp;EB$1)</f>
        <v/>
      </c>
      <c r="EC125" s="43" t="str">
        <f t="shared" ref="EC125" si="1856">IF(AW125="","","|n"&amp;EC$2&amp;"+"&amp;AW125&amp;EC$1)</f>
        <v/>
      </c>
      <c r="ED125" s="43" t="str">
        <f t="shared" ref="ED125" si="1857">IF(AX125="","","|n"&amp;ED$2&amp;"+"&amp;AX125&amp;ED$1)</f>
        <v/>
      </c>
      <c r="EE125" s="43" t="str">
        <f t="shared" ref="EE125" si="1858">IF(AY125="","","|n"&amp;EE$2&amp;"+"&amp;AY125&amp;EE$1)</f>
        <v/>
      </c>
      <c r="EF125" s="43" t="str">
        <f t="shared" ref="EF125" si="1859">IF(AZ125="","","|n"&amp;EF$2&amp;"+"&amp;AZ125&amp;EF$1)</f>
        <v/>
      </c>
      <c r="EG125" s="43" t="str">
        <f t="shared" ref="EG125" si="1860">IF(BA125="","","|n"&amp;EG$2&amp;"+"&amp;BA125&amp;EG$1)</f>
        <v/>
      </c>
      <c r="EH125" s="43" t="str">
        <f t="shared" ref="EH125" si="1861">IF(BB125="","","|n"&amp;EH$2&amp;"+"&amp;BB125&amp;EH$1)</f>
        <v/>
      </c>
      <c r="EI125" s="43" t="str">
        <f t="shared" ref="EI125" si="1862">IF(BC125="","","|n"&amp;EI$2&amp;"+"&amp;BC125&amp;EI$1)</f>
        <v/>
      </c>
      <c r="EJ125" s="43" t="str">
        <f t="shared" ref="EJ125" si="1863">IF(BD125="","","|n"&amp;EJ$2&amp;"+"&amp;BD125&amp;EJ$1)</f>
        <v/>
      </c>
      <c r="EK125" s="43" t="str">
        <f t="shared" ref="EK125" si="1864">IF(BE125="","","|n"&amp;EK$2&amp;"+"&amp;BE125&amp;EK$1)</f>
        <v/>
      </c>
      <c r="EL125" s="43" t="str">
        <f t="shared" ref="EL125" si="1865">IF(BF125="","","|n"&amp;EL$2&amp;"+"&amp;BF125&amp;EL$1)</f>
        <v/>
      </c>
      <c r="EM125" s="43" t="str">
        <f t="shared" ref="EM125" si="1866">IF(BG125="","","|n"&amp;EM$2&amp;"+"&amp;BG125&amp;EM$1)</f>
        <v/>
      </c>
      <c r="EN125" s="43" t="str">
        <f t="shared" ref="EN125" si="1867">IF(BH125="","","|n"&amp;EN$2&amp;"+"&amp;BH125&amp;EN$1)</f>
        <v/>
      </c>
      <c r="EO125" s="43" t="str">
        <f t="shared" ref="EO125" si="1868">IF(BI125="","","|n"&amp;EO$2&amp;"+"&amp;BI125&amp;EO$1)</f>
        <v/>
      </c>
      <c r="EP125" s="43" t="str">
        <f t="shared" ref="EP125" si="1869">IF(BJ125="","","|n"&amp;EP$2&amp;"+"&amp;BJ125&amp;EP$1)</f>
        <v/>
      </c>
      <c r="EQ125" s="43" t="str">
        <f t="shared" ref="EQ125" si="1870">IF(BK125="","","|n"&amp;EQ$2&amp;"+"&amp;BK125&amp;EQ$1)</f>
        <v/>
      </c>
      <c r="ER125" s="43" t="str">
        <f t="shared" ref="ER125" si="1871">IF(BL125="","","|n"&amp;ER$2&amp;"+"&amp;BL125&amp;ER$1)</f>
        <v/>
      </c>
      <c r="ES125" s="43" t="str">
        <f t="shared" ref="ES125" si="1872">IF(BM125="","","|n"&amp;ES$2&amp;"+"&amp;BM125&amp;ES$1)</f>
        <v/>
      </c>
      <c r="ET125" s="43" t="str">
        <f t="shared" ref="ET125" si="1873">IF(BN125="","","|n"&amp;ET$2&amp;"+"&amp;BN125&amp;ET$1)</f>
        <v/>
      </c>
      <c r="EU125" s="43" t="str">
        <f t="shared" ref="EU125" si="1874">IF(BO125="","","|n"&amp;EU$2&amp;"+"&amp;BO125&amp;EU$1)</f>
        <v/>
      </c>
      <c r="EV125" s="43" t="str">
        <f t="shared" ref="EV125" si="1875">IF(BP125="","","|n"&amp;EV$2&amp;"+"&amp;BP125&amp;EV$1)</f>
        <v/>
      </c>
      <c r="EW125" s="43" t="str">
        <f t="shared" ref="EW125" si="1876">IF(BQ125="","","|n"&amp;EW$2&amp;"+"&amp;BQ125&amp;EW$1)</f>
        <v/>
      </c>
      <c r="EX125" s="43" t="str">
        <f t="shared" ref="EX125" si="1877">IF(BR125="","","|n"&amp;EX$2&amp;"+"&amp;BR125&amp;EX$1)</f>
        <v/>
      </c>
      <c r="EY125" s="43" t="str">
        <f t="shared" ref="EY125" si="1878">IF(BS125="","","|n"&amp;EY$2&amp;"+"&amp;BS125&amp;EY$1)</f>
        <v/>
      </c>
      <c r="EZ125" s="43" t="str">
        <f t="shared" ref="EZ125" si="1879">IF(BT125="","","|n"&amp;EZ$2&amp;"+"&amp;BT125&amp;EZ$1)</f>
        <v/>
      </c>
      <c r="FA125" s="43" t="str">
        <f t="shared" ref="FA125" si="1880">IF(BU125="","","|n"&amp;FA$2&amp;"+"&amp;BU125&amp;FA$1)</f>
        <v/>
      </c>
      <c r="FB125" s="43" t="str">
        <f t="shared" ref="FB125" si="1881">IF(BV125="","","|n"&amp;FB$2&amp;"+"&amp;BV125&amp;FB$1)</f>
        <v/>
      </c>
      <c r="FC125" s="43" t="str">
        <f t="shared" ref="FC125" si="1882">IF(BW125="","","|n"&amp;FC$2&amp;"+"&amp;BW125&amp;FC$1)</f>
        <v/>
      </c>
      <c r="FD125" s="43" t="str">
        <f t="shared" ref="FD125" si="1883">IF(BX125="","","|n"&amp;FD$2&amp;"+"&amp;BX125&amp;FD$1)</f>
        <v/>
      </c>
      <c r="FE125" s="43" t="str">
        <f t="shared" ref="FE125" si="1884">IF(BY125="","","|n"&amp;FE$2&amp;"+"&amp;BY125&amp;FE$1)</f>
        <v/>
      </c>
      <c r="FF125" s="43" t="str">
        <f t="shared" ref="FF125" si="1885">IF(BZ125="","","|n"&amp;FF$2&amp;"+"&amp;BZ125&amp;FF$1)</f>
        <v/>
      </c>
      <c r="FG125" s="43" t="str">
        <f t="shared" ref="FG125" si="1886">IF(CA125="","","|n"&amp;FG$2&amp;"+"&amp;CA125&amp;FG$1)</f>
        <v/>
      </c>
      <c r="FH125" s="43" t="str">
        <f t="shared" ref="FH125" si="1887">IF(CB125="","","|n"&amp;FH$2&amp;"+"&amp;CB125&amp;FH$1)</f>
        <v/>
      </c>
      <c r="FI125" s="43" t="str">
        <f t="shared" ref="FI125" si="1888">IF(CC125="","","|n"&amp;FI$2&amp;"+"&amp;CC125&amp;FI$1)</f>
        <v/>
      </c>
      <c r="FJ125" s="43" t="str">
        <f t="shared" ref="FJ125" si="1889">IF(CD125="","","|n"&amp;FJ$2&amp;"+"&amp;CD125&amp;FJ$1)</f>
        <v/>
      </c>
      <c r="FK125" s="43" t="str">
        <f t="shared" ref="FK125" si="1890">IF(CE125="","","|n"&amp;FK$2&amp;"+"&amp;CE125&amp;FK$1)</f>
        <v/>
      </c>
      <c r="FL125" s="43" t="str">
        <f t="shared" ref="FL125" si="1891">IF(CF125="","","|n"&amp;FL$2&amp;"+"&amp;CF125&amp;FL$1)</f>
        <v/>
      </c>
      <c r="FM125" s="43" t="str">
        <f t="shared" ref="FM125" si="1892">IF(CG125="","","|n"&amp;FM$2&amp;"+"&amp;CG125&amp;FM$1)</f>
        <v/>
      </c>
      <c r="FN125" s="43" t="str">
        <f t="shared" ref="FN125" si="1893">IF(CH125="","","|n"&amp;FN$2&amp;"+"&amp;CH125&amp;FN$1)</f>
        <v/>
      </c>
      <c r="FO125" s="43" t="str">
        <f t="shared" ref="FO125" si="1894">IF(CI125="","","|n"&amp;FO$2&amp;"+"&amp;CI125&amp;FO$1)</f>
        <v/>
      </c>
      <c r="FP125" s="43" t="str">
        <f t="shared" ref="FP125" si="1895">IF(CJ125="","","|n"&amp;FP$2&amp;"+"&amp;CJ125&amp;FP$1)</f>
        <v/>
      </c>
      <c r="FQ125" s="43" t="str">
        <f t="shared" ref="FQ125" si="1896">IF(CK125="","","|n"&amp;FQ$2&amp;"+"&amp;CK125&amp;FQ$1)</f>
        <v/>
      </c>
      <c r="FR125" s="43" t="str">
        <f t="shared" ref="FR125" si="1897">IF(CL125="","","|n"&amp;FR$2&amp;"+"&amp;CL125&amp;FR$1)</f>
        <v/>
      </c>
      <c r="FS125" s="43" t="str">
        <f t="shared" ref="FS125" si="1898">IF(CM125="","","|n"&amp;FS$2&amp;"+"&amp;CM125&amp;FS$1)</f>
        <v/>
      </c>
    </row>
    <row r="126" ht="15" spans="1:175">
      <c r="A126" s="4"/>
      <c r="B126" s="4" t="s">
        <v>440</v>
      </c>
      <c r="C126" s="4" t="s">
        <v>441</v>
      </c>
      <c r="T126" s="82" t="s">
        <v>442</v>
      </c>
      <c r="U126" s="59" t="str">
        <f t="shared" si="1168"/>
        <v>ReplaceableTextures\\CommandButtons\\BTNIN00.blp</v>
      </c>
      <c r="CN126" s="12" t="str">
        <f t="shared" si="1678"/>
        <v>InitUnitState('IN00',,,,,,,,,,)</v>
      </c>
      <c r="CO126" s="12" t="str">
        <f t="shared" si="1679"/>
        <v>InitUnitNormal('IN00',,,,,,,,,,)</v>
      </c>
      <c r="CP126" s="12" t="str">
        <f t="shared" si="1680"/>
        <v>InitUnitMagic('IN00',,,,,,,,,,)</v>
      </c>
      <c r="CQ126" s="12" t="str">
        <f t="shared" si="1681"/>
        <v>InitUnitAdd('IN00',,,,,,,,,,)</v>
      </c>
      <c r="CR126" s="12" t="str">
        <f t="shared" si="1754"/>
        <v>InitEquipData('IN00',,"",,,,,'','','','','','',"ReplaceableTextures\\CommandButtons\\BTNIT06.blp")</v>
      </c>
      <c r="CU126" s="71" t="str">
        <f t="shared" si="1533"/>
        <v>|n</v>
      </c>
      <c r="CV126" s="5" t="str">
        <f t="shared" si="1534"/>
        <v>开出一个随机锦囊</v>
      </c>
      <c r="CW126" s="6"/>
      <c r="CX126" s="6"/>
      <c r="CY126" s="6"/>
      <c r="CZ126" s="6"/>
      <c r="DA126" s="6"/>
      <c r="DB126" s="43" t="str">
        <f t="shared" si="1535"/>
        <v/>
      </c>
      <c r="DC126" s="43" t="str">
        <f t="shared" si="1536"/>
        <v/>
      </c>
      <c r="DD126" s="43" t="str">
        <f t="shared" si="1537"/>
        <v/>
      </c>
      <c r="DE126" s="43" t="str">
        <f t="shared" si="1538"/>
        <v/>
      </c>
      <c r="DF126" s="43" t="str">
        <f t="shared" si="1539"/>
        <v/>
      </c>
      <c r="DG126" s="43" t="str">
        <f t="shared" si="1540"/>
        <v/>
      </c>
      <c r="DH126" s="43" t="str">
        <f t="shared" si="1541"/>
        <v/>
      </c>
      <c r="DI126" s="43" t="str">
        <f t="shared" si="1542"/>
        <v/>
      </c>
      <c r="DJ126" s="43" t="str">
        <f t="shared" si="1543"/>
        <v/>
      </c>
      <c r="DK126" s="43" t="str">
        <f t="shared" si="1544"/>
        <v/>
      </c>
      <c r="DL126" s="43" t="str">
        <f t="shared" si="1545"/>
        <v/>
      </c>
      <c r="DM126" s="43" t="str">
        <f t="shared" si="1546"/>
        <v/>
      </c>
      <c r="DN126" s="43" t="str">
        <f t="shared" si="1547"/>
        <v/>
      </c>
      <c r="DO126" s="43" t="str">
        <f t="shared" si="1548"/>
        <v/>
      </c>
      <c r="DP126" s="43" t="str">
        <f t="shared" si="1549"/>
        <v/>
      </c>
      <c r="DQ126" s="43" t="str">
        <f t="shared" si="1550"/>
        <v/>
      </c>
      <c r="DR126" s="43" t="str">
        <f t="shared" si="1551"/>
        <v/>
      </c>
      <c r="DS126" s="43" t="str">
        <f t="shared" si="1552"/>
        <v/>
      </c>
      <c r="DT126" s="43" t="str">
        <f t="shared" si="1553"/>
        <v/>
      </c>
      <c r="DU126" s="43" t="str">
        <f t="shared" si="1554"/>
        <v/>
      </c>
      <c r="DV126" s="43" t="str">
        <f t="shared" si="1555"/>
        <v/>
      </c>
      <c r="DW126" s="43" t="str">
        <f t="shared" si="1556"/>
        <v/>
      </c>
      <c r="DX126" s="43" t="str">
        <f t="shared" si="1557"/>
        <v/>
      </c>
      <c r="DY126" s="43" t="str">
        <f t="shared" si="1558"/>
        <v/>
      </c>
      <c r="DZ126" s="43" t="str">
        <f t="shared" si="1559"/>
        <v/>
      </c>
      <c r="EA126" s="43" t="str">
        <f t="shared" si="1560"/>
        <v/>
      </c>
      <c r="EB126" s="43" t="str">
        <f t="shared" si="1561"/>
        <v/>
      </c>
      <c r="EC126" s="43" t="str">
        <f t="shared" si="1562"/>
        <v/>
      </c>
      <c r="ED126" s="43" t="str">
        <f t="shared" si="1563"/>
        <v/>
      </c>
      <c r="EE126" s="43" t="str">
        <f t="shared" si="1564"/>
        <v/>
      </c>
      <c r="EF126" s="43" t="str">
        <f t="shared" si="1565"/>
        <v/>
      </c>
      <c r="EG126" s="43" t="str">
        <f t="shared" si="1566"/>
        <v/>
      </c>
      <c r="EH126" s="43" t="str">
        <f t="shared" si="1567"/>
        <v/>
      </c>
      <c r="EI126" s="43" t="str">
        <f t="shared" si="1568"/>
        <v/>
      </c>
      <c r="EJ126" s="43" t="str">
        <f t="shared" si="1569"/>
        <v/>
      </c>
      <c r="EK126" s="43" t="str">
        <f t="shared" si="1570"/>
        <v/>
      </c>
      <c r="EL126" s="43" t="str">
        <f t="shared" si="1571"/>
        <v/>
      </c>
      <c r="EM126" s="43" t="str">
        <f t="shared" si="1572"/>
        <v/>
      </c>
      <c r="EN126" s="43" t="str">
        <f t="shared" si="1573"/>
        <v/>
      </c>
      <c r="EO126" s="43" t="str">
        <f t="shared" si="1574"/>
        <v/>
      </c>
      <c r="EP126" s="43" t="str">
        <f t="shared" si="1575"/>
        <v/>
      </c>
      <c r="EQ126" s="43" t="str">
        <f t="shared" si="1576"/>
        <v/>
      </c>
      <c r="ER126" s="43" t="str">
        <f t="shared" si="1577"/>
        <v/>
      </c>
      <c r="ES126" s="43" t="str">
        <f t="shared" si="1578"/>
        <v/>
      </c>
      <c r="ET126" s="43" t="str">
        <f t="shared" si="1579"/>
        <v/>
      </c>
      <c r="EU126" s="43" t="str">
        <f t="shared" si="1580"/>
        <v/>
      </c>
      <c r="EV126" s="43" t="str">
        <f t="shared" si="1581"/>
        <v/>
      </c>
      <c r="EW126" s="43" t="str">
        <f t="shared" si="1582"/>
        <v/>
      </c>
      <c r="EX126" s="43" t="str">
        <f t="shared" si="1583"/>
        <v/>
      </c>
      <c r="EY126" s="43" t="str">
        <f t="shared" si="1584"/>
        <v/>
      </c>
      <c r="EZ126" s="43" t="str">
        <f t="shared" si="1585"/>
        <v/>
      </c>
      <c r="FA126" s="43" t="str">
        <f t="shared" si="1586"/>
        <v/>
      </c>
      <c r="FB126" s="43" t="str">
        <f t="shared" si="1587"/>
        <v/>
      </c>
      <c r="FC126" s="43" t="str">
        <f t="shared" si="1588"/>
        <v/>
      </c>
      <c r="FD126" s="43" t="str">
        <f t="shared" si="1589"/>
        <v/>
      </c>
      <c r="FE126" s="43" t="str">
        <f t="shared" si="1590"/>
        <v/>
      </c>
      <c r="FF126" s="43" t="str">
        <f t="shared" si="1591"/>
        <v/>
      </c>
      <c r="FG126" s="43" t="str">
        <f t="shared" si="1592"/>
        <v/>
      </c>
      <c r="FH126" s="43" t="str">
        <f t="shared" si="1593"/>
        <v/>
      </c>
      <c r="FI126" s="43" t="str">
        <f t="shared" si="1594"/>
        <v/>
      </c>
      <c r="FJ126" s="43" t="str">
        <f t="shared" si="1595"/>
        <v/>
      </c>
      <c r="FK126" s="43" t="str">
        <f t="shared" si="1596"/>
        <v/>
      </c>
      <c r="FL126" s="43" t="str">
        <f t="shared" si="1597"/>
        <v/>
      </c>
      <c r="FM126" s="43" t="str">
        <f t="shared" si="1598"/>
        <v/>
      </c>
      <c r="FN126" s="43" t="str">
        <f t="shared" si="1599"/>
        <v/>
      </c>
      <c r="FO126" s="43" t="str">
        <f t="shared" si="1600"/>
        <v/>
      </c>
      <c r="FP126" s="43" t="str">
        <f t="shared" si="1601"/>
        <v/>
      </c>
      <c r="FQ126" s="43" t="str">
        <f t="shared" si="1602"/>
        <v/>
      </c>
      <c r="FR126" s="43" t="str">
        <f t="shared" si="1603"/>
        <v/>
      </c>
      <c r="FS126" s="43" t="str">
        <f t="shared" si="1604"/>
        <v/>
      </c>
    </row>
    <row r="127" ht="41.4" spans="1:175">
      <c r="A127" s="4"/>
      <c r="B127" s="4" t="s">
        <v>443</v>
      </c>
      <c r="C127" s="5" t="s">
        <v>444</v>
      </c>
      <c r="T127" s="84" t="s">
        <v>445</v>
      </c>
      <c r="U127" s="59" t="str">
        <f t="shared" si="1168"/>
        <v>ReplaceableTextures\\CommandButtons\\BTNIN01.blp</v>
      </c>
      <c r="CN127" s="12" t="str">
        <f t="shared" si="1678"/>
        <v>InitUnitState('IN01',,,,,,,,,,)</v>
      </c>
      <c r="CO127" s="12" t="str">
        <f t="shared" si="1679"/>
        <v>InitUnitNormal('IN01',,,,,,,,,,)</v>
      </c>
      <c r="CP127" s="12" t="str">
        <f t="shared" si="1680"/>
        <v>InitUnitMagic('IN01',,,,,,,,,,)</v>
      </c>
      <c r="CQ127" s="12" t="str">
        <f t="shared" si="1681"/>
        <v>InitUnitAdd('IN01',,,,,,,,,,)</v>
      </c>
      <c r="CR127" s="12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142&amp;CR$1&amp;")"</f>
        <v>InitEquipData('IN01',,"",,,,,'','','','','','',"ReplaceableTextures\\CommandButtons\\BTNIN16.blp")</v>
      </c>
      <c r="CU127" s="71" t="str">
        <f t="shared" si="1533"/>
        <v>|n</v>
      </c>
      <c r="CV127" s="5" t="str">
        <f t="shared" si="1534"/>
        <v>为|Cffffd24d当前的Q技能|r附魔随机效果。|n|n|Cff00ff7f替换技能后，附魔效果消失。|r</v>
      </c>
      <c r="CW127" s="6"/>
      <c r="CX127" s="6"/>
      <c r="CY127" s="6"/>
      <c r="CZ127" s="6"/>
      <c r="DA127" s="6"/>
      <c r="DB127" s="43" t="str">
        <f t="shared" si="1535"/>
        <v/>
      </c>
      <c r="DC127" s="43" t="str">
        <f t="shared" si="1536"/>
        <v/>
      </c>
      <c r="DD127" s="43" t="str">
        <f t="shared" si="1537"/>
        <v/>
      </c>
      <c r="DE127" s="43" t="str">
        <f t="shared" si="1538"/>
        <v/>
      </c>
      <c r="DF127" s="43" t="str">
        <f t="shared" si="1539"/>
        <v/>
      </c>
      <c r="DG127" s="43" t="str">
        <f t="shared" si="1540"/>
        <v/>
      </c>
      <c r="DH127" s="43" t="str">
        <f t="shared" si="1541"/>
        <v/>
      </c>
      <c r="DI127" s="43" t="str">
        <f t="shared" si="1542"/>
        <v/>
      </c>
      <c r="DJ127" s="43" t="str">
        <f t="shared" si="1543"/>
        <v/>
      </c>
      <c r="DK127" s="43" t="str">
        <f t="shared" si="1544"/>
        <v/>
      </c>
      <c r="DL127" s="43" t="str">
        <f t="shared" si="1545"/>
        <v/>
      </c>
      <c r="DM127" s="43" t="str">
        <f t="shared" si="1546"/>
        <v/>
      </c>
      <c r="DN127" s="43" t="str">
        <f t="shared" si="1547"/>
        <v/>
      </c>
      <c r="DO127" s="43" t="str">
        <f t="shared" si="1548"/>
        <v/>
      </c>
      <c r="DP127" s="43" t="str">
        <f t="shared" si="1549"/>
        <v/>
      </c>
      <c r="DQ127" s="43" t="str">
        <f t="shared" si="1550"/>
        <v/>
      </c>
      <c r="DR127" s="43" t="str">
        <f t="shared" si="1551"/>
        <v/>
      </c>
      <c r="DS127" s="43" t="str">
        <f t="shared" si="1552"/>
        <v/>
      </c>
      <c r="DT127" s="43" t="str">
        <f t="shared" si="1553"/>
        <v/>
      </c>
      <c r="DU127" s="43" t="str">
        <f t="shared" si="1554"/>
        <v/>
      </c>
      <c r="DV127" s="43" t="str">
        <f t="shared" si="1555"/>
        <v/>
      </c>
      <c r="DW127" s="43" t="str">
        <f t="shared" si="1556"/>
        <v/>
      </c>
      <c r="DX127" s="43" t="str">
        <f t="shared" si="1557"/>
        <v/>
      </c>
      <c r="DY127" s="43" t="str">
        <f t="shared" si="1558"/>
        <v/>
      </c>
      <c r="DZ127" s="43" t="str">
        <f t="shared" si="1559"/>
        <v/>
      </c>
      <c r="EA127" s="43" t="str">
        <f t="shared" si="1560"/>
        <v/>
      </c>
      <c r="EB127" s="43" t="str">
        <f t="shared" si="1561"/>
        <v/>
      </c>
      <c r="EC127" s="43" t="str">
        <f t="shared" si="1562"/>
        <v/>
      </c>
      <c r="ED127" s="43" t="str">
        <f t="shared" si="1563"/>
        <v/>
      </c>
      <c r="EE127" s="43" t="str">
        <f t="shared" si="1564"/>
        <v/>
      </c>
      <c r="EF127" s="43" t="str">
        <f t="shared" si="1565"/>
        <v/>
      </c>
      <c r="EG127" s="43" t="str">
        <f t="shared" si="1566"/>
        <v/>
      </c>
      <c r="EH127" s="43" t="str">
        <f t="shared" si="1567"/>
        <v/>
      </c>
      <c r="EI127" s="43" t="str">
        <f t="shared" si="1568"/>
        <v/>
      </c>
      <c r="EJ127" s="43" t="str">
        <f t="shared" si="1569"/>
        <v/>
      </c>
      <c r="EK127" s="43" t="str">
        <f t="shared" si="1570"/>
        <v/>
      </c>
      <c r="EL127" s="43" t="str">
        <f t="shared" si="1571"/>
        <v/>
      </c>
      <c r="EM127" s="43" t="str">
        <f t="shared" si="1572"/>
        <v/>
      </c>
      <c r="EN127" s="43" t="str">
        <f t="shared" si="1573"/>
        <v/>
      </c>
      <c r="EO127" s="43" t="str">
        <f t="shared" si="1574"/>
        <v/>
      </c>
      <c r="EP127" s="43" t="str">
        <f t="shared" si="1575"/>
        <v/>
      </c>
      <c r="EQ127" s="43" t="str">
        <f t="shared" si="1576"/>
        <v/>
      </c>
      <c r="ER127" s="43" t="str">
        <f t="shared" si="1577"/>
        <v/>
      </c>
      <c r="ES127" s="43" t="str">
        <f t="shared" si="1578"/>
        <v/>
      </c>
      <c r="ET127" s="43" t="str">
        <f t="shared" si="1579"/>
        <v/>
      </c>
      <c r="EU127" s="43" t="str">
        <f t="shared" si="1580"/>
        <v/>
      </c>
      <c r="EV127" s="43" t="str">
        <f t="shared" si="1581"/>
        <v/>
      </c>
      <c r="EW127" s="43" t="str">
        <f t="shared" si="1582"/>
        <v/>
      </c>
      <c r="EX127" s="43" t="str">
        <f t="shared" si="1583"/>
        <v/>
      </c>
      <c r="EY127" s="43" t="str">
        <f t="shared" si="1584"/>
        <v/>
      </c>
      <c r="EZ127" s="43" t="str">
        <f t="shared" si="1585"/>
        <v/>
      </c>
      <c r="FA127" s="43" t="str">
        <f t="shared" si="1586"/>
        <v/>
      </c>
      <c r="FB127" s="43" t="str">
        <f t="shared" si="1587"/>
        <v/>
      </c>
      <c r="FC127" s="43" t="str">
        <f t="shared" si="1588"/>
        <v/>
      </c>
      <c r="FD127" s="43" t="str">
        <f t="shared" si="1589"/>
        <v/>
      </c>
      <c r="FE127" s="43" t="str">
        <f t="shared" si="1590"/>
        <v/>
      </c>
      <c r="FF127" s="43" t="str">
        <f t="shared" si="1591"/>
        <v/>
      </c>
      <c r="FG127" s="43" t="str">
        <f t="shared" si="1592"/>
        <v/>
      </c>
      <c r="FH127" s="43" t="str">
        <f t="shared" si="1593"/>
        <v/>
      </c>
      <c r="FI127" s="43" t="str">
        <f t="shared" si="1594"/>
        <v/>
      </c>
      <c r="FJ127" s="43" t="str">
        <f t="shared" si="1595"/>
        <v/>
      </c>
      <c r="FK127" s="43" t="str">
        <f t="shared" si="1596"/>
        <v/>
      </c>
      <c r="FL127" s="43" t="str">
        <f t="shared" si="1597"/>
        <v/>
      </c>
      <c r="FM127" s="43" t="str">
        <f t="shared" si="1598"/>
        <v/>
      </c>
      <c r="FN127" s="43" t="str">
        <f t="shared" si="1599"/>
        <v/>
      </c>
      <c r="FO127" s="43" t="str">
        <f t="shared" si="1600"/>
        <v/>
      </c>
      <c r="FP127" s="43" t="str">
        <f t="shared" si="1601"/>
        <v/>
      </c>
      <c r="FQ127" s="43" t="str">
        <f t="shared" si="1602"/>
        <v/>
      </c>
      <c r="FR127" s="43" t="str">
        <f t="shared" si="1603"/>
        <v/>
      </c>
      <c r="FS127" s="43" t="str">
        <f t="shared" si="1604"/>
        <v/>
      </c>
    </row>
    <row r="128" ht="41.4" spans="1:175">
      <c r="A128" s="4"/>
      <c r="B128" s="4" t="s">
        <v>446</v>
      </c>
      <c r="C128" s="5" t="s">
        <v>447</v>
      </c>
      <c r="T128" s="84" t="s">
        <v>448</v>
      </c>
      <c r="U128" s="59" t="str">
        <f t="shared" si="1168"/>
        <v>ReplaceableTextures\\CommandButtons\\BTNIN02.blp</v>
      </c>
      <c r="CN128" s="12" t="str">
        <f t="shared" si="1678"/>
        <v>InitUnitState('IN02',,,,,,,,,,)</v>
      </c>
      <c r="CO128" s="12" t="str">
        <f t="shared" si="1679"/>
        <v>InitUnitNormal('IN02',,,,,,,,,,)</v>
      </c>
      <c r="CP128" s="12" t="str">
        <f t="shared" si="1680"/>
        <v>InitUnitMagic('IN02',,,,,,,,,,)</v>
      </c>
      <c r="CQ128" s="12" t="str">
        <f t="shared" si="1681"/>
        <v>InitUnitAdd('IN02',,,,,,,,,,)</v>
      </c>
      <c r="CR128" s="12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InitEquipData('IN02',,"",,,,,'','','','','','',"ReplaceableTextures\\CommandButtons\\BTNIN17.blp")</v>
      </c>
      <c r="CU128" s="71" t="str">
        <f t="shared" si="1533"/>
        <v>|n</v>
      </c>
      <c r="CV128" s="5" t="str">
        <f t="shared" si="1534"/>
        <v>为|Cffffd24d当前的W技能|r附魔随机效果。|n|n|Cff00ff7f替换技能后，附魔效果消失。|r</v>
      </c>
      <c r="CW128" s="6"/>
      <c r="CX128" s="6"/>
      <c r="CY128" s="6"/>
      <c r="CZ128" s="6"/>
      <c r="DA128" s="6"/>
      <c r="DB128" s="43" t="str">
        <f t="shared" si="1535"/>
        <v/>
      </c>
      <c r="DC128" s="43" t="str">
        <f t="shared" si="1536"/>
        <v/>
      </c>
      <c r="DD128" s="43" t="str">
        <f t="shared" si="1537"/>
        <v/>
      </c>
      <c r="DE128" s="43" t="str">
        <f t="shared" si="1538"/>
        <v/>
      </c>
      <c r="DF128" s="43" t="str">
        <f t="shared" si="1539"/>
        <v/>
      </c>
      <c r="DG128" s="43" t="str">
        <f t="shared" si="1540"/>
        <v/>
      </c>
      <c r="DH128" s="43" t="str">
        <f t="shared" si="1541"/>
        <v/>
      </c>
      <c r="DI128" s="43" t="str">
        <f t="shared" si="1542"/>
        <v/>
      </c>
      <c r="DJ128" s="43" t="str">
        <f t="shared" si="1543"/>
        <v/>
      </c>
      <c r="DK128" s="43" t="str">
        <f t="shared" si="1544"/>
        <v/>
      </c>
      <c r="DL128" s="43" t="str">
        <f t="shared" si="1545"/>
        <v/>
      </c>
      <c r="DM128" s="43" t="str">
        <f t="shared" si="1546"/>
        <v/>
      </c>
      <c r="DN128" s="43" t="str">
        <f t="shared" si="1547"/>
        <v/>
      </c>
      <c r="DO128" s="43" t="str">
        <f t="shared" si="1548"/>
        <v/>
      </c>
      <c r="DP128" s="43" t="str">
        <f t="shared" si="1549"/>
        <v/>
      </c>
      <c r="DQ128" s="43" t="str">
        <f t="shared" si="1550"/>
        <v/>
      </c>
      <c r="DR128" s="43" t="str">
        <f t="shared" si="1551"/>
        <v/>
      </c>
      <c r="DS128" s="43" t="str">
        <f t="shared" si="1552"/>
        <v/>
      </c>
      <c r="DT128" s="43" t="str">
        <f t="shared" si="1553"/>
        <v/>
      </c>
      <c r="DU128" s="43" t="str">
        <f t="shared" si="1554"/>
        <v/>
      </c>
      <c r="DV128" s="43" t="str">
        <f t="shared" si="1555"/>
        <v/>
      </c>
      <c r="DW128" s="43" t="str">
        <f t="shared" si="1556"/>
        <v/>
      </c>
      <c r="DX128" s="43" t="str">
        <f t="shared" si="1557"/>
        <v/>
      </c>
      <c r="DY128" s="43" t="str">
        <f t="shared" si="1558"/>
        <v/>
      </c>
      <c r="DZ128" s="43" t="str">
        <f t="shared" si="1559"/>
        <v/>
      </c>
      <c r="EA128" s="43" t="str">
        <f t="shared" si="1560"/>
        <v/>
      </c>
      <c r="EB128" s="43" t="str">
        <f t="shared" si="1561"/>
        <v/>
      </c>
      <c r="EC128" s="43" t="str">
        <f t="shared" si="1562"/>
        <v/>
      </c>
      <c r="ED128" s="43" t="str">
        <f t="shared" si="1563"/>
        <v/>
      </c>
      <c r="EE128" s="43" t="str">
        <f t="shared" si="1564"/>
        <v/>
      </c>
      <c r="EF128" s="43" t="str">
        <f t="shared" si="1565"/>
        <v/>
      </c>
      <c r="EG128" s="43" t="str">
        <f t="shared" si="1566"/>
        <v/>
      </c>
      <c r="EH128" s="43" t="str">
        <f t="shared" si="1567"/>
        <v/>
      </c>
      <c r="EI128" s="43" t="str">
        <f t="shared" si="1568"/>
        <v/>
      </c>
      <c r="EJ128" s="43" t="str">
        <f t="shared" si="1569"/>
        <v/>
      </c>
      <c r="EK128" s="43" t="str">
        <f t="shared" si="1570"/>
        <v/>
      </c>
      <c r="EL128" s="43" t="str">
        <f t="shared" si="1571"/>
        <v/>
      </c>
      <c r="EM128" s="43" t="str">
        <f t="shared" si="1572"/>
        <v/>
      </c>
      <c r="EN128" s="43" t="str">
        <f t="shared" si="1573"/>
        <v/>
      </c>
      <c r="EO128" s="43" t="str">
        <f t="shared" si="1574"/>
        <v/>
      </c>
      <c r="EP128" s="43" t="str">
        <f t="shared" si="1575"/>
        <v/>
      </c>
      <c r="EQ128" s="43" t="str">
        <f t="shared" si="1576"/>
        <v/>
      </c>
      <c r="ER128" s="43" t="str">
        <f t="shared" si="1577"/>
        <v/>
      </c>
      <c r="ES128" s="43" t="str">
        <f t="shared" si="1578"/>
        <v/>
      </c>
      <c r="ET128" s="43" t="str">
        <f t="shared" si="1579"/>
        <v/>
      </c>
      <c r="EU128" s="43" t="str">
        <f t="shared" si="1580"/>
        <v/>
      </c>
      <c r="EV128" s="43" t="str">
        <f t="shared" si="1581"/>
        <v/>
      </c>
      <c r="EW128" s="43" t="str">
        <f t="shared" si="1582"/>
        <v/>
      </c>
      <c r="EX128" s="43" t="str">
        <f t="shared" si="1583"/>
        <v/>
      </c>
      <c r="EY128" s="43" t="str">
        <f t="shared" si="1584"/>
        <v/>
      </c>
      <c r="EZ128" s="43" t="str">
        <f t="shared" si="1585"/>
        <v/>
      </c>
      <c r="FA128" s="43" t="str">
        <f t="shared" si="1586"/>
        <v/>
      </c>
      <c r="FB128" s="43" t="str">
        <f t="shared" si="1587"/>
        <v/>
      </c>
      <c r="FC128" s="43" t="str">
        <f t="shared" si="1588"/>
        <v/>
      </c>
      <c r="FD128" s="43" t="str">
        <f t="shared" si="1589"/>
        <v/>
      </c>
      <c r="FE128" s="43" t="str">
        <f t="shared" si="1590"/>
        <v/>
      </c>
      <c r="FF128" s="43" t="str">
        <f t="shared" si="1591"/>
        <v/>
      </c>
      <c r="FG128" s="43" t="str">
        <f t="shared" si="1592"/>
        <v/>
      </c>
      <c r="FH128" s="43" t="str">
        <f t="shared" si="1593"/>
        <v/>
      </c>
      <c r="FI128" s="43" t="str">
        <f t="shared" si="1594"/>
        <v/>
      </c>
      <c r="FJ128" s="43" t="str">
        <f t="shared" si="1595"/>
        <v/>
      </c>
      <c r="FK128" s="43" t="str">
        <f t="shared" si="1596"/>
        <v/>
      </c>
      <c r="FL128" s="43" t="str">
        <f t="shared" si="1597"/>
        <v/>
      </c>
      <c r="FM128" s="43" t="str">
        <f t="shared" si="1598"/>
        <v/>
      </c>
      <c r="FN128" s="43" t="str">
        <f t="shared" si="1599"/>
        <v/>
      </c>
      <c r="FO128" s="43" t="str">
        <f t="shared" si="1600"/>
        <v/>
      </c>
      <c r="FP128" s="43" t="str">
        <f t="shared" si="1601"/>
        <v/>
      </c>
      <c r="FQ128" s="43" t="str">
        <f t="shared" si="1602"/>
        <v/>
      </c>
      <c r="FR128" s="43" t="str">
        <f t="shared" si="1603"/>
        <v/>
      </c>
      <c r="FS128" s="43" t="str">
        <f t="shared" si="1604"/>
        <v/>
      </c>
    </row>
    <row r="129" ht="41.4" spans="1:175">
      <c r="A129" s="4"/>
      <c r="B129" s="4" t="s">
        <v>449</v>
      </c>
      <c r="C129" s="5" t="s">
        <v>450</v>
      </c>
      <c r="T129" s="84" t="s">
        <v>451</v>
      </c>
      <c r="U129" s="59" t="str">
        <f t="shared" si="1168"/>
        <v>ReplaceableTextures\\CommandButtons\\BTNIN03.blp</v>
      </c>
      <c r="CN129" s="12" t="str">
        <f t="shared" si="1678"/>
        <v>InitUnitState('IN03',,,,,,,,,,)</v>
      </c>
      <c r="CO129" s="12" t="str">
        <f t="shared" si="1679"/>
        <v>InitUnitNormal('IN03',,,,,,,,,,)</v>
      </c>
      <c r="CP129" s="12" t="str">
        <f t="shared" si="1680"/>
        <v>InitUnitMagic('IN03',,,,,,,,,,)</v>
      </c>
      <c r="CQ129" s="12" t="str">
        <f t="shared" si="1681"/>
        <v>InitUnitAdd('IN03',,,,,,,,,,)</v>
      </c>
      <c r="CR129" s="12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InitEquipData('IN03',,"",,,,,'','','','','','',"ReplaceableTextures\\CommandButtons\\BTNIN18.blp")</v>
      </c>
      <c r="CU129" s="71" t="str">
        <f t="shared" si="1533"/>
        <v>|n</v>
      </c>
      <c r="CV129" s="5" t="str">
        <f t="shared" si="1534"/>
        <v>为|Cffffd24d当前的E技能|r附魔随机效果。|n|n|Cff00ff7f替换技能后，附魔效果消失。|r</v>
      </c>
      <c r="CW129" s="6"/>
      <c r="CX129" s="6"/>
      <c r="CY129" s="6"/>
      <c r="CZ129" s="6"/>
      <c r="DA129" s="6"/>
      <c r="DB129" s="43" t="str">
        <f t="shared" si="1535"/>
        <v/>
      </c>
      <c r="DC129" s="43" t="str">
        <f t="shared" si="1536"/>
        <v/>
      </c>
      <c r="DD129" s="43" t="str">
        <f t="shared" si="1537"/>
        <v/>
      </c>
      <c r="DE129" s="43" t="str">
        <f t="shared" si="1538"/>
        <v/>
      </c>
      <c r="DF129" s="43" t="str">
        <f t="shared" si="1539"/>
        <v/>
      </c>
      <c r="DG129" s="43" t="str">
        <f t="shared" si="1540"/>
        <v/>
      </c>
      <c r="DH129" s="43" t="str">
        <f t="shared" si="1541"/>
        <v/>
      </c>
      <c r="DI129" s="43" t="str">
        <f t="shared" si="1542"/>
        <v/>
      </c>
      <c r="DJ129" s="43" t="str">
        <f t="shared" si="1543"/>
        <v/>
      </c>
      <c r="DK129" s="43" t="str">
        <f t="shared" si="1544"/>
        <v/>
      </c>
      <c r="DL129" s="43" t="str">
        <f t="shared" si="1545"/>
        <v/>
      </c>
      <c r="DM129" s="43" t="str">
        <f t="shared" si="1546"/>
        <v/>
      </c>
      <c r="DN129" s="43" t="str">
        <f t="shared" si="1547"/>
        <v/>
      </c>
      <c r="DO129" s="43" t="str">
        <f t="shared" si="1548"/>
        <v/>
      </c>
      <c r="DP129" s="43" t="str">
        <f t="shared" si="1549"/>
        <v/>
      </c>
      <c r="DQ129" s="43" t="str">
        <f t="shared" si="1550"/>
        <v/>
      </c>
      <c r="DR129" s="43" t="str">
        <f t="shared" si="1551"/>
        <v/>
      </c>
      <c r="DS129" s="43" t="str">
        <f t="shared" si="1552"/>
        <v/>
      </c>
      <c r="DT129" s="43" t="str">
        <f t="shared" si="1553"/>
        <v/>
      </c>
      <c r="DU129" s="43" t="str">
        <f t="shared" si="1554"/>
        <v/>
      </c>
      <c r="DV129" s="43" t="str">
        <f t="shared" si="1555"/>
        <v/>
      </c>
      <c r="DW129" s="43" t="str">
        <f t="shared" si="1556"/>
        <v/>
      </c>
      <c r="DX129" s="43" t="str">
        <f t="shared" si="1557"/>
        <v/>
      </c>
      <c r="DY129" s="43" t="str">
        <f t="shared" si="1558"/>
        <v/>
      </c>
      <c r="DZ129" s="43" t="str">
        <f t="shared" si="1559"/>
        <v/>
      </c>
      <c r="EA129" s="43" t="str">
        <f t="shared" si="1560"/>
        <v/>
      </c>
      <c r="EB129" s="43" t="str">
        <f t="shared" si="1561"/>
        <v/>
      </c>
      <c r="EC129" s="43" t="str">
        <f t="shared" si="1562"/>
        <v/>
      </c>
      <c r="ED129" s="43" t="str">
        <f t="shared" si="1563"/>
        <v/>
      </c>
      <c r="EE129" s="43" t="str">
        <f t="shared" si="1564"/>
        <v/>
      </c>
      <c r="EF129" s="43" t="str">
        <f t="shared" si="1565"/>
        <v/>
      </c>
      <c r="EG129" s="43" t="str">
        <f t="shared" si="1566"/>
        <v/>
      </c>
      <c r="EH129" s="43" t="str">
        <f t="shared" si="1567"/>
        <v/>
      </c>
      <c r="EI129" s="43" t="str">
        <f t="shared" si="1568"/>
        <v/>
      </c>
      <c r="EJ129" s="43" t="str">
        <f t="shared" si="1569"/>
        <v/>
      </c>
      <c r="EK129" s="43" t="str">
        <f t="shared" si="1570"/>
        <v/>
      </c>
      <c r="EL129" s="43" t="str">
        <f t="shared" si="1571"/>
        <v/>
      </c>
      <c r="EM129" s="43" t="str">
        <f t="shared" si="1572"/>
        <v/>
      </c>
      <c r="EN129" s="43" t="str">
        <f t="shared" si="1573"/>
        <v/>
      </c>
      <c r="EO129" s="43" t="str">
        <f t="shared" si="1574"/>
        <v/>
      </c>
      <c r="EP129" s="43" t="str">
        <f t="shared" si="1575"/>
        <v/>
      </c>
      <c r="EQ129" s="43" t="str">
        <f t="shared" si="1576"/>
        <v/>
      </c>
      <c r="ER129" s="43" t="str">
        <f t="shared" si="1577"/>
        <v/>
      </c>
      <c r="ES129" s="43" t="str">
        <f t="shared" si="1578"/>
        <v/>
      </c>
      <c r="ET129" s="43" t="str">
        <f t="shared" si="1579"/>
        <v/>
      </c>
      <c r="EU129" s="43" t="str">
        <f t="shared" si="1580"/>
        <v/>
      </c>
      <c r="EV129" s="43" t="str">
        <f t="shared" si="1581"/>
        <v/>
      </c>
      <c r="EW129" s="43" t="str">
        <f t="shared" si="1582"/>
        <v/>
      </c>
      <c r="EX129" s="43" t="str">
        <f t="shared" si="1583"/>
        <v/>
      </c>
      <c r="EY129" s="43" t="str">
        <f t="shared" si="1584"/>
        <v/>
      </c>
      <c r="EZ129" s="43" t="str">
        <f t="shared" si="1585"/>
        <v/>
      </c>
      <c r="FA129" s="43" t="str">
        <f t="shared" si="1586"/>
        <v/>
      </c>
      <c r="FB129" s="43" t="str">
        <f t="shared" si="1587"/>
        <v/>
      </c>
      <c r="FC129" s="43" t="str">
        <f t="shared" si="1588"/>
        <v/>
      </c>
      <c r="FD129" s="43" t="str">
        <f t="shared" si="1589"/>
        <v/>
      </c>
      <c r="FE129" s="43" t="str">
        <f t="shared" si="1590"/>
        <v/>
      </c>
      <c r="FF129" s="43" t="str">
        <f t="shared" si="1591"/>
        <v/>
      </c>
      <c r="FG129" s="43" t="str">
        <f t="shared" si="1592"/>
        <v/>
      </c>
      <c r="FH129" s="43" t="str">
        <f t="shared" si="1593"/>
        <v/>
      </c>
      <c r="FI129" s="43" t="str">
        <f t="shared" si="1594"/>
        <v/>
      </c>
      <c r="FJ129" s="43" t="str">
        <f t="shared" si="1595"/>
        <v/>
      </c>
      <c r="FK129" s="43" t="str">
        <f t="shared" si="1596"/>
        <v/>
      </c>
      <c r="FL129" s="43" t="str">
        <f t="shared" si="1597"/>
        <v/>
      </c>
      <c r="FM129" s="43" t="str">
        <f t="shared" si="1598"/>
        <v/>
      </c>
      <c r="FN129" s="43" t="str">
        <f t="shared" si="1599"/>
        <v/>
      </c>
      <c r="FO129" s="43" t="str">
        <f t="shared" si="1600"/>
        <v/>
      </c>
      <c r="FP129" s="43" t="str">
        <f t="shared" si="1601"/>
        <v/>
      </c>
      <c r="FQ129" s="43" t="str">
        <f t="shared" si="1602"/>
        <v/>
      </c>
      <c r="FR129" s="43" t="str">
        <f t="shared" si="1603"/>
        <v/>
      </c>
      <c r="FS129" s="43" t="str">
        <f t="shared" si="1604"/>
        <v/>
      </c>
    </row>
    <row r="130" ht="15" spans="1:175">
      <c r="A130" s="4"/>
      <c r="B130" s="4" t="s">
        <v>452</v>
      </c>
      <c r="C130" s="5" t="s">
        <v>453</v>
      </c>
      <c r="T130" s="5" t="s">
        <v>454</v>
      </c>
      <c r="U130" s="59" t="str">
        <f t="shared" si="1168"/>
        <v>ReplaceableTextures\\CommandButtons\\BTNIN04.blp</v>
      </c>
      <c r="CN130" s="12" t="str">
        <f t="shared" si="1678"/>
        <v>InitUnitState('IN04',,,,,,,,,,)</v>
      </c>
      <c r="CO130" s="12" t="str">
        <f t="shared" si="1679"/>
        <v>InitUnitNormal('IN04',,,,,,,,,,)</v>
      </c>
      <c r="CP130" s="12" t="str">
        <f t="shared" si="1680"/>
        <v>InitUnitMagic('IN04',,,,,,,,,,)</v>
      </c>
      <c r="CQ130" s="12" t="str">
        <f t="shared" si="1681"/>
        <v>InitUnitAdd('IN04',,,,,,,,,,)</v>
      </c>
      <c r="CR130" s="12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146&amp;CR$1&amp;")"</f>
        <v>InitEquipData('IN04',,"",,,,,'','','','','','',"ReplaceableTextures\\CommandButtons\\BTNIP01.blp")</v>
      </c>
      <c r="CU130" s="71" t="str">
        <f t="shared" si="1533"/>
        <v>|n</v>
      </c>
      <c r="CV130" s="5" t="str">
        <f t="shared" si="1534"/>
        <v>秒杀|Cffffc926雷神化身|n|n|r|Cff00ff7f雷神化身：|n|r渡劫NPC-九重锻神劫Boss</v>
      </c>
      <c r="CW130" s="6"/>
      <c r="CX130" s="6"/>
      <c r="CY130" s="6"/>
      <c r="CZ130" s="6"/>
      <c r="DA130" s="6"/>
      <c r="DB130" s="43" t="str">
        <f t="shared" si="1535"/>
        <v/>
      </c>
      <c r="DC130" s="43" t="str">
        <f t="shared" si="1536"/>
        <v/>
      </c>
      <c r="DD130" s="43" t="str">
        <f t="shared" si="1537"/>
        <v/>
      </c>
      <c r="DE130" s="43" t="str">
        <f t="shared" si="1538"/>
        <v/>
      </c>
      <c r="DF130" s="43" t="str">
        <f t="shared" si="1539"/>
        <v/>
      </c>
      <c r="DG130" s="43" t="str">
        <f t="shared" si="1540"/>
        <v/>
      </c>
      <c r="DH130" s="43" t="str">
        <f t="shared" si="1541"/>
        <v/>
      </c>
      <c r="DI130" s="43" t="str">
        <f t="shared" si="1542"/>
        <v/>
      </c>
      <c r="DJ130" s="43" t="str">
        <f t="shared" si="1543"/>
        <v/>
      </c>
      <c r="DK130" s="43" t="str">
        <f t="shared" si="1544"/>
        <v/>
      </c>
      <c r="DL130" s="43" t="str">
        <f t="shared" si="1545"/>
        <v/>
      </c>
      <c r="DM130" s="43" t="str">
        <f t="shared" si="1546"/>
        <v/>
      </c>
      <c r="DN130" s="43" t="str">
        <f t="shared" si="1547"/>
        <v/>
      </c>
      <c r="DO130" s="43" t="str">
        <f t="shared" si="1548"/>
        <v/>
      </c>
      <c r="DP130" s="43" t="str">
        <f t="shared" si="1549"/>
        <v/>
      </c>
      <c r="DQ130" s="43" t="str">
        <f t="shared" si="1550"/>
        <v/>
      </c>
      <c r="DR130" s="43" t="str">
        <f t="shared" si="1551"/>
        <v/>
      </c>
      <c r="DS130" s="43" t="str">
        <f t="shared" si="1552"/>
        <v/>
      </c>
      <c r="DT130" s="43" t="str">
        <f t="shared" si="1553"/>
        <v/>
      </c>
      <c r="DU130" s="43" t="str">
        <f t="shared" si="1554"/>
        <v/>
      </c>
      <c r="DV130" s="43" t="str">
        <f t="shared" si="1555"/>
        <v/>
      </c>
      <c r="DW130" s="43" t="str">
        <f t="shared" si="1556"/>
        <v/>
      </c>
      <c r="DX130" s="43" t="str">
        <f t="shared" si="1557"/>
        <v/>
      </c>
      <c r="DY130" s="43" t="str">
        <f t="shared" si="1558"/>
        <v/>
      </c>
      <c r="DZ130" s="43" t="str">
        <f t="shared" si="1559"/>
        <v/>
      </c>
      <c r="EA130" s="43" t="str">
        <f t="shared" si="1560"/>
        <v/>
      </c>
      <c r="EB130" s="43" t="str">
        <f t="shared" si="1561"/>
        <v/>
      </c>
      <c r="EC130" s="43" t="str">
        <f t="shared" si="1562"/>
        <v/>
      </c>
      <c r="ED130" s="43" t="str">
        <f t="shared" si="1563"/>
        <v/>
      </c>
      <c r="EE130" s="43" t="str">
        <f t="shared" si="1564"/>
        <v/>
      </c>
      <c r="EF130" s="43" t="str">
        <f t="shared" si="1565"/>
        <v/>
      </c>
      <c r="EG130" s="43" t="str">
        <f t="shared" si="1566"/>
        <v/>
      </c>
      <c r="EH130" s="43" t="str">
        <f t="shared" si="1567"/>
        <v/>
      </c>
      <c r="EI130" s="43" t="str">
        <f t="shared" si="1568"/>
        <v/>
      </c>
      <c r="EJ130" s="43" t="str">
        <f t="shared" si="1569"/>
        <v/>
      </c>
      <c r="EK130" s="43" t="str">
        <f t="shared" si="1570"/>
        <v/>
      </c>
      <c r="EL130" s="43" t="str">
        <f t="shared" si="1571"/>
        <v/>
      </c>
      <c r="EM130" s="43" t="str">
        <f t="shared" si="1572"/>
        <v/>
      </c>
      <c r="EN130" s="43" t="str">
        <f t="shared" si="1573"/>
        <v/>
      </c>
      <c r="EO130" s="43" t="str">
        <f t="shared" si="1574"/>
        <v/>
      </c>
      <c r="EP130" s="43" t="str">
        <f t="shared" si="1575"/>
        <v/>
      </c>
      <c r="EQ130" s="43" t="str">
        <f t="shared" si="1576"/>
        <v/>
      </c>
      <c r="ER130" s="43" t="str">
        <f t="shared" si="1577"/>
        <v/>
      </c>
      <c r="ES130" s="43" t="str">
        <f t="shared" si="1578"/>
        <v/>
      </c>
      <c r="ET130" s="43" t="str">
        <f t="shared" si="1579"/>
        <v/>
      </c>
      <c r="EU130" s="43" t="str">
        <f t="shared" si="1580"/>
        <v/>
      </c>
      <c r="EV130" s="43" t="str">
        <f t="shared" si="1581"/>
        <v/>
      </c>
      <c r="EW130" s="43" t="str">
        <f t="shared" si="1582"/>
        <v/>
      </c>
      <c r="EX130" s="43" t="str">
        <f t="shared" si="1583"/>
        <v/>
      </c>
      <c r="EY130" s="43" t="str">
        <f t="shared" si="1584"/>
        <v/>
      </c>
      <c r="EZ130" s="43" t="str">
        <f t="shared" si="1585"/>
        <v/>
      </c>
      <c r="FA130" s="43" t="str">
        <f t="shared" si="1586"/>
        <v/>
      </c>
      <c r="FB130" s="43" t="str">
        <f t="shared" si="1587"/>
        <v/>
      </c>
      <c r="FC130" s="43" t="str">
        <f t="shared" si="1588"/>
        <v/>
      </c>
      <c r="FD130" s="43" t="str">
        <f t="shared" si="1589"/>
        <v/>
      </c>
      <c r="FE130" s="43" t="str">
        <f t="shared" si="1590"/>
        <v/>
      </c>
      <c r="FF130" s="43" t="str">
        <f t="shared" si="1591"/>
        <v/>
      </c>
      <c r="FG130" s="43" t="str">
        <f t="shared" si="1592"/>
        <v/>
      </c>
      <c r="FH130" s="43" t="str">
        <f t="shared" si="1593"/>
        <v/>
      </c>
      <c r="FI130" s="43" t="str">
        <f t="shared" si="1594"/>
        <v/>
      </c>
      <c r="FJ130" s="43" t="str">
        <f t="shared" si="1595"/>
        <v/>
      </c>
      <c r="FK130" s="43" t="str">
        <f t="shared" si="1596"/>
        <v/>
      </c>
      <c r="FL130" s="43" t="str">
        <f t="shared" si="1597"/>
        <v/>
      </c>
      <c r="FM130" s="43" t="str">
        <f t="shared" si="1598"/>
        <v/>
      </c>
      <c r="FN130" s="43" t="str">
        <f t="shared" si="1599"/>
        <v/>
      </c>
      <c r="FO130" s="43" t="str">
        <f t="shared" si="1600"/>
        <v/>
      </c>
      <c r="FP130" s="43" t="str">
        <f t="shared" si="1601"/>
        <v/>
      </c>
      <c r="FQ130" s="43" t="str">
        <f t="shared" si="1602"/>
        <v/>
      </c>
      <c r="FR130" s="43" t="str">
        <f t="shared" si="1603"/>
        <v/>
      </c>
      <c r="FS130" s="43" t="str">
        <f t="shared" si="1604"/>
        <v/>
      </c>
    </row>
    <row r="131" ht="15" spans="1:175">
      <c r="A131" s="4"/>
      <c r="B131" s="4" t="s">
        <v>455</v>
      </c>
      <c r="C131" s="5" t="s">
        <v>456</v>
      </c>
      <c r="T131" s="5" t="s">
        <v>457</v>
      </c>
      <c r="U131" s="59" t="str">
        <f t="shared" si="1168"/>
        <v>ReplaceableTextures\\CommandButtons\\BTNIN05.blp</v>
      </c>
      <c r="CN131" s="12" t="str">
        <f t="shared" si="1678"/>
        <v>InitUnitState('IN05',,,,,,,,,,)</v>
      </c>
      <c r="CO131" s="12" t="str">
        <f t="shared" si="1679"/>
        <v>InitUnitNormal('IN05',,,,,,,,,,)</v>
      </c>
      <c r="CP131" s="12" t="str">
        <f t="shared" si="1680"/>
        <v>InitUnitMagic('IN05',,,,,,,,,,)</v>
      </c>
      <c r="CQ131" s="12" t="str">
        <f t="shared" si="1681"/>
        <v>InitUnitAdd('IN05',,,,,,,,,,)</v>
      </c>
      <c r="CR131" s="12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InitEquipData('IN05',,"",,,,,'','','','','','',"ReplaceableTextures\\CommandButtons\\BTNIP02.blp")</v>
      </c>
      <c r="CU131" s="71" t="str">
        <f t="shared" si="1533"/>
        <v>|n</v>
      </c>
      <c r="CV131" s="5" t="str">
        <f t="shared" si="1534"/>
        <v>秒杀|Cffffc926灾厄|n|n|r|Cff00ff7f灾厄：|n|r渡劫NPC-灭魄血煞劫Boss</v>
      </c>
      <c r="CW131" s="6"/>
      <c r="CX131" s="6"/>
      <c r="CY131" s="6"/>
      <c r="CZ131" s="6"/>
      <c r="DA131" s="6"/>
      <c r="DB131" s="43" t="str">
        <f t="shared" si="1535"/>
        <v/>
      </c>
      <c r="DC131" s="43" t="str">
        <f t="shared" si="1536"/>
        <v/>
      </c>
      <c r="DD131" s="43" t="str">
        <f t="shared" si="1537"/>
        <v/>
      </c>
      <c r="DE131" s="43" t="str">
        <f t="shared" si="1538"/>
        <v/>
      </c>
      <c r="DF131" s="43" t="str">
        <f t="shared" si="1539"/>
        <v/>
      </c>
      <c r="DG131" s="43" t="str">
        <f t="shared" si="1540"/>
        <v/>
      </c>
      <c r="DH131" s="43" t="str">
        <f t="shared" si="1541"/>
        <v/>
      </c>
      <c r="DI131" s="43" t="str">
        <f t="shared" si="1542"/>
        <v/>
      </c>
      <c r="DJ131" s="43" t="str">
        <f t="shared" si="1543"/>
        <v/>
      </c>
      <c r="DK131" s="43" t="str">
        <f t="shared" si="1544"/>
        <v/>
      </c>
      <c r="DL131" s="43" t="str">
        <f t="shared" si="1545"/>
        <v/>
      </c>
      <c r="DM131" s="43" t="str">
        <f t="shared" si="1546"/>
        <v/>
      </c>
      <c r="DN131" s="43" t="str">
        <f t="shared" si="1547"/>
        <v/>
      </c>
      <c r="DO131" s="43" t="str">
        <f t="shared" si="1548"/>
        <v/>
      </c>
      <c r="DP131" s="43" t="str">
        <f t="shared" si="1549"/>
        <v/>
      </c>
      <c r="DQ131" s="43" t="str">
        <f t="shared" si="1550"/>
        <v/>
      </c>
      <c r="DR131" s="43" t="str">
        <f t="shared" si="1551"/>
        <v/>
      </c>
      <c r="DS131" s="43" t="str">
        <f t="shared" si="1552"/>
        <v/>
      </c>
      <c r="DT131" s="43" t="str">
        <f t="shared" si="1553"/>
        <v/>
      </c>
      <c r="DU131" s="43" t="str">
        <f t="shared" si="1554"/>
        <v/>
      </c>
      <c r="DV131" s="43" t="str">
        <f t="shared" si="1555"/>
        <v/>
      </c>
      <c r="DW131" s="43" t="str">
        <f t="shared" si="1556"/>
        <v/>
      </c>
      <c r="DX131" s="43" t="str">
        <f t="shared" si="1557"/>
        <v/>
      </c>
      <c r="DY131" s="43" t="str">
        <f t="shared" si="1558"/>
        <v/>
      </c>
      <c r="DZ131" s="43" t="str">
        <f t="shared" si="1559"/>
        <v/>
      </c>
      <c r="EA131" s="43" t="str">
        <f t="shared" si="1560"/>
        <v/>
      </c>
      <c r="EB131" s="43" t="str">
        <f t="shared" si="1561"/>
        <v/>
      </c>
      <c r="EC131" s="43" t="str">
        <f t="shared" si="1562"/>
        <v/>
      </c>
      <c r="ED131" s="43" t="str">
        <f t="shared" si="1563"/>
        <v/>
      </c>
      <c r="EE131" s="43" t="str">
        <f t="shared" si="1564"/>
        <v/>
      </c>
      <c r="EF131" s="43" t="str">
        <f t="shared" si="1565"/>
        <v/>
      </c>
      <c r="EG131" s="43" t="str">
        <f t="shared" si="1566"/>
        <v/>
      </c>
      <c r="EH131" s="43" t="str">
        <f t="shared" si="1567"/>
        <v/>
      </c>
      <c r="EI131" s="43" t="str">
        <f t="shared" si="1568"/>
        <v/>
      </c>
      <c r="EJ131" s="43" t="str">
        <f t="shared" si="1569"/>
        <v/>
      </c>
      <c r="EK131" s="43" t="str">
        <f t="shared" si="1570"/>
        <v/>
      </c>
      <c r="EL131" s="43" t="str">
        <f t="shared" si="1571"/>
        <v/>
      </c>
      <c r="EM131" s="43" t="str">
        <f t="shared" si="1572"/>
        <v/>
      </c>
      <c r="EN131" s="43" t="str">
        <f t="shared" si="1573"/>
        <v/>
      </c>
      <c r="EO131" s="43" t="str">
        <f t="shared" si="1574"/>
        <v/>
      </c>
      <c r="EP131" s="43" t="str">
        <f t="shared" si="1575"/>
        <v/>
      </c>
      <c r="EQ131" s="43" t="str">
        <f t="shared" si="1576"/>
        <v/>
      </c>
      <c r="ER131" s="43" t="str">
        <f t="shared" si="1577"/>
        <v/>
      </c>
      <c r="ES131" s="43" t="str">
        <f t="shared" si="1578"/>
        <v/>
      </c>
      <c r="ET131" s="43" t="str">
        <f t="shared" si="1579"/>
        <v/>
      </c>
      <c r="EU131" s="43" t="str">
        <f t="shared" si="1580"/>
        <v/>
      </c>
      <c r="EV131" s="43" t="str">
        <f t="shared" si="1581"/>
        <v/>
      </c>
      <c r="EW131" s="43" t="str">
        <f t="shared" si="1582"/>
        <v/>
      </c>
      <c r="EX131" s="43" t="str">
        <f t="shared" si="1583"/>
        <v/>
      </c>
      <c r="EY131" s="43" t="str">
        <f t="shared" si="1584"/>
        <v/>
      </c>
      <c r="EZ131" s="43" t="str">
        <f t="shared" si="1585"/>
        <v/>
      </c>
      <c r="FA131" s="43" t="str">
        <f t="shared" si="1586"/>
        <v/>
      </c>
      <c r="FB131" s="43" t="str">
        <f t="shared" si="1587"/>
        <v/>
      </c>
      <c r="FC131" s="43" t="str">
        <f t="shared" si="1588"/>
        <v/>
      </c>
      <c r="FD131" s="43" t="str">
        <f t="shared" si="1589"/>
        <v/>
      </c>
      <c r="FE131" s="43" t="str">
        <f t="shared" si="1590"/>
        <v/>
      </c>
      <c r="FF131" s="43" t="str">
        <f t="shared" si="1591"/>
        <v/>
      </c>
      <c r="FG131" s="43" t="str">
        <f t="shared" si="1592"/>
        <v/>
      </c>
      <c r="FH131" s="43" t="str">
        <f t="shared" si="1593"/>
        <v/>
      </c>
      <c r="FI131" s="43" t="str">
        <f t="shared" si="1594"/>
        <v/>
      </c>
      <c r="FJ131" s="43" t="str">
        <f t="shared" si="1595"/>
        <v/>
      </c>
      <c r="FK131" s="43" t="str">
        <f t="shared" si="1596"/>
        <v/>
      </c>
      <c r="FL131" s="43" t="str">
        <f t="shared" si="1597"/>
        <v/>
      </c>
      <c r="FM131" s="43" t="str">
        <f t="shared" si="1598"/>
        <v/>
      </c>
      <c r="FN131" s="43" t="str">
        <f t="shared" si="1599"/>
        <v/>
      </c>
      <c r="FO131" s="43" t="str">
        <f t="shared" si="1600"/>
        <v/>
      </c>
      <c r="FP131" s="43" t="str">
        <f t="shared" si="1601"/>
        <v/>
      </c>
      <c r="FQ131" s="43" t="str">
        <f t="shared" si="1602"/>
        <v/>
      </c>
      <c r="FR131" s="43" t="str">
        <f t="shared" si="1603"/>
        <v/>
      </c>
      <c r="FS131" s="43" t="str">
        <f t="shared" si="1604"/>
        <v/>
      </c>
    </row>
    <row r="132" ht="15" spans="1:175">
      <c r="A132" s="4"/>
      <c r="B132" s="4" t="s">
        <v>458</v>
      </c>
      <c r="C132" s="5" t="s">
        <v>459</v>
      </c>
      <c r="T132" s="5" t="s">
        <v>460</v>
      </c>
      <c r="U132" s="59" t="str">
        <f t="shared" si="1168"/>
        <v>ReplaceableTextures\\CommandButtons\\BTNIN06.blp</v>
      </c>
      <c r="CN132" s="12" t="str">
        <f t="shared" si="1678"/>
        <v>InitUnitState('IN06',,,,,,,,,,)</v>
      </c>
      <c r="CO132" s="12" t="str">
        <f t="shared" si="1679"/>
        <v>InitUnitNormal('IN06',,,,,,,,,,)</v>
      </c>
      <c r="CP132" s="12" t="str">
        <f t="shared" si="1680"/>
        <v>InitUnitMagic('IN06',,,,,,,,,,)</v>
      </c>
      <c r="CQ132" s="12" t="str">
        <f t="shared" si="1681"/>
        <v>InitUnitAdd('IN06',,,,,,,,,,)</v>
      </c>
      <c r="CR132" s="12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InitEquipData('IN06',,"",,,,,'','','','','','',"ReplaceableTextures\\CommandButtons\\BTNIP03.blp")</v>
      </c>
      <c r="CU132" s="71" t="str">
        <f t="shared" si="1533"/>
        <v>|n</v>
      </c>
      <c r="CV132" s="5" t="str">
        <f t="shared" si="1534"/>
        <v>秒杀|Cffffc926芥子魔|n|n|r|Cff00ff7f芥子魔：|n|r渡劫NPC-入微洞虚劫Boss</v>
      </c>
      <c r="CW132" s="6"/>
      <c r="CX132" s="6"/>
      <c r="CY132" s="6"/>
      <c r="CZ132" s="6"/>
      <c r="DA132" s="6"/>
      <c r="DB132" s="43" t="str">
        <f t="shared" si="1535"/>
        <v/>
      </c>
      <c r="DC132" s="43" t="str">
        <f t="shared" si="1536"/>
        <v/>
      </c>
      <c r="DD132" s="43" t="str">
        <f t="shared" si="1537"/>
        <v/>
      </c>
      <c r="DE132" s="43" t="str">
        <f t="shared" si="1538"/>
        <v/>
      </c>
      <c r="DF132" s="43" t="str">
        <f t="shared" si="1539"/>
        <v/>
      </c>
      <c r="DG132" s="43" t="str">
        <f t="shared" si="1540"/>
        <v/>
      </c>
      <c r="DH132" s="43" t="str">
        <f t="shared" si="1541"/>
        <v/>
      </c>
      <c r="DI132" s="43" t="str">
        <f t="shared" si="1542"/>
        <v/>
      </c>
      <c r="DJ132" s="43" t="str">
        <f t="shared" si="1543"/>
        <v/>
      </c>
      <c r="DK132" s="43" t="str">
        <f t="shared" si="1544"/>
        <v/>
      </c>
      <c r="DL132" s="43" t="str">
        <f t="shared" si="1545"/>
        <v/>
      </c>
      <c r="DM132" s="43" t="str">
        <f t="shared" si="1546"/>
        <v/>
      </c>
      <c r="DN132" s="43" t="str">
        <f t="shared" si="1547"/>
        <v/>
      </c>
      <c r="DO132" s="43" t="str">
        <f t="shared" si="1548"/>
        <v/>
      </c>
      <c r="DP132" s="43" t="str">
        <f t="shared" si="1549"/>
        <v/>
      </c>
      <c r="DQ132" s="43" t="str">
        <f t="shared" si="1550"/>
        <v/>
      </c>
      <c r="DR132" s="43" t="str">
        <f t="shared" si="1551"/>
        <v/>
      </c>
      <c r="DS132" s="43" t="str">
        <f t="shared" si="1552"/>
        <v/>
      </c>
      <c r="DT132" s="43" t="str">
        <f t="shared" si="1553"/>
        <v/>
      </c>
      <c r="DU132" s="43" t="str">
        <f t="shared" si="1554"/>
        <v/>
      </c>
      <c r="DV132" s="43" t="str">
        <f t="shared" si="1555"/>
        <v/>
      </c>
      <c r="DW132" s="43" t="str">
        <f t="shared" si="1556"/>
        <v/>
      </c>
      <c r="DX132" s="43" t="str">
        <f t="shared" si="1557"/>
        <v/>
      </c>
      <c r="DY132" s="43" t="str">
        <f t="shared" si="1558"/>
        <v/>
      </c>
      <c r="DZ132" s="43" t="str">
        <f t="shared" si="1559"/>
        <v/>
      </c>
      <c r="EA132" s="43" t="str">
        <f t="shared" si="1560"/>
        <v/>
      </c>
      <c r="EB132" s="43" t="str">
        <f t="shared" si="1561"/>
        <v/>
      </c>
      <c r="EC132" s="43" t="str">
        <f t="shared" si="1562"/>
        <v/>
      </c>
      <c r="ED132" s="43" t="str">
        <f t="shared" si="1563"/>
        <v/>
      </c>
      <c r="EE132" s="43" t="str">
        <f t="shared" si="1564"/>
        <v/>
      </c>
      <c r="EF132" s="43" t="str">
        <f t="shared" si="1565"/>
        <v/>
      </c>
      <c r="EG132" s="43" t="str">
        <f t="shared" si="1566"/>
        <v/>
      </c>
      <c r="EH132" s="43" t="str">
        <f t="shared" si="1567"/>
        <v/>
      </c>
      <c r="EI132" s="43" t="str">
        <f t="shared" si="1568"/>
        <v/>
      </c>
      <c r="EJ132" s="43" t="str">
        <f t="shared" si="1569"/>
        <v/>
      </c>
      <c r="EK132" s="43" t="str">
        <f t="shared" si="1570"/>
        <v/>
      </c>
      <c r="EL132" s="43" t="str">
        <f t="shared" si="1571"/>
        <v/>
      </c>
      <c r="EM132" s="43" t="str">
        <f t="shared" si="1572"/>
        <v/>
      </c>
      <c r="EN132" s="43" t="str">
        <f t="shared" si="1573"/>
        <v/>
      </c>
      <c r="EO132" s="43" t="str">
        <f t="shared" si="1574"/>
        <v/>
      </c>
      <c r="EP132" s="43" t="str">
        <f t="shared" si="1575"/>
        <v/>
      </c>
      <c r="EQ132" s="43" t="str">
        <f t="shared" si="1576"/>
        <v/>
      </c>
      <c r="ER132" s="43" t="str">
        <f t="shared" si="1577"/>
        <v/>
      </c>
      <c r="ES132" s="43" t="str">
        <f t="shared" si="1578"/>
        <v/>
      </c>
      <c r="ET132" s="43" t="str">
        <f t="shared" si="1579"/>
        <v/>
      </c>
      <c r="EU132" s="43" t="str">
        <f t="shared" si="1580"/>
        <v/>
      </c>
      <c r="EV132" s="43" t="str">
        <f t="shared" si="1581"/>
        <v/>
      </c>
      <c r="EW132" s="43" t="str">
        <f t="shared" si="1582"/>
        <v/>
      </c>
      <c r="EX132" s="43" t="str">
        <f t="shared" si="1583"/>
        <v/>
      </c>
      <c r="EY132" s="43" t="str">
        <f t="shared" si="1584"/>
        <v/>
      </c>
      <c r="EZ132" s="43" t="str">
        <f t="shared" si="1585"/>
        <v/>
      </c>
      <c r="FA132" s="43" t="str">
        <f t="shared" si="1586"/>
        <v/>
      </c>
      <c r="FB132" s="43" t="str">
        <f t="shared" si="1587"/>
        <v/>
      </c>
      <c r="FC132" s="43" t="str">
        <f t="shared" si="1588"/>
        <v/>
      </c>
      <c r="FD132" s="43" t="str">
        <f t="shared" si="1589"/>
        <v/>
      </c>
      <c r="FE132" s="43" t="str">
        <f t="shared" si="1590"/>
        <v/>
      </c>
      <c r="FF132" s="43" t="str">
        <f t="shared" si="1591"/>
        <v/>
      </c>
      <c r="FG132" s="43" t="str">
        <f t="shared" si="1592"/>
        <v/>
      </c>
      <c r="FH132" s="43" t="str">
        <f t="shared" si="1593"/>
        <v/>
      </c>
      <c r="FI132" s="43" t="str">
        <f t="shared" si="1594"/>
        <v/>
      </c>
      <c r="FJ132" s="43" t="str">
        <f t="shared" si="1595"/>
        <v/>
      </c>
      <c r="FK132" s="43" t="str">
        <f t="shared" si="1596"/>
        <v/>
      </c>
      <c r="FL132" s="43" t="str">
        <f t="shared" si="1597"/>
        <v/>
      </c>
      <c r="FM132" s="43" t="str">
        <f t="shared" si="1598"/>
        <v/>
      </c>
      <c r="FN132" s="43" t="str">
        <f t="shared" si="1599"/>
        <v/>
      </c>
      <c r="FO132" s="43" t="str">
        <f t="shared" si="1600"/>
        <v/>
      </c>
      <c r="FP132" s="43" t="str">
        <f t="shared" si="1601"/>
        <v/>
      </c>
      <c r="FQ132" s="43" t="str">
        <f t="shared" si="1602"/>
        <v/>
      </c>
      <c r="FR132" s="43" t="str">
        <f t="shared" si="1603"/>
        <v/>
      </c>
      <c r="FS132" s="43" t="str">
        <f t="shared" si="1604"/>
        <v/>
      </c>
    </row>
    <row r="133" ht="15" spans="1:175">
      <c r="A133" s="4"/>
      <c r="B133" s="4" t="s">
        <v>461</v>
      </c>
      <c r="C133" s="5" t="s">
        <v>462</v>
      </c>
      <c r="T133" s="5" t="s">
        <v>463</v>
      </c>
      <c r="U133" s="59" t="str">
        <f t="shared" si="1168"/>
        <v>ReplaceableTextures\\CommandButtons\\BTNIN07.blp</v>
      </c>
      <c r="CN133" s="12" t="str">
        <f t="shared" si="1678"/>
        <v>InitUnitState('IN07',,,,,,,,,,)</v>
      </c>
      <c r="CO133" s="12" t="str">
        <f t="shared" si="1679"/>
        <v>InitUnitNormal('IN07',,,,,,,,,,)</v>
      </c>
      <c r="CP133" s="12" t="str">
        <f t="shared" si="1680"/>
        <v>InitUnitMagic('IN07',,,,,,,,,,)</v>
      </c>
      <c r="CQ133" s="12" t="str">
        <f t="shared" si="1681"/>
        <v>InitUnitAdd('IN07',,,,,,,,,,)</v>
      </c>
      <c r="CR133" s="12" t="str">
        <f t="shared" ref="CR133:CR145" si="1899"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151&amp;CR$1&amp;")"</f>
        <v>InitEquipData('IN07',,"",,,,,'','','','','','',"ReplaceableTextures\\CommandButtons\\BTNIT01.blp")</v>
      </c>
      <c r="CU133" s="71" t="str">
        <f t="shared" ref="CU133:CU138" si="1900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5" t="str">
        <f t="shared" ref="CV133:CV138" si="1901">T133</f>
        <v>每秒回复|Cffffc92630%|r生命值，持续|Cffffc9266|r秒</v>
      </c>
      <c r="CW133" s="6"/>
      <c r="CX133" s="6"/>
      <c r="CY133" s="6"/>
      <c r="CZ133" s="6"/>
      <c r="DA133" s="6"/>
      <c r="DB133" s="43" t="str">
        <f t="shared" ref="DB133:DB138" si="1902">IF(V133="","","|n"&amp;DB$2&amp;"+"&amp;V133&amp;DB$1)</f>
        <v/>
      </c>
      <c r="DC133" s="43" t="str">
        <f t="shared" ref="DC133:DC138" si="1903">IF(W133="","","|n"&amp;DC$2&amp;"+"&amp;W133&amp;DC$1)</f>
        <v/>
      </c>
      <c r="DD133" s="43" t="str">
        <f t="shared" ref="DD133:DD138" si="1904">IF(X133="","","|n"&amp;DD$2&amp;"+"&amp;X133&amp;DD$1)</f>
        <v/>
      </c>
      <c r="DE133" s="43" t="str">
        <f t="shared" ref="DE133:DE138" si="1905">IF(Y133="","","|n"&amp;DE$2&amp;"+"&amp;Y133&amp;DE$1)</f>
        <v/>
      </c>
      <c r="DF133" s="43" t="str">
        <f t="shared" ref="DF133:DF138" si="1906">IF(Z133="","","|n"&amp;DF$2&amp;"+"&amp;Z133&amp;DF$1)</f>
        <v/>
      </c>
      <c r="DG133" s="43" t="str">
        <f t="shared" ref="DG133:DG138" si="1907">IF(AA133="","","|n"&amp;DG$2&amp;"+"&amp;AA133&amp;DG$1)</f>
        <v/>
      </c>
      <c r="DH133" s="43" t="str">
        <f t="shared" ref="DH133:DH138" si="1908">IF(AB133="","","|n"&amp;DH$2&amp;"+"&amp;AB133&amp;DH$1)</f>
        <v/>
      </c>
      <c r="DI133" s="43" t="str">
        <f t="shared" ref="DI133:DI138" si="1909">IF(AC133="","","|n"&amp;DI$2&amp;"+"&amp;AC133&amp;DI$1)</f>
        <v/>
      </c>
      <c r="DJ133" s="43" t="str">
        <f t="shared" ref="DJ133:DJ138" si="1910">IF(AD133="","","|n"&amp;DJ$2&amp;"+"&amp;AD133&amp;DJ$1)</f>
        <v/>
      </c>
      <c r="DK133" s="43" t="str">
        <f t="shared" ref="DK133:DK138" si="1911">IF(AE133="","","|n"&amp;DK$2&amp;"+"&amp;AE133&amp;DK$1)</f>
        <v/>
      </c>
      <c r="DL133" s="43" t="str">
        <f t="shared" ref="DL133:DL138" si="1912">IF(AF133="","","|n"&amp;DL$2&amp;"+"&amp;AF133&amp;DL$1)</f>
        <v/>
      </c>
      <c r="DM133" s="43" t="str">
        <f t="shared" ref="DM133:DM138" si="1913">IF(AG133="","","|n"&amp;DM$2&amp;"+"&amp;AG133&amp;DM$1)</f>
        <v/>
      </c>
      <c r="DN133" s="43" t="str">
        <f t="shared" ref="DN133:DN138" si="1914">IF(AH133="","","|n"&amp;DN$2&amp;"+"&amp;AH133&amp;DN$1)</f>
        <v/>
      </c>
      <c r="DO133" s="43" t="str">
        <f t="shared" ref="DO133:DO138" si="1915">IF(AI133="","","|n"&amp;DO$2&amp;"+"&amp;AI133&amp;DO$1)</f>
        <v/>
      </c>
      <c r="DP133" s="43" t="str">
        <f t="shared" ref="DP133:DP138" si="1916">IF(AJ133="","","|n"&amp;DP$2&amp;"+"&amp;AJ133&amp;DP$1)</f>
        <v/>
      </c>
      <c r="DQ133" s="43" t="str">
        <f t="shared" ref="DQ133:DQ138" si="1917">IF(AK133="","","|n"&amp;DQ$2&amp;"+"&amp;AK133&amp;DQ$1)</f>
        <v/>
      </c>
      <c r="DR133" s="43" t="str">
        <f t="shared" ref="DR133:DR138" si="1918">IF(AL133="","","|n"&amp;DR$2&amp;"+"&amp;AL133&amp;DR$1)</f>
        <v/>
      </c>
      <c r="DS133" s="43" t="str">
        <f t="shared" ref="DS133:DS138" si="1919">IF(AM133="","","|n"&amp;DS$2&amp;"+"&amp;AM133&amp;DS$1)</f>
        <v/>
      </c>
      <c r="DT133" s="43" t="str">
        <f t="shared" ref="DT133:DT138" si="1920">IF(AN133="","","|n"&amp;DT$2&amp;"+"&amp;AN133&amp;DT$1)</f>
        <v/>
      </c>
      <c r="DU133" s="43" t="str">
        <f t="shared" ref="DU133:DU138" si="1921">IF(AO133="","","|n"&amp;DU$2&amp;"+"&amp;AO133&amp;DU$1)</f>
        <v/>
      </c>
      <c r="DV133" s="43" t="str">
        <f t="shared" ref="DV133:DV138" si="1922">IF(AP133="","","|n"&amp;DV$2&amp;"+"&amp;AP133&amp;DV$1)</f>
        <v/>
      </c>
      <c r="DW133" s="43" t="str">
        <f t="shared" ref="DW133:DW138" si="1923">IF(AQ133="","","|n"&amp;DW$2&amp;"+"&amp;AQ133&amp;DW$1)</f>
        <v/>
      </c>
      <c r="DX133" s="43" t="str">
        <f t="shared" ref="DX133:DX138" si="1924">IF(AR133="","","|n"&amp;DX$2&amp;"+"&amp;AR133&amp;DX$1)</f>
        <v/>
      </c>
      <c r="DY133" s="43" t="str">
        <f t="shared" ref="DY133:DY138" si="1925">IF(AS133="","","|n"&amp;DY$2&amp;"+"&amp;AS133&amp;DY$1)</f>
        <v/>
      </c>
      <c r="DZ133" s="43" t="str">
        <f t="shared" ref="DZ133:DZ138" si="1926">IF(AT133="","","|n"&amp;DZ$2&amp;"+"&amp;AT133&amp;DZ$1)</f>
        <v/>
      </c>
      <c r="EA133" s="43" t="str">
        <f t="shared" ref="EA133:EA138" si="1927">IF(AU133="","","|n"&amp;EA$2&amp;"+"&amp;AU133&amp;EA$1)</f>
        <v/>
      </c>
      <c r="EB133" s="43" t="str">
        <f t="shared" ref="EB133:EB138" si="1928">IF(AV133="","","|n"&amp;EB$2&amp;"+"&amp;AV133&amp;EB$1)</f>
        <v/>
      </c>
      <c r="EC133" s="43" t="str">
        <f t="shared" ref="EC133:EC138" si="1929">IF(AW133="","","|n"&amp;EC$2&amp;"+"&amp;AW133&amp;EC$1)</f>
        <v/>
      </c>
      <c r="ED133" s="43" t="str">
        <f t="shared" ref="ED133:ED138" si="1930">IF(AX133="","","|n"&amp;ED$2&amp;"+"&amp;AX133&amp;ED$1)</f>
        <v/>
      </c>
      <c r="EE133" s="43" t="str">
        <f t="shared" ref="EE133:EE138" si="1931">IF(AY133="","","|n"&amp;EE$2&amp;"+"&amp;AY133&amp;EE$1)</f>
        <v/>
      </c>
      <c r="EF133" s="43" t="str">
        <f t="shared" ref="EF133:EF138" si="1932">IF(AZ133="","","|n"&amp;EF$2&amp;"+"&amp;AZ133&amp;EF$1)</f>
        <v/>
      </c>
      <c r="EG133" s="43" t="str">
        <f t="shared" ref="EG133:EG138" si="1933">IF(BA133="","","|n"&amp;EG$2&amp;"+"&amp;BA133&amp;EG$1)</f>
        <v/>
      </c>
      <c r="EH133" s="43" t="str">
        <f t="shared" ref="EH133:EH138" si="1934">IF(BB133="","","|n"&amp;EH$2&amp;"+"&amp;BB133&amp;EH$1)</f>
        <v/>
      </c>
      <c r="EI133" s="43" t="str">
        <f t="shared" ref="EI133:EI138" si="1935">IF(BC133="","","|n"&amp;EI$2&amp;"+"&amp;BC133&amp;EI$1)</f>
        <v/>
      </c>
      <c r="EJ133" s="43" t="str">
        <f t="shared" ref="EJ133:EJ138" si="1936">IF(BD133="","","|n"&amp;EJ$2&amp;"+"&amp;BD133&amp;EJ$1)</f>
        <v/>
      </c>
      <c r="EK133" s="43" t="str">
        <f t="shared" ref="EK133:EK138" si="1937">IF(BE133="","","|n"&amp;EK$2&amp;"+"&amp;BE133&amp;EK$1)</f>
        <v/>
      </c>
      <c r="EL133" s="43" t="str">
        <f t="shared" ref="EL133:EL138" si="1938">IF(BF133="","","|n"&amp;EL$2&amp;"+"&amp;BF133&amp;EL$1)</f>
        <v/>
      </c>
      <c r="EM133" s="43" t="str">
        <f t="shared" ref="EM133:EM138" si="1939">IF(BG133="","","|n"&amp;EM$2&amp;"+"&amp;BG133&amp;EM$1)</f>
        <v/>
      </c>
      <c r="EN133" s="43" t="str">
        <f t="shared" ref="EN133:EN138" si="1940">IF(BH133="","","|n"&amp;EN$2&amp;"+"&amp;BH133&amp;EN$1)</f>
        <v/>
      </c>
      <c r="EO133" s="43" t="str">
        <f t="shared" ref="EO133:EO138" si="1941">IF(BI133="","","|n"&amp;EO$2&amp;"+"&amp;BI133&amp;EO$1)</f>
        <v/>
      </c>
      <c r="EP133" s="43" t="str">
        <f t="shared" ref="EP133:EP138" si="1942">IF(BJ133="","","|n"&amp;EP$2&amp;"+"&amp;BJ133&amp;EP$1)</f>
        <v/>
      </c>
      <c r="EQ133" s="43" t="str">
        <f t="shared" ref="EQ133:EQ138" si="1943">IF(BK133="","","|n"&amp;EQ$2&amp;"+"&amp;BK133&amp;EQ$1)</f>
        <v/>
      </c>
      <c r="ER133" s="43" t="str">
        <f t="shared" ref="ER133:ER138" si="1944">IF(BL133="","","|n"&amp;ER$2&amp;"+"&amp;BL133&amp;ER$1)</f>
        <v/>
      </c>
      <c r="ES133" s="43" t="str">
        <f t="shared" ref="ES133:ES138" si="1945">IF(BM133="","","|n"&amp;ES$2&amp;"+"&amp;BM133&amp;ES$1)</f>
        <v/>
      </c>
      <c r="ET133" s="43" t="str">
        <f t="shared" ref="ET133:ET138" si="1946">IF(BN133="","","|n"&amp;ET$2&amp;"+"&amp;BN133&amp;ET$1)</f>
        <v/>
      </c>
      <c r="EU133" s="43" t="str">
        <f t="shared" ref="EU133:EU138" si="1947">IF(BO133="","","|n"&amp;EU$2&amp;"+"&amp;BO133&amp;EU$1)</f>
        <v/>
      </c>
      <c r="EV133" s="43" t="str">
        <f t="shared" ref="EV133:EV138" si="1948">IF(BP133="","","|n"&amp;EV$2&amp;"+"&amp;BP133&amp;EV$1)</f>
        <v/>
      </c>
      <c r="EW133" s="43" t="str">
        <f t="shared" ref="EW133:EW138" si="1949">IF(BQ133="","","|n"&amp;EW$2&amp;"+"&amp;BQ133&amp;EW$1)</f>
        <v/>
      </c>
      <c r="EX133" s="43" t="str">
        <f t="shared" ref="EX133:EX138" si="1950">IF(BR133="","","|n"&amp;EX$2&amp;"+"&amp;BR133&amp;EX$1)</f>
        <v/>
      </c>
      <c r="EY133" s="43" t="str">
        <f t="shared" ref="EY133:EY138" si="1951">IF(BS133="","","|n"&amp;EY$2&amp;"+"&amp;BS133&amp;EY$1)</f>
        <v/>
      </c>
      <c r="EZ133" s="43" t="str">
        <f t="shared" ref="EZ133:EZ138" si="1952">IF(BT133="","","|n"&amp;EZ$2&amp;"+"&amp;BT133&amp;EZ$1)</f>
        <v/>
      </c>
      <c r="FA133" s="43" t="str">
        <f t="shared" ref="FA133:FA138" si="1953">IF(BU133="","","|n"&amp;FA$2&amp;"+"&amp;BU133&amp;FA$1)</f>
        <v/>
      </c>
      <c r="FB133" s="43" t="str">
        <f t="shared" ref="FB133:FB138" si="1954">IF(BV133="","","|n"&amp;FB$2&amp;"+"&amp;BV133&amp;FB$1)</f>
        <v/>
      </c>
      <c r="FC133" s="43" t="str">
        <f t="shared" ref="FC133:FC138" si="1955">IF(BW133="","","|n"&amp;FC$2&amp;"+"&amp;BW133&amp;FC$1)</f>
        <v/>
      </c>
      <c r="FD133" s="43" t="str">
        <f t="shared" ref="FD133:FD138" si="1956">IF(BX133="","","|n"&amp;FD$2&amp;"+"&amp;BX133&amp;FD$1)</f>
        <v/>
      </c>
      <c r="FE133" s="43" t="str">
        <f t="shared" ref="FE133:FE138" si="1957">IF(BY133="","","|n"&amp;FE$2&amp;"+"&amp;BY133&amp;FE$1)</f>
        <v/>
      </c>
      <c r="FF133" s="43" t="str">
        <f t="shared" ref="FF133:FF138" si="1958">IF(BZ133="","","|n"&amp;FF$2&amp;"+"&amp;BZ133&amp;FF$1)</f>
        <v/>
      </c>
      <c r="FG133" s="43" t="str">
        <f t="shared" ref="FG133:FG138" si="1959">IF(CA133="","","|n"&amp;FG$2&amp;"+"&amp;CA133&amp;FG$1)</f>
        <v/>
      </c>
      <c r="FH133" s="43" t="str">
        <f t="shared" ref="FH133:FH138" si="1960">IF(CB133="","","|n"&amp;FH$2&amp;"+"&amp;CB133&amp;FH$1)</f>
        <v/>
      </c>
      <c r="FI133" s="43" t="str">
        <f t="shared" ref="FI133:FI138" si="1961">IF(CC133="","","|n"&amp;FI$2&amp;"+"&amp;CC133&amp;FI$1)</f>
        <v/>
      </c>
      <c r="FJ133" s="43" t="str">
        <f t="shared" ref="FJ133:FJ138" si="1962">IF(CD133="","","|n"&amp;FJ$2&amp;"+"&amp;CD133&amp;FJ$1)</f>
        <v/>
      </c>
      <c r="FK133" s="43" t="str">
        <f t="shared" ref="FK133:FK138" si="1963">IF(CE133="","","|n"&amp;FK$2&amp;"+"&amp;CE133&amp;FK$1)</f>
        <v/>
      </c>
      <c r="FL133" s="43" t="str">
        <f t="shared" ref="FL133:FL138" si="1964">IF(CF133="","","|n"&amp;FL$2&amp;"+"&amp;CF133&amp;FL$1)</f>
        <v/>
      </c>
      <c r="FM133" s="43" t="str">
        <f t="shared" ref="FM133:FM138" si="1965">IF(CG133="","","|n"&amp;FM$2&amp;"+"&amp;CG133&amp;FM$1)</f>
        <v/>
      </c>
      <c r="FN133" s="43" t="str">
        <f t="shared" ref="FN133:FN138" si="1966">IF(CH133="","","|n"&amp;FN$2&amp;"+"&amp;CH133&amp;FN$1)</f>
        <v/>
      </c>
      <c r="FO133" s="43" t="str">
        <f t="shared" ref="FO133:FO138" si="1967">IF(CI133="","","|n"&amp;FO$2&amp;"+"&amp;CI133&amp;FO$1)</f>
        <v/>
      </c>
      <c r="FP133" s="43" t="str">
        <f t="shared" ref="FP133:FP138" si="1968">IF(CJ133="","","|n"&amp;FP$2&amp;"+"&amp;CJ133&amp;FP$1)</f>
        <v/>
      </c>
      <c r="FQ133" s="43" t="str">
        <f t="shared" ref="FQ133:FQ138" si="1969">IF(CK133="","","|n"&amp;FQ$2&amp;"+"&amp;CK133&amp;FQ$1)</f>
        <v/>
      </c>
      <c r="FR133" s="43" t="str">
        <f t="shared" ref="FR133:FR138" si="1970">IF(CL133="","","|n"&amp;FR$2&amp;"+"&amp;CL133&amp;FR$1)</f>
        <v/>
      </c>
      <c r="FS133" s="43" t="str">
        <f t="shared" ref="FS133:FS138" si="1971">IF(CM133="","","|n"&amp;FS$2&amp;"+"&amp;CM133&amp;FS$1)</f>
        <v/>
      </c>
    </row>
    <row r="134" ht="15" spans="1:175">
      <c r="A134" s="4"/>
      <c r="B134" s="4" t="s">
        <v>464</v>
      </c>
      <c r="C134" s="5" t="s">
        <v>465</v>
      </c>
      <c r="T134" s="5" t="s">
        <v>466</v>
      </c>
      <c r="U134" s="59" t="str">
        <f t="shared" si="1168"/>
        <v>ReplaceableTextures\\CommandButtons\\BTNIN08.blp</v>
      </c>
      <c r="CN134" s="12" t="str">
        <f t="shared" si="1678"/>
        <v>InitUnitState('IN08',,,,,,,,,,)</v>
      </c>
      <c r="CO134" s="12" t="str">
        <f t="shared" si="1679"/>
        <v>InitUnitNormal('IN08',,,,,,,,,,)</v>
      </c>
      <c r="CP134" s="12" t="str">
        <f t="shared" si="1680"/>
        <v>InitUnitMagic('IN08',,,,,,,,,,)</v>
      </c>
      <c r="CQ134" s="12" t="str">
        <f t="shared" si="1681"/>
        <v>InitUnitAdd('IN08',,,,,,,,,,)</v>
      </c>
      <c r="CR134" s="12" t="str">
        <f t="shared" si="1899"/>
        <v>InitEquipData('IN08',,"",,,,,'','','','','','',"ReplaceableTextures\\CommandButtons\\BTNIT02.blp")</v>
      </c>
      <c r="CU134" s="71" t="str">
        <f t="shared" si="1900"/>
        <v>|n</v>
      </c>
      <c r="CV134" s="5" t="str">
        <f t="shared" si="1901"/>
        <v>|CffFFC926击杀|r当前存在的|Cffffc926进攻怪|r和|Cffffc926Boss|r。|n|n|Cff00ff7f无法在大决战时使用|r</v>
      </c>
      <c r="CW134" s="6"/>
      <c r="CX134" s="6"/>
      <c r="CY134" s="6"/>
      <c r="CZ134" s="6"/>
      <c r="DA134" s="6"/>
      <c r="DB134" s="43" t="str">
        <f t="shared" si="1902"/>
        <v/>
      </c>
      <c r="DC134" s="43" t="str">
        <f t="shared" si="1903"/>
        <v/>
      </c>
      <c r="DD134" s="43" t="str">
        <f t="shared" si="1904"/>
        <v/>
      </c>
      <c r="DE134" s="43" t="str">
        <f t="shared" si="1905"/>
        <v/>
      </c>
      <c r="DF134" s="43" t="str">
        <f t="shared" si="1906"/>
        <v/>
      </c>
      <c r="DG134" s="43" t="str">
        <f t="shared" si="1907"/>
        <v/>
      </c>
      <c r="DH134" s="43" t="str">
        <f t="shared" si="1908"/>
        <v/>
      </c>
      <c r="DI134" s="43" t="str">
        <f t="shared" si="1909"/>
        <v/>
      </c>
      <c r="DJ134" s="43" t="str">
        <f t="shared" si="1910"/>
        <v/>
      </c>
      <c r="DK134" s="43" t="str">
        <f t="shared" si="1911"/>
        <v/>
      </c>
      <c r="DL134" s="43" t="str">
        <f t="shared" si="1912"/>
        <v/>
      </c>
      <c r="DM134" s="43" t="str">
        <f t="shared" si="1913"/>
        <v/>
      </c>
      <c r="DN134" s="43" t="str">
        <f t="shared" si="1914"/>
        <v/>
      </c>
      <c r="DO134" s="43" t="str">
        <f t="shared" si="1915"/>
        <v/>
      </c>
      <c r="DP134" s="43" t="str">
        <f t="shared" si="1916"/>
        <v/>
      </c>
      <c r="DQ134" s="43" t="str">
        <f t="shared" si="1917"/>
        <v/>
      </c>
      <c r="DR134" s="43" t="str">
        <f t="shared" si="1918"/>
        <v/>
      </c>
      <c r="DS134" s="43" t="str">
        <f t="shared" si="1919"/>
        <v/>
      </c>
      <c r="DT134" s="43" t="str">
        <f t="shared" si="1920"/>
        <v/>
      </c>
      <c r="DU134" s="43" t="str">
        <f t="shared" si="1921"/>
        <v/>
      </c>
      <c r="DV134" s="43" t="str">
        <f t="shared" si="1922"/>
        <v/>
      </c>
      <c r="DW134" s="43" t="str">
        <f t="shared" si="1923"/>
        <v/>
      </c>
      <c r="DX134" s="43" t="str">
        <f t="shared" si="1924"/>
        <v/>
      </c>
      <c r="DY134" s="43" t="str">
        <f t="shared" si="1925"/>
        <v/>
      </c>
      <c r="DZ134" s="43" t="str">
        <f t="shared" si="1926"/>
        <v/>
      </c>
      <c r="EA134" s="43" t="str">
        <f t="shared" si="1927"/>
        <v/>
      </c>
      <c r="EB134" s="43" t="str">
        <f t="shared" si="1928"/>
        <v/>
      </c>
      <c r="EC134" s="43" t="str">
        <f t="shared" si="1929"/>
        <v/>
      </c>
      <c r="ED134" s="43" t="str">
        <f t="shared" si="1930"/>
        <v/>
      </c>
      <c r="EE134" s="43" t="str">
        <f t="shared" si="1931"/>
        <v/>
      </c>
      <c r="EF134" s="43" t="str">
        <f t="shared" si="1932"/>
        <v/>
      </c>
      <c r="EG134" s="43" t="str">
        <f t="shared" si="1933"/>
        <v/>
      </c>
      <c r="EH134" s="43" t="str">
        <f t="shared" si="1934"/>
        <v/>
      </c>
      <c r="EI134" s="43" t="str">
        <f t="shared" si="1935"/>
        <v/>
      </c>
      <c r="EJ134" s="43" t="str">
        <f t="shared" si="1936"/>
        <v/>
      </c>
      <c r="EK134" s="43" t="str">
        <f t="shared" si="1937"/>
        <v/>
      </c>
      <c r="EL134" s="43" t="str">
        <f t="shared" si="1938"/>
        <v/>
      </c>
      <c r="EM134" s="43" t="str">
        <f t="shared" si="1939"/>
        <v/>
      </c>
      <c r="EN134" s="43" t="str">
        <f t="shared" si="1940"/>
        <v/>
      </c>
      <c r="EO134" s="43" t="str">
        <f t="shared" si="1941"/>
        <v/>
      </c>
      <c r="EP134" s="43" t="str">
        <f t="shared" si="1942"/>
        <v/>
      </c>
      <c r="EQ134" s="43" t="str">
        <f t="shared" si="1943"/>
        <v/>
      </c>
      <c r="ER134" s="43" t="str">
        <f t="shared" si="1944"/>
        <v/>
      </c>
      <c r="ES134" s="43" t="str">
        <f t="shared" si="1945"/>
        <v/>
      </c>
      <c r="ET134" s="43" t="str">
        <f t="shared" si="1946"/>
        <v/>
      </c>
      <c r="EU134" s="43" t="str">
        <f t="shared" si="1947"/>
        <v/>
      </c>
      <c r="EV134" s="43" t="str">
        <f t="shared" si="1948"/>
        <v/>
      </c>
      <c r="EW134" s="43" t="str">
        <f t="shared" si="1949"/>
        <v/>
      </c>
      <c r="EX134" s="43" t="str">
        <f t="shared" si="1950"/>
        <v/>
      </c>
      <c r="EY134" s="43" t="str">
        <f t="shared" si="1951"/>
        <v/>
      </c>
      <c r="EZ134" s="43" t="str">
        <f t="shared" si="1952"/>
        <v/>
      </c>
      <c r="FA134" s="43" t="str">
        <f t="shared" si="1953"/>
        <v/>
      </c>
      <c r="FB134" s="43" t="str">
        <f t="shared" si="1954"/>
        <v/>
      </c>
      <c r="FC134" s="43" t="str">
        <f t="shared" si="1955"/>
        <v/>
      </c>
      <c r="FD134" s="43" t="str">
        <f t="shared" si="1956"/>
        <v/>
      </c>
      <c r="FE134" s="43" t="str">
        <f t="shared" si="1957"/>
        <v/>
      </c>
      <c r="FF134" s="43" t="str">
        <f t="shared" si="1958"/>
        <v/>
      </c>
      <c r="FG134" s="43" t="str">
        <f t="shared" si="1959"/>
        <v/>
      </c>
      <c r="FH134" s="43" t="str">
        <f t="shared" si="1960"/>
        <v/>
      </c>
      <c r="FI134" s="43" t="str">
        <f t="shared" si="1961"/>
        <v/>
      </c>
      <c r="FJ134" s="43" t="str">
        <f t="shared" si="1962"/>
        <v/>
      </c>
      <c r="FK134" s="43" t="str">
        <f t="shared" si="1963"/>
        <v/>
      </c>
      <c r="FL134" s="43" t="str">
        <f t="shared" si="1964"/>
        <v/>
      </c>
      <c r="FM134" s="43" t="str">
        <f t="shared" si="1965"/>
        <v/>
      </c>
      <c r="FN134" s="43" t="str">
        <f t="shared" si="1966"/>
        <v/>
      </c>
      <c r="FO134" s="43" t="str">
        <f t="shared" si="1967"/>
        <v/>
      </c>
      <c r="FP134" s="43" t="str">
        <f t="shared" si="1968"/>
        <v/>
      </c>
      <c r="FQ134" s="43" t="str">
        <f t="shared" si="1969"/>
        <v/>
      </c>
      <c r="FR134" s="43" t="str">
        <f t="shared" si="1970"/>
        <v/>
      </c>
      <c r="FS134" s="43" t="str">
        <f t="shared" si="1971"/>
        <v/>
      </c>
    </row>
    <row r="135" ht="15" spans="1:175">
      <c r="A135" s="4"/>
      <c r="B135" s="4" t="s">
        <v>467</v>
      </c>
      <c r="C135" s="5" t="s">
        <v>468</v>
      </c>
      <c r="T135" s="5" t="s">
        <v>469</v>
      </c>
      <c r="U135" s="59" t="str">
        <f t="shared" si="1168"/>
        <v>ReplaceableTextures\\CommandButtons\\BTNIN09.blp</v>
      </c>
      <c r="CN135" s="12" t="str">
        <f t="shared" si="1678"/>
        <v>InitUnitState('IN09',,,,,,,,,,)</v>
      </c>
      <c r="CO135" s="12" t="str">
        <f t="shared" si="1679"/>
        <v>InitUnitNormal('IN09',,,,,,,,,,)</v>
      </c>
      <c r="CP135" s="12" t="str">
        <f t="shared" si="1680"/>
        <v>InitUnitMagic('IN09',,,,,,,,,,)</v>
      </c>
      <c r="CQ135" s="12" t="str">
        <f t="shared" si="1681"/>
        <v>InitUnitAdd('IN09',,,,,,,,,,)</v>
      </c>
      <c r="CR135" s="12" t="str">
        <f t="shared" si="1899"/>
        <v>InitEquipData('IN09',,"",,,,,'','','','','','',"ReplaceableTextures\\CommandButtons\\BTNIT03.blp")</v>
      </c>
      <c r="CU135" s="71" t="str">
        <f t="shared" si="1900"/>
        <v>|n</v>
      </c>
      <c r="CV135" s="5" t="str">
        <f t="shared" si="1901"/>
        <v>暂停|Cffffc926场上已存在的进攻怪|r10秒</v>
      </c>
      <c r="CW135" s="6"/>
      <c r="CX135" s="6"/>
      <c r="CY135" s="6"/>
      <c r="CZ135" s="6"/>
      <c r="DA135" s="6"/>
      <c r="DB135" s="43" t="str">
        <f t="shared" si="1902"/>
        <v/>
      </c>
      <c r="DC135" s="43" t="str">
        <f t="shared" si="1903"/>
        <v/>
      </c>
      <c r="DD135" s="43" t="str">
        <f t="shared" si="1904"/>
        <v/>
      </c>
      <c r="DE135" s="43" t="str">
        <f t="shared" si="1905"/>
        <v/>
      </c>
      <c r="DF135" s="43" t="str">
        <f t="shared" si="1906"/>
        <v/>
      </c>
      <c r="DG135" s="43" t="str">
        <f t="shared" si="1907"/>
        <v/>
      </c>
      <c r="DH135" s="43" t="str">
        <f t="shared" si="1908"/>
        <v/>
      </c>
      <c r="DI135" s="43" t="str">
        <f t="shared" si="1909"/>
        <v/>
      </c>
      <c r="DJ135" s="43" t="str">
        <f t="shared" si="1910"/>
        <v/>
      </c>
      <c r="DK135" s="43" t="str">
        <f t="shared" si="1911"/>
        <v/>
      </c>
      <c r="DL135" s="43" t="str">
        <f t="shared" si="1912"/>
        <v/>
      </c>
      <c r="DM135" s="43" t="str">
        <f t="shared" si="1913"/>
        <v/>
      </c>
      <c r="DN135" s="43" t="str">
        <f t="shared" si="1914"/>
        <v/>
      </c>
      <c r="DO135" s="43" t="str">
        <f t="shared" si="1915"/>
        <v/>
      </c>
      <c r="DP135" s="43" t="str">
        <f t="shared" si="1916"/>
        <v/>
      </c>
      <c r="DQ135" s="43" t="str">
        <f t="shared" si="1917"/>
        <v/>
      </c>
      <c r="DR135" s="43" t="str">
        <f t="shared" si="1918"/>
        <v/>
      </c>
      <c r="DS135" s="43" t="str">
        <f t="shared" si="1919"/>
        <v/>
      </c>
      <c r="DT135" s="43" t="str">
        <f t="shared" si="1920"/>
        <v/>
      </c>
      <c r="DU135" s="43" t="str">
        <f t="shared" si="1921"/>
        <v/>
      </c>
      <c r="DV135" s="43" t="str">
        <f t="shared" si="1922"/>
        <v/>
      </c>
      <c r="DW135" s="43" t="str">
        <f t="shared" si="1923"/>
        <v/>
      </c>
      <c r="DX135" s="43" t="str">
        <f t="shared" si="1924"/>
        <v/>
      </c>
      <c r="DY135" s="43" t="str">
        <f t="shared" si="1925"/>
        <v/>
      </c>
      <c r="DZ135" s="43" t="str">
        <f t="shared" si="1926"/>
        <v/>
      </c>
      <c r="EA135" s="43" t="str">
        <f t="shared" si="1927"/>
        <v/>
      </c>
      <c r="EB135" s="43" t="str">
        <f t="shared" si="1928"/>
        <v/>
      </c>
      <c r="EC135" s="43" t="str">
        <f t="shared" si="1929"/>
        <v/>
      </c>
      <c r="ED135" s="43" t="str">
        <f t="shared" si="1930"/>
        <v/>
      </c>
      <c r="EE135" s="43" t="str">
        <f t="shared" si="1931"/>
        <v/>
      </c>
      <c r="EF135" s="43" t="str">
        <f t="shared" si="1932"/>
        <v/>
      </c>
      <c r="EG135" s="43" t="str">
        <f t="shared" si="1933"/>
        <v/>
      </c>
      <c r="EH135" s="43" t="str">
        <f t="shared" si="1934"/>
        <v/>
      </c>
      <c r="EI135" s="43" t="str">
        <f t="shared" si="1935"/>
        <v/>
      </c>
      <c r="EJ135" s="43" t="str">
        <f t="shared" si="1936"/>
        <v/>
      </c>
      <c r="EK135" s="43" t="str">
        <f t="shared" si="1937"/>
        <v/>
      </c>
      <c r="EL135" s="43" t="str">
        <f t="shared" si="1938"/>
        <v/>
      </c>
      <c r="EM135" s="43" t="str">
        <f t="shared" si="1939"/>
        <v/>
      </c>
      <c r="EN135" s="43" t="str">
        <f t="shared" si="1940"/>
        <v/>
      </c>
      <c r="EO135" s="43" t="str">
        <f t="shared" si="1941"/>
        <v/>
      </c>
      <c r="EP135" s="43" t="str">
        <f t="shared" si="1942"/>
        <v/>
      </c>
      <c r="EQ135" s="43" t="str">
        <f t="shared" si="1943"/>
        <v/>
      </c>
      <c r="ER135" s="43" t="str">
        <f t="shared" si="1944"/>
        <v/>
      </c>
      <c r="ES135" s="43" t="str">
        <f t="shared" si="1945"/>
        <v/>
      </c>
      <c r="ET135" s="43" t="str">
        <f t="shared" si="1946"/>
        <v/>
      </c>
      <c r="EU135" s="43" t="str">
        <f t="shared" si="1947"/>
        <v/>
      </c>
      <c r="EV135" s="43" t="str">
        <f t="shared" si="1948"/>
        <v/>
      </c>
      <c r="EW135" s="43" t="str">
        <f t="shared" si="1949"/>
        <v/>
      </c>
      <c r="EX135" s="43" t="str">
        <f t="shared" si="1950"/>
        <v/>
      </c>
      <c r="EY135" s="43" t="str">
        <f t="shared" si="1951"/>
        <v/>
      </c>
      <c r="EZ135" s="43" t="str">
        <f t="shared" si="1952"/>
        <v/>
      </c>
      <c r="FA135" s="43" t="str">
        <f t="shared" si="1953"/>
        <v/>
      </c>
      <c r="FB135" s="43" t="str">
        <f t="shared" si="1954"/>
        <v/>
      </c>
      <c r="FC135" s="43" t="str">
        <f t="shared" si="1955"/>
        <v/>
      </c>
      <c r="FD135" s="43" t="str">
        <f t="shared" si="1956"/>
        <v/>
      </c>
      <c r="FE135" s="43" t="str">
        <f t="shared" si="1957"/>
        <v/>
      </c>
      <c r="FF135" s="43" t="str">
        <f t="shared" si="1958"/>
        <v/>
      </c>
      <c r="FG135" s="43" t="str">
        <f t="shared" si="1959"/>
        <v/>
      </c>
      <c r="FH135" s="43" t="str">
        <f t="shared" si="1960"/>
        <v/>
      </c>
      <c r="FI135" s="43" t="str">
        <f t="shared" si="1961"/>
        <v/>
      </c>
      <c r="FJ135" s="43" t="str">
        <f t="shared" si="1962"/>
        <v/>
      </c>
      <c r="FK135" s="43" t="str">
        <f t="shared" si="1963"/>
        <v/>
      </c>
      <c r="FL135" s="43" t="str">
        <f t="shared" si="1964"/>
        <v/>
      </c>
      <c r="FM135" s="43" t="str">
        <f t="shared" si="1965"/>
        <v/>
      </c>
      <c r="FN135" s="43" t="str">
        <f t="shared" si="1966"/>
        <v/>
      </c>
      <c r="FO135" s="43" t="str">
        <f t="shared" si="1967"/>
        <v/>
      </c>
      <c r="FP135" s="43" t="str">
        <f t="shared" si="1968"/>
        <v/>
      </c>
      <c r="FQ135" s="43" t="str">
        <f t="shared" si="1969"/>
        <v/>
      </c>
      <c r="FR135" s="43" t="str">
        <f t="shared" si="1970"/>
        <v/>
      </c>
      <c r="FS135" s="43" t="str">
        <f t="shared" si="1971"/>
        <v/>
      </c>
    </row>
    <row r="136" ht="15" spans="1:175">
      <c r="A136" s="4"/>
      <c r="B136" s="4" t="s">
        <v>470</v>
      </c>
      <c r="C136" s="5" t="s">
        <v>471</v>
      </c>
      <c r="T136" s="5" t="s">
        <v>472</v>
      </c>
      <c r="U136" s="59" t="str">
        <f t="shared" si="1168"/>
        <v>ReplaceableTextures\\CommandButtons\\BTNIN10.blp</v>
      </c>
      <c r="CN136" s="12" t="str">
        <f t="shared" si="1678"/>
        <v>InitUnitState('IN10',,,,,,,,,,)</v>
      </c>
      <c r="CO136" s="12" t="str">
        <f t="shared" si="1679"/>
        <v>InitUnitNormal('IN10',,,,,,,,,,)</v>
      </c>
      <c r="CP136" s="12" t="str">
        <f t="shared" si="1680"/>
        <v>InitUnitMagic('IN10',,,,,,,,,,)</v>
      </c>
      <c r="CQ136" s="12" t="str">
        <f t="shared" si="1681"/>
        <v>InitUnitAdd('IN10',,,,,,,,,,)</v>
      </c>
      <c r="CR136" s="12" t="str">
        <f t="shared" si="1899"/>
        <v>InitEquipData('IN10',,"",,,,,'','','','','','',"ReplaceableTextures\\CommandButtons\\BTNIT04.blp")</v>
      </c>
      <c r="CU136" s="71" t="str">
        <f t="shared" si="1900"/>
        <v>|n</v>
      </c>
      <c r="CV136" s="5" t="str">
        <f t="shared" si="1901"/>
        <v>暂停场上|Cffffc926已存在的进攻怪|r20秒</v>
      </c>
      <c r="CW136" s="6"/>
      <c r="CX136" s="6"/>
      <c r="CY136" s="6"/>
      <c r="CZ136" s="6"/>
      <c r="DA136" s="6"/>
      <c r="DB136" s="43" t="str">
        <f t="shared" si="1902"/>
        <v/>
      </c>
      <c r="DC136" s="43" t="str">
        <f t="shared" si="1903"/>
        <v/>
      </c>
      <c r="DD136" s="43" t="str">
        <f t="shared" si="1904"/>
        <v/>
      </c>
      <c r="DE136" s="43" t="str">
        <f t="shared" si="1905"/>
        <v/>
      </c>
      <c r="DF136" s="43" t="str">
        <f t="shared" si="1906"/>
        <v/>
      </c>
      <c r="DG136" s="43" t="str">
        <f t="shared" si="1907"/>
        <v/>
      </c>
      <c r="DH136" s="43" t="str">
        <f t="shared" si="1908"/>
        <v/>
      </c>
      <c r="DI136" s="43" t="str">
        <f t="shared" si="1909"/>
        <v/>
      </c>
      <c r="DJ136" s="43" t="str">
        <f t="shared" si="1910"/>
        <v/>
      </c>
      <c r="DK136" s="43" t="str">
        <f t="shared" si="1911"/>
        <v/>
      </c>
      <c r="DL136" s="43" t="str">
        <f t="shared" si="1912"/>
        <v/>
      </c>
      <c r="DM136" s="43" t="str">
        <f t="shared" si="1913"/>
        <v/>
      </c>
      <c r="DN136" s="43" t="str">
        <f t="shared" si="1914"/>
        <v/>
      </c>
      <c r="DO136" s="43" t="str">
        <f t="shared" si="1915"/>
        <v/>
      </c>
      <c r="DP136" s="43" t="str">
        <f t="shared" si="1916"/>
        <v/>
      </c>
      <c r="DQ136" s="43" t="str">
        <f t="shared" si="1917"/>
        <v/>
      </c>
      <c r="DR136" s="43" t="str">
        <f t="shared" si="1918"/>
        <v/>
      </c>
      <c r="DS136" s="43" t="str">
        <f t="shared" si="1919"/>
        <v/>
      </c>
      <c r="DT136" s="43" t="str">
        <f t="shared" si="1920"/>
        <v/>
      </c>
      <c r="DU136" s="43" t="str">
        <f t="shared" si="1921"/>
        <v/>
      </c>
      <c r="DV136" s="43" t="str">
        <f t="shared" si="1922"/>
        <v/>
      </c>
      <c r="DW136" s="43" t="str">
        <f t="shared" si="1923"/>
        <v/>
      </c>
      <c r="DX136" s="43" t="str">
        <f t="shared" si="1924"/>
        <v/>
      </c>
      <c r="DY136" s="43" t="str">
        <f t="shared" si="1925"/>
        <v/>
      </c>
      <c r="DZ136" s="43" t="str">
        <f t="shared" si="1926"/>
        <v/>
      </c>
      <c r="EA136" s="43" t="str">
        <f t="shared" si="1927"/>
        <v/>
      </c>
      <c r="EB136" s="43" t="str">
        <f t="shared" si="1928"/>
        <v/>
      </c>
      <c r="EC136" s="43" t="str">
        <f t="shared" si="1929"/>
        <v/>
      </c>
      <c r="ED136" s="43" t="str">
        <f t="shared" si="1930"/>
        <v/>
      </c>
      <c r="EE136" s="43" t="str">
        <f t="shared" si="1931"/>
        <v/>
      </c>
      <c r="EF136" s="43" t="str">
        <f t="shared" si="1932"/>
        <v/>
      </c>
      <c r="EG136" s="43" t="str">
        <f t="shared" si="1933"/>
        <v/>
      </c>
      <c r="EH136" s="43" t="str">
        <f t="shared" si="1934"/>
        <v/>
      </c>
      <c r="EI136" s="43" t="str">
        <f t="shared" si="1935"/>
        <v/>
      </c>
      <c r="EJ136" s="43" t="str">
        <f t="shared" si="1936"/>
        <v/>
      </c>
      <c r="EK136" s="43" t="str">
        <f t="shared" si="1937"/>
        <v/>
      </c>
      <c r="EL136" s="43" t="str">
        <f t="shared" si="1938"/>
        <v/>
      </c>
      <c r="EM136" s="43" t="str">
        <f t="shared" si="1939"/>
        <v/>
      </c>
      <c r="EN136" s="43" t="str">
        <f t="shared" si="1940"/>
        <v/>
      </c>
      <c r="EO136" s="43" t="str">
        <f t="shared" si="1941"/>
        <v/>
      </c>
      <c r="EP136" s="43" t="str">
        <f t="shared" si="1942"/>
        <v/>
      </c>
      <c r="EQ136" s="43" t="str">
        <f t="shared" si="1943"/>
        <v/>
      </c>
      <c r="ER136" s="43" t="str">
        <f t="shared" si="1944"/>
        <v/>
      </c>
      <c r="ES136" s="43" t="str">
        <f t="shared" si="1945"/>
        <v/>
      </c>
      <c r="ET136" s="43" t="str">
        <f t="shared" si="1946"/>
        <v/>
      </c>
      <c r="EU136" s="43" t="str">
        <f t="shared" si="1947"/>
        <v/>
      </c>
      <c r="EV136" s="43" t="str">
        <f t="shared" si="1948"/>
        <v/>
      </c>
      <c r="EW136" s="43" t="str">
        <f t="shared" si="1949"/>
        <v/>
      </c>
      <c r="EX136" s="43" t="str">
        <f t="shared" si="1950"/>
        <v/>
      </c>
      <c r="EY136" s="43" t="str">
        <f t="shared" si="1951"/>
        <v/>
      </c>
      <c r="EZ136" s="43" t="str">
        <f t="shared" si="1952"/>
        <v/>
      </c>
      <c r="FA136" s="43" t="str">
        <f t="shared" si="1953"/>
        <v/>
      </c>
      <c r="FB136" s="43" t="str">
        <f t="shared" si="1954"/>
        <v/>
      </c>
      <c r="FC136" s="43" t="str">
        <f t="shared" si="1955"/>
        <v/>
      </c>
      <c r="FD136" s="43" t="str">
        <f t="shared" si="1956"/>
        <v/>
      </c>
      <c r="FE136" s="43" t="str">
        <f t="shared" si="1957"/>
        <v/>
      </c>
      <c r="FF136" s="43" t="str">
        <f t="shared" si="1958"/>
        <v/>
      </c>
      <c r="FG136" s="43" t="str">
        <f t="shared" si="1959"/>
        <v/>
      </c>
      <c r="FH136" s="43" t="str">
        <f t="shared" si="1960"/>
        <v/>
      </c>
      <c r="FI136" s="43" t="str">
        <f t="shared" si="1961"/>
        <v/>
      </c>
      <c r="FJ136" s="43" t="str">
        <f t="shared" si="1962"/>
        <v/>
      </c>
      <c r="FK136" s="43" t="str">
        <f t="shared" si="1963"/>
        <v/>
      </c>
      <c r="FL136" s="43" t="str">
        <f t="shared" si="1964"/>
        <v/>
      </c>
      <c r="FM136" s="43" t="str">
        <f t="shared" si="1965"/>
        <v/>
      </c>
      <c r="FN136" s="43" t="str">
        <f t="shared" si="1966"/>
        <v/>
      </c>
      <c r="FO136" s="43" t="str">
        <f t="shared" si="1967"/>
        <v/>
      </c>
      <c r="FP136" s="43" t="str">
        <f t="shared" si="1968"/>
        <v/>
      </c>
      <c r="FQ136" s="43" t="str">
        <f t="shared" si="1969"/>
        <v/>
      </c>
      <c r="FR136" s="43" t="str">
        <f t="shared" si="1970"/>
        <v/>
      </c>
      <c r="FS136" s="43" t="str">
        <f t="shared" si="1971"/>
        <v/>
      </c>
    </row>
    <row r="137" ht="15" spans="1:175">
      <c r="A137" s="4"/>
      <c r="B137" s="4" t="s">
        <v>473</v>
      </c>
      <c r="C137" s="5" t="s">
        <v>474</v>
      </c>
      <c r="T137" s="5" t="s">
        <v>475</v>
      </c>
      <c r="U137" s="59" t="str">
        <f t="shared" si="1168"/>
        <v>ReplaceableTextures\\CommandButtons\\BTNIN11.blp</v>
      </c>
      <c r="CN137" s="12" t="str">
        <f t="shared" si="1678"/>
        <v>InitUnitState('IN11',,,,,,,,,,)</v>
      </c>
      <c r="CO137" s="12" t="str">
        <f t="shared" si="1679"/>
        <v>InitUnitNormal('IN11',,,,,,,,,,)</v>
      </c>
      <c r="CP137" s="12" t="str">
        <f t="shared" si="1680"/>
        <v>InitUnitMagic('IN11',,,,,,,,,,)</v>
      </c>
      <c r="CQ137" s="12" t="str">
        <f t="shared" si="1681"/>
        <v>InitUnitAdd('IN11',,,,,,,,,,)</v>
      </c>
      <c r="CR137" s="12" t="str">
        <f t="shared" si="1899"/>
        <v>InitEquipData('IN11',,"",,,,,'','','','','','',"ReplaceableTextures\\CommandButtons\\BTNIT05.blp")</v>
      </c>
      <c r="CU137" s="71" t="str">
        <f t="shared" si="1900"/>
        <v>|n</v>
      </c>
      <c r="CV137" s="5" t="str">
        <f t="shared" si="1901"/>
        <v>|CffFFC9265|r秒内提高|Cffffc926300%|r伤害加成</v>
      </c>
      <c r="CW137" s="6"/>
      <c r="CX137" s="6"/>
      <c r="CY137" s="6"/>
      <c r="CZ137" s="6"/>
      <c r="DA137" s="6"/>
      <c r="DB137" s="43" t="str">
        <f t="shared" si="1902"/>
        <v/>
      </c>
      <c r="DC137" s="43" t="str">
        <f t="shared" si="1903"/>
        <v/>
      </c>
      <c r="DD137" s="43" t="str">
        <f t="shared" si="1904"/>
        <v/>
      </c>
      <c r="DE137" s="43" t="str">
        <f t="shared" si="1905"/>
        <v/>
      </c>
      <c r="DF137" s="43" t="str">
        <f t="shared" si="1906"/>
        <v/>
      </c>
      <c r="DG137" s="43" t="str">
        <f t="shared" si="1907"/>
        <v/>
      </c>
      <c r="DH137" s="43" t="str">
        <f t="shared" si="1908"/>
        <v/>
      </c>
      <c r="DI137" s="43" t="str">
        <f t="shared" si="1909"/>
        <v/>
      </c>
      <c r="DJ137" s="43" t="str">
        <f t="shared" si="1910"/>
        <v/>
      </c>
      <c r="DK137" s="43" t="str">
        <f t="shared" si="1911"/>
        <v/>
      </c>
      <c r="DL137" s="43" t="str">
        <f t="shared" si="1912"/>
        <v/>
      </c>
      <c r="DM137" s="43" t="str">
        <f t="shared" si="1913"/>
        <v/>
      </c>
      <c r="DN137" s="43" t="str">
        <f t="shared" si="1914"/>
        <v/>
      </c>
      <c r="DO137" s="43" t="str">
        <f t="shared" si="1915"/>
        <v/>
      </c>
      <c r="DP137" s="43" t="str">
        <f t="shared" si="1916"/>
        <v/>
      </c>
      <c r="DQ137" s="43" t="str">
        <f t="shared" si="1917"/>
        <v/>
      </c>
      <c r="DR137" s="43" t="str">
        <f t="shared" si="1918"/>
        <v/>
      </c>
      <c r="DS137" s="43" t="str">
        <f t="shared" si="1919"/>
        <v/>
      </c>
      <c r="DT137" s="43" t="str">
        <f t="shared" si="1920"/>
        <v/>
      </c>
      <c r="DU137" s="43" t="str">
        <f t="shared" si="1921"/>
        <v/>
      </c>
      <c r="DV137" s="43" t="str">
        <f t="shared" si="1922"/>
        <v/>
      </c>
      <c r="DW137" s="43" t="str">
        <f t="shared" si="1923"/>
        <v/>
      </c>
      <c r="DX137" s="43" t="str">
        <f t="shared" si="1924"/>
        <v/>
      </c>
      <c r="DY137" s="43" t="str">
        <f t="shared" si="1925"/>
        <v/>
      </c>
      <c r="DZ137" s="43" t="str">
        <f t="shared" si="1926"/>
        <v/>
      </c>
      <c r="EA137" s="43" t="str">
        <f t="shared" si="1927"/>
        <v/>
      </c>
      <c r="EB137" s="43" t="str">
        <f t="shared" si="1928"/>
        <v/>
      </c>
      <c r="EC137" s="43" t="str">
        <f t="shared" si="1929"/>
        <v/>
      </c>
      <c r="ED137" s="43" t="str">
        <f t="shared" si="1930"/>
        <v/>
      </c>
      <c r="EE137" s="43" t="str">
        <f t="shared" si="1931"/>
        <v/>
      </c>
      <c r="EF137" s="43" t="str">
        <f t="shared" si="1932"/>
        <v/>
      </c>
      <c r="EG137" s="43" t="str">
        <f t="shared" si="1933"/>
        <v/>
      </c>
      <c r="EH137" s="43" t="str">
        <f t="shared" si="1934"/>
        <v/>
      </c>
      <c r="EI137" s="43" t="str">
        <f t="shared" si="1935"/>
        <v/>
      </c>
      <c r="EJ137" s="43" t="str">
        <f t="shared" si="1936"/>
        <v/>
      </c>
      <c r="EK137" s="43" t="str">
        <f t="shared" si="1937"/>
        <v/>
      </c>
      <c r="EL137" s="43" t="str">
        <f t="shared" si="1938"/>
        <v/>
      </c>
      <c r="EM137" s="43" t="str">
        <f t="shared" si="1939"/>
        <v/>
      </c>
      <c r="EN137" s="43" t="str">
        <f t="shared" si="1940"/>
        <v/>
      </c>
      <c r="EO137" s="43" t="str">
        <f t="shared" si="1941"/>
        <v/>
      </c>
      <c r="EP137" s="43" t="str">
        <f t="shared" si="1942"/>
        <v/>
      </c>
      <c r="EQ137" s="43" t="str">
        <f t="shared" si="1943"/>
        <v/>
      </c>
      <c r="ER137" s="43" t="str">
        <f t="shared" si="1944"/>
        <v/>
      </c>
      <c r="ES137" s="43" t="str">
        <f t="shared" si="1945"/>
        <v/>
      </c>
      <c r="ET137" s="43" t="str">
        <f t="shared" si="1946"/>
        <v/>
      </c>
      <c r="EU137" s="43" t="str">
        <f t="shared" si="1947"/>
        <v/>
      </c>
      <c r="EV137" s="43" t="str">
        <f t="shared" si="1948"/>
        <v/>
      </c>
      <c r="EW137" s="43" t="str">
        <f t="shared" si="1949"/>
        <v/>
      </c>
      <c r="EX137" s="43" t="str">
        <f t="shared" si="1950"/>
        <v/>
      </c>
      <c r="EY137" s="43" t="str">
        <f t="shared" si="1951"/>
        <v/>
      </c>
      <c r="EZ137" s="43" t="str">
        <f t="shared" si="1952"/>
        <v/>
      </c>
      <c r="FA137" s="43" t="str">
        <f t="shared" si="1953"/>
        <v/>
      </c>
      <c r="FB137" s="43" t="str">
        <f t="shared" si="1954"/>
        <v/>
      </c>
      <c r="FC137" s="43" t="str">
        <f t="shared" si="1955"/>
        <v/>
      </c>
      <c r="FD137" s="43" t="str">
        <f t="shared" si="1956"/>
        <v/>
      </c>
      <c r="FE137" s="43" t="str">
        <f t="shared" si="1957"/>
        <v/>
      </c>
      <c r="FF137" s="43" t="str">
        <f t="shared" si="1958"/>
        <v/>
      </c>
      <c r="FG137" s="43" t="str">
        <f t="shared" si="1959"/>
        <v/>
      </c>
      <c r="FH137" s="43" t="str">
        <f t="shared" si="1960"/>
        <v/>
      </c>
      <c r="FI137" s="43" t="str">
        <f t="shared" si="1961"/>
        <v/>
      </c>
      <c r="FJ137" s="43" t="str">
        <f t="shared" si="1962"/>
        <v/>
      </c>
      <c r="FK137" s="43" t="str">
        <f t="shared" si="1963"/>
        <v/>
      </c>
      <c r="FL137" s="43" t="str">
        <f t="shared" si="1964"/>
        <v/>
      </c>
      <c r="FM137" s="43" t="str">
        <f t="shared" si="1965"/>
        <v/>
      </c>
      <c r="FN137" s="43" t="str">
        <f t="shared" si="1966"/>
        <v/>
      </c>
      <c r="FO137" s="43" t="str">
        <f t="shared" si="1967"/>
        <v/>
      </c>
      <c r="FP137" s="43" t="str">
        <f t="shared" si="1968"/>
        <v/>
      </c>
      <c r="FQ137" s="43" t="str">
        <f t="shared" si="1969"/>
        <v/>
      </c>
      <c r="FR137" s="43" t="str">
        <f t="shared" si="1970"/>
        <v/>
      </c>
      <c r="FS137" s="43" t="str">
        <f t="shared" si="1971"/>
        <v/>
      </c>
    </row>
    <row r="138" ht="15" spans="1:175">
      <c r="A138" s="4"/>
      <c r="B138" s="4" t="s">
        <v>476</v>
      </c>
      <c r="C138" s="5" t="s">
        <v>477</v>
      </c>
      <c r="T138" s="5" t="s">
        <v>478</v>
      </c>
      <c r="U138" s="59" t="str">
        <f t="shared" si="1168"/>
        <v>ReplaceableTextures\\CommandButtons\\BTNIN12.blp</v>
      </c>
      <c r="CN138" s="12" t="str">
        <f t="shared" si="1678"/>
        <v>InitUnitState('IN12',,,,,,,,,,)</v>
      </c>
      <c r="CO138" s="12" t="str">
        <f t="shared" si="1679"/>
        <v>InitUnitNormal('IN12',,,,,,,,,,)</v>
      </c>
      <c r="CP138" s="12" t="str">
        <f t="shared" si="1680"/>
        <v>InitUnitMagic('IN12',,,,,,,,,,)</v>
      </c>
      <c r="CQ138" s="12" t="str">
        <f t="shared" si="1681"/>
        <v>InitUnitAdd('IN12',,,,,,,,,,)</v>
      </c>
      <c r="CR138" s="12" t="str">
        <f t="shared" si="1899"/>
        <v>InitEquipData('IN12',,"",,,,,'','','','','','',"ReplaceableTextures\\CommandButtons\\BTNIT06.blp")</v>
      </c>
      <c r="CU138" s="71" t="str">
        <f t="shared" si="1900"/>
        <v>|n</v>
      </c>
      <c r="CV138" s="5" t="str">
        <f t="shared" si="1901"/>
        <v>获得|Cffffc92620000|r金币</v>
      </c>
      <c r="CW138" s="6"/>
      <c r="CX138" s="6"/>
      <c r="CY138" s="6"/>
      <c r="CZ138" s="6"/>
      <c r="DA138" s="6"/>
      <c r="DB138" s="43" t="str">
        <f t="shared" si="1902"/>
        <v/>
      </c>
      <c r="DC138" s="43" t="str">
        <f t="shared" si="1903"/>
        <v/>
      </c>
      <c r="DD138" s="43" t="str">
        <f t="shared" si="1904"/>
        <v/>
      </c>
      <c r="DE138" s="43" t="str">
        <f t="shared" si="1905"/>
        <v/>
      </c>
      <c r="DF138" s="43" t="str">
        <f t="shared" si="1906"/>
        <v/>
      </c>
      <c r="DG138" s="43" t="str">
        <f t="shared" si="1907"/>
        <v/>
      </c>
      <c r="DH138" s="43" t="str">
        <f t="shared" si="1908"/>
        <v/>
      </c>
      <c r="DI138" s="43" t="str">
        <f t="shared" si="1909"/>
        <v/>
      </c>
      <c r="DJ138" s="43" t="str">
        <f t="shared" si="1910"/>
        <v/>
      </c>
      <c r="DK138" s="43" t="str">
        <f t="shared" si="1911"/>
        <v/>
      </c>
      <c r="DL138" s="43" t="str">
        <f t="shared" si="1912"/>
        <v/>
      </c>
      <c r="DM138" s="43" t="str">
        <f t="shared" si="1913"/>
        <v/>
      </c>
      <c r="DN138" s="43" t="str">
        <f t="shared" si="1914"/>
        <v/>
      </c>
      <c r="DO138" s="43" t="str">
        <f t="shared" si="1915"/>
        <v/>
      </c>
      <c r="DP138" s="43" t="str">
        <f t="shared" si="1916"/>
        <v/>
      </c>
      <c r="DQ138" s="43" t="str">
        <f t="shared" si="1917"/>
        <v/>
      </c>
      <c r="DR138" s="43" t="str">
        <f t="shared" si="1918"/>
        <v/>
      </c>
      <c r="DS138" s="43" t="str">
        <f t="shared" si="1919"/>
        <v/>
      </c>
      <c r="DT138" s="43" t="str">
        <f t="shared" si="1920"/>
        <v/>
      </c>
      <c r="DU138" s="43" t="str">
        <f t="shared" si="1921"/>
        <v/>
      </c>
      <c r="DV138" s="43" t="str">
        <f t="shared" si="1922"/>
        <v/>
      </c>
      <c r="DW138" s="43" t="str">
        <f t="shared" si="1923"/>
        <v/>
      </c>
      <c r="DX138" s="43" t="str">
        <f t="shared" si="1924"/>
        <v/>
      </c>
      <c r="DY138" s="43" t="str">
        <f t="shared" si="1925"/>
        <v/>
      </c>
      <c r="DZ138" s="43" t="str">
        <f t="shared" si="1926"/>
        <v/>
      </c>
      <c r="EA138" s="43" t="str">
        <f t="shared" si="1927"/>
        <v/>
      </c>
      <c r="EB138" s="43" t="str">
        <f t="shared" si="1928"/>
        <v/>
      </c>
      <c r="EC138" s="43" t="str">
        <f t="shared" si="1929"/>
        <v/>
      </c>
      <c r="ED138" s="43" t="str">
        <f t="shared" si="1930"/>
        <v/>
      </c>
      <c r="EE138" s="43" t="str">
        <f t="shared" si="1931"/>
        <v/>
      </c>
      <c r="EF138" s="43" t="str">
        <f t="shared" si="1932"/>
        <v/>
      </c>
      <c r="EG138" s="43" t="str">
        <f t="shared" si="1933"/>
        <v/>
      </c>
      <c r="EH138" s="43" t="str">
        <f t="shared" si="1934"/>
        <v/>
      </c>
      <c r="EI138" s="43" t="str">
        <f t="shared" si="1935"/>
        <v/>
      </c>
      <c r="EJ138" s="43" t="str">
        <f t="shared" si="1936"/>
        <v/>
      </c>
      <c r="EK138" s="43" t="str">
        <f t="shared" si="1937"/>
        <v/>
      </c>
      <c r="EL138" s="43" t="str">
        <f t="shared" si="1938"/>
        <v/>
      </c>
      <c r="EM138" s="43" t="str">
        <f t="shared" si="1939"/>
        <v/>
      </c>
      <c r="EN138" s="43" t="str">
        <f t="shared" si="1940"/>
        <v/>
      </c>
      <c r="EO138" s="43" t="str">
        <f t="shared" si="1941"/>
        <v/>
      </c>
      <c r="EP138" s="43" t="str">
        <f t="shared" si="1942"/>
        <v/>
      </c>
      <c r="EQ138" s="43" t="str">
        <f t="shared" si="1943"/>
        <v/>
      </c>
      <c r="ER138" s="43" t="str">
        <f t="shared" si="1944"/>
        <v/>
      </c>
      <c r="ES138" s="43" t="str">
        <f t="shared" si="1945"/>
        <v/>
      </c>
      <c r="ET138" s="43" t="str">
        <f t="shared" si="1946"/>
        <v/>
      </c>
      <c r="EU138" s="43" t="str">
        <f t="shared" si="1947"/>
        <v/>
      </c>
      <c r="EV138" s="43" t="str">
        <f t="shared" si="1948"/>
        <v/>
      </c>
      <c r="EW138" s="43" t="str">
        <f t="shared" si="1949"/>
        <v/>
      </c>
      <c r="EX138" s="43" t="str">
        <f t="shared" si="1950"/>
        <v/>
      </c>
      <c r="EY138" s="43" t="str">
        <f t="shared" si="1951"/>
        <v/>
      </c>
      <c r="EZ138" s="43" t="str">
        <f t="shared" si="1952"/>
        <v/>
      </c>
      <c r="FA138" s="43" t="str">
        <f t="shared" si="1953"/>
        <v/>
      </c>
      <c r="FB138" s="43" t="str">
        <f t="shared" si="1954"/>
        <v/>
      </c>
      <c r="FC138" s="43" t="str">
        <f t="shared" si="1955"/>
        <v/>
      </c>
      <c r="FD138" s="43" t="str">
        <f t="shared" si="1956"/>
        <v/>
      </c>
      <c r="FE138" s="43" t="str">
        <f t="shared" si="1957"/>
        <v/>
      </c>
      <c r="FF138" s="43" t="str">
        <f t="shared" si="1958"/>
        <v/>
      </c>
      <c r="FG138" s="43" t="str">
        <f t="shared" si="1959"/>
        <v/>
      </c>
      <c r="FH138" s="43" t="str">
        <f t="shared" si="1960"/>
        <v/>
      </c>
      <c r="FI138" s="43" t="str">
        <f t="shared" si="1961"/>
        <v/>
      </c>
      <c r="FJ138" s="43" t="str">
        <f t="shared" si="1962"/>
        <v/>
      </c>
      <c r="FK138" s="43" t="str">
        <f t="shared" si="1963"/>
        <v/>
      </c>
      <c r="FL138" s="43" t="str">
        <f t="shared" si="1964"/>
        <v/>
      </c>
      <c r="FM138" s="43" t="str">
        <f t="shared" si="1965"/>
        <v/>
      </c>
      <c r="FN138" s="43" t="str">
        <f t="shared" si="1966"/>
        <v/>
      </c>
      <c r="FO138" s="43" t="str">
        <f t="shared" si="1967"/>
        <v/>
      </c>
      <c r="FP138" s="43" t="str">
        <f t="shared" si="1968"/>
        <v/>
      </c>
      <c r="FQ138" s="43" t="str">
        <f t="shared" si="1969"/>
        <v/>
      </c>
      <c r="FR138" s="43" t="str">
        <f t="shared" si="1970"/>
        <v/>
      </c>
      <c r="FS138" s="43" t="str">
        <f t="shared" si="1971"/>
        <v/>
      </c>
    </row>
    <row r="139" ht="15" spans="1:175">
      <c r="A139" s="4"/>
      <c r="B139" s="4" t="s">
        <v>479</v>
      </c>
      <c r="C139" s="5" t="s">
        <v>480</v>
      </c>
      <c r="T139" s="5" t="s">
        <v>481</v>
      </c>
      <c r="U139" s="59" t="str">
        <f t="shared" si="1168"/>
        <v>ReplaceableTextures\\CommandButtons\\BTNIN13.blp</v>
      </c>
      <c r="CN139" s="12" t="str">
        <f t="shared" si="1678"/>
        <v>InitUnitState('IN13',,,,,,,,,,)</v>
      </c>
      <c r="CO139" s="12" t="str">
        <f t="shared" si="1679"/>
        <v>InitUnitNormal('IN13',,,,,,,,,,)</v>
      </c>
      <c r="CP139" s="12" t="str">
        <f t="shared" si="1680"/>
        <v>InitUnitMagic('IN13',,,,,,,,,,)</v>
      </c>
      <c r="CQ139" s="12" t="str">
        <f t="shared" si="1681"/>
        <v>InitUnitAdd('IN13',,,,,,,,,,)</v>
      </c>
      <c r="CR139" s="12" t="str">
        <f t="shared" si="1899"/>
        <v>InitEquipData('IN13',,"",,,,,'','','','','','',"ReplaceableTextures\\CommandButtons\\BTNIT07.blp")</v>
      </c>
      <c r="CU139" s="71" t="str">
        <f t="shared" si="1533"/>
        <v>|n</v>
      </c>
      <c r="CV139" s="5" t="str">
        <f t="shared" si="1534"/>
        <v>获得|Cffffc9262000|r金币</v>
      </c>
      <c r="CW139" s="6"/>
      <c r="CX139" s="6"/>
      <c r="CY139" s="6"/>
      <c r="CZ139" s="6"/>
      <c r="DA139" s="6"/>
      <c r="DB139" s="43" t="str">
        <f t="shared" si="1535"/>
        <v/>
      </c>
      <c r="DC139" s="43" t="str">
        <f t="shared" si="1536"/>
        <v/>
      </c>
      <c r="DD139" s="43" t="str">
        <f t="shared" si="1537"/>
        <v/>
      </c>
      <c r="DE139" s="43" t="str">
        <f t="shared" si="1538"/>
        <v/>
      </c>
      <c r="DF139" s="43" t="str">
        <f t="shared" si="1539"/>
        <v/>
      </c>
      <c r="DG139" s="43" t="str">
        <f t="shared" si="1540"/>
        <v/>
      </c>
      <c r="DH139" s="43" t="str">
        <f t="shared" si="1541"/>
        <v/>
      </c>
      <c r="DI139" s="43" t="str">
        <f t="shared" si="1542"/>
        <v/>
      </c>
      <c r="DJ139" s="43" t="str">
        <f t="shared" si="1543"/>
        <v/>
      </c>
      <c r="DK139" s="43" t="str">
        <f t="shared" si="1544"/>
        <v/>
      </c>
      <c r="DL139" s="43" t="str">
        <f t="shared" si="1545"/>
        <v/>
      </c>
      <c r="DM139" s="43" t="str">
        <f t="shared" si="1546"/>
        <v/>
      </c>
      <c r="DN139" s="43" t="str">
        <f t="shared" si="1547"/>
        <v/>
      </c>
      <c r="DO139" s="43" t="str">
        <f t="shared" si="1548"/>
        <v/>
      </c>
      <c r="DP139" s="43" t="str">
        <f t="shared" si="1549"/>
        <v/>
      </c>
      <c r="DQ139" s="43" t="str">
        <f t="shared" si="1550"/>
        <v/>
      </c>
      <c r="DR139" s="43" t="str">
        <f t="shared" si="1551"/>
        <v/>
      </c>
      <c r="DS139" s="43" t="str">
        <f t="shared" si="1552"/>
        <v/>
      </c>
      <c r="DT139" s="43" t="str">
        <f t="shared" si="1553"/>
        <v/>
      </c>
      <c r="DU139" s="43" t="str">
        <f t="shared" si="1554"/>
        <v/>
      </c>
      <c r="DV139" s="43" t="str">
        <f t="shared" si="1555"/>
        <v/>
      </c>
      <c r="DW139" s="43" t="str">
        <f t="shared" si="1556"/>
        <v/>
      </c>
      <c r="DX139" s="43" t="str">
        <f t="shared" si="1557"/>
        <v/>
      </c>
      <c r="DY139" s="43" t="str">
        <f t="shared" si="1558"/>
        <v/>
      </c>
      <c r="DZ139" s="43" t="str">
        <f t="shared" si="1559"/>
        <v/>
      </c>
      <c r="EA139" s="43" t="str">
        <f t="shared" si="1560"/>
        <v/>
      </c>
      <c r="EB139" s="43" t="str">
        <f t="shared" si="1561"/>
        <v/>
      </c>
      <c r="EC139" s="43" t="str">
        <f t="shared" si="1562"/>
        <v/>
      </c>
      <c r="ED139" s="43" t="str">
        <f t="shared" si="1563"/>
        <v/>
      </c>
      <c r="EE139" s="43" t="str">
        <f t="shared" si="1564"/>
        <v/>
      </c>
      <c r="EF139" s="43" t="str">
        <f t="shared" si="1565"/>
        <v/>
      </c>
      <c r="EG139" s="43" t="str">
        <f t="shared" si="1566"/>
        <v/>
      </c>
      <c r="EH139" s="43" t="str">
        <f t="shared" si="1567"/>
        <v/>
      </c>
      <c r="EI139" s="43" t="str">
        <f t="shared" si="1568"/>
        <v/>
      </c>
      <c r="EJ139" s="43" t="str">
        <f t="shared" si="1569"/>
        <v/>
      </c>
      <c r="EK139" s="43" t="str">
        <f t="shared" si="1570"/>
        <v/>
      </c>
      <c r="EL139" s="43" t="str">
        <f t="shared" si="1571"/>
        <v/>
      </c>
      <c r="EM139" s="43" t="str">
        <f t="shared" si="1572"/>
        <v/>
      </c>
      <c r="EN139" s="43" t="str">
        <f t="shared" si="1573"/>
        <v/>
      </c>
      <c r="EO139" s="43" t="str">
        <f t="shared" si="1574"/>
        <v/>
      </c>
      <c r="EP139" s="43" t="str">
        <f t="shared" si="1575"/>
        <v/>
      </c>
      <c r="EQ139" s="43" t="str">
        <f t="shared" si="1576"/>
        <v/>
      </c>
      <c r="ER139" s="43" t="str">
        <f t="shared" si="1577"/>
        <v/>
      </c>
      <c r="ES139" s="43" t="str">
        <f t="shared" si="1578"/>
        <v/>
      </c>
      <c r="ET139" s="43" t="str">
        <f t="shared" si="1579"/>
        <v/>
      </c>
      <c r="EU139" s="43" t="str">
        <f t="shared" si="1580"/>
        <v/>
      </c>
      <c r="EV139" s="43" t="str">
        <f t="shared" si="1581"/>
        <v/>
      </c>
      <c r="EW139" s="43" t="str">
        <f t="shared" si="1582"/>
        <v/>
      </c>
      <c r="EX139" s="43" t="str">
        <f t="shared" si="1583"/>
        <v/>
      </c>
      <c r="EY139" s="43" t="str">
        <f t="shared" si="1584"/>
        <v/>
      </c>
      <c r="EZ139" s="43" t="str">
        <f t="shared" si="1585"/>
        <v/>
      </c>
      <c r="FA139" s="43" t="str">
        <f t="shared" si="1586"/>
        <v/>
      </c>
      <c r="FB139" s="43" t="str">
        <f t="shared" si="1587"/>
        <v/>
      </c>
      <c r="FC139" s="43" t="str">
        <f t="shared" si="1588"/>
        <v/>
      </c>
      <c r="FD139" s="43" t="str">
        <f t="shared" si="1589"/>
        <v/>
      </c>
      <c r="FE139" s="43" t="str">
        <f t="shared" si="1590"/>
        <v/>
      </c>
      <c r="FF139" s="43" t="str">
        <f t="shared" si="1591"/>
        <v/>
      </c>
      <c r="FG139" s="43" t="str">
        <f t="shared" si="1592"/>
        <v/>
      </c>
      <c r="FH139" s="43" t="str">
        <f t="shared" si="1593"/>
        <v/>
      </c>
      <c r="FI139" s="43" t="str">
        <f t="shared" si="1594"/>
        <v/>
      </c>
      <c r="FJ139" s="43" t="str">
        <f t="shared" si="1595"/>
        <v/>
      </c>
      <c r="FK139" s="43" t="str">
        <f t="shared" si="1596"/>
        <v/>
      </c>
      <c r="FL139" s="43" t="str">
        <f t="shared" si="1597"/>
        <v/>
      </c>
      <c r="FM139" s="43" t="str">
        <f t="shared" si="1598"/>
        <v/>
      </c>
      <c r="FN139" s="43" t="str">
        <f t="shared" si="1599"/>
        <v/>
      </c>
      <c r="FO139" s="43" t="str">
        <f t="shared" si="1600"/>
        <v/>
      </c>
      <c r="FP139" s="43" t="str">
        <f t="shared" si="1601"/>
        <v/>
      </c>
      <c r="FQ139" s="43" t="str">
        <f t="shared" si="1602"/>
        <v/>
      </c>
      <c r="FR139" s="43" t="str">
        <f t="shared" si="1603"/>
        <v/>
      </c>
      <c r="FS139" s="43" t="str">
        <f t="shared" si="1604"/>
        <v/>
      </c>
    </row>
    <row r="140" ht="41.4" spans="1:175">
      <c r="A140" s="4"/>
      <c r="B140" s="4" t="s">
        <v>482</v>
      </c>
      <c r="C140" s="5" t="s">
        <v>483</v>
      </c>
      <c r="T140" s="84" t="s">
        <v>484</v>
      </c>
      <c r="U140" s="59" t="str">
        <f t="shared" si="1168"/>
        <v>ReplaceableTextures\\CommandButtons\\BTNIN14.blp</v>
      </c>
      <c r="CN140" s="12" t="str">
        <f t="shared" si="1678"/>
        <v>InitUnitState('IN14',,,,,,,,,,)</v>
      </c>
      <c r="CO140" s="12" t="str">
        <f t="shared" si="1679"/>
        <v>InitUnitNormal('IN14',,,,,,,,,,)</v>
      </c>
      <c r="CP140" s="12" t="str">
        <f t="shared" si="1680"/>
        <v>InitUnitMagic('IN14',,,,,,,,,,)</v>
      </c>
      <c r="CQ140" s="12" t="str">
        <f t="shared" si="1681"/>
        <v>InitUnitAdd('IN14',,,,,,,,,,)</v>
      </c>
      <c r="CR140" s="12" t="str">
        <f t="shared" si="1899"/>
        <v>InitEquipData('IN14',,"",,,,,'','','','','','',"ReplaceableTextures\\CommandButtons\\BTNIT08.blp")</v>
      </c>
      <c r="CU140" s="71" t="str">
        <f t="shared" si="1533"/>
        <v>|n</v>
      </c>
      <c r="CV140" s="5" t="str">
        <f t="shared" si="1534"/>
        <v>若使用后|Cffffc9265|r秒内|Cffffc926基地濒死|r，则击杀其600码范围内所有生物。|n|n|Cff00ff7f不分敌我|r</v>
      </c>
      <c r="CW140" s="6"/>
      <c r="CX140" s="6"/>
      <c r="CY140" s="6"/>
      <c r="CZ140" s="6"/>
      <c r="DA140" s="6"/>
      <c r="DB140" s="43" t="str">
        <f t="shared" si="1535"/>
        <v/>
      </c>
      <c r="DC140" s="43" t="str">
        <f t="shared" si="1536"/>
        <v/>
      </c>
      <c r="DD140" s="43" t="str">
        <f t="shared" si="1537"/>
        <v/>
      </c>
      <c r="DE140" s="43" t="str">
        <f t="shared" si="1538"/>
        <v/>
      </c>
      <c r="DF140" s="43" t="str">
        <f t="shared" si="1539"/>
        <v/>
      </c>
      <c r="DG140" s="43" t="str">
        <f t="shared" si="1540"/>
        <v/>
      </c>
      <c r="DH140" s="43" t="str">
        <f t="shared" si="1541"/>
        <v/>
      </c>
      <c r="DI140" s="43" t="str">
        <f t="shared" si="1542"/>
        <v/>
      </c>
      <c r="DJ140" s="43" t="str">
        <f t="shared" si="1543"/>
        <v/>
      </c>
      <c r="DK140" s="43" t="str">
        <f t="shared" si="1544"/>
        <v/>
      </c>
      <c r="DL140" s="43" t="str">
        <f t="shared" si="1545"/>
        <v/>
      </c>
      <c r="DM140" s="43" t="str">
        <f t="shared" si="1546"/>
        <v/>
      </c>
      <c r="DN140" s="43" t="str">
        <f t="shared" si="1547"/>
        <v/>
      </c>
      <c r="DO140" s="43" t="str">
        <f t="shared" si="1548"/>
        <v/>
      </c>
      <c r="DP140" s="43" t="str">
        <f t="shared" si="1549"/>
        <v/>
      </c>
      <c r="DQ140" s="43" t="str">
        <f t="shared" si="1550"/>
        <v/>
      </c>
      <c r="DR140" s="43" t="str">
        <f t="shared" si="1551"/>
        <v/>
      </c>
      <c r="DS140" s="43" t="str">
        <f t="shared" si="1552"/>
        <v/>
      </c>
      <c r="DT140" s="43" t="str">
        <f t="shared" si="1553"/>
        <v/>
      </c>
      <c r="DU140" s="43" t="str">
        <f t="shared" si="1554"/>
        <v/>
      </c>
      <c r="DV140" s="43" t="str">
        <f t="shared" si="1555"/>
        <v/>
      </c>
      <c r="DW140" s="43" t="str">
        <f t="shared" si="1556"/>
        <v/>
      </c>
      <c r="DX140" s="43" t="str">
        <f t="shared" si="1557"/>
        <v/>
      </c>
      <c r="DY140" s="43" t="str">
        <f t="shared" si="1558"/>
        <v/>
      </c>
      <c r="DZ140" s="43" t="str">
        <f t="shared" si="1559"/>
        <v/>
      </c>
      <c r="EA140" s="43" t="str">
        <f t="shared" si="1560"/>
        <v/>
      </c>
      <c r="EB140" s="43" t="str">
        <f t="shared" si="1561"/>
        <v/>
      </c>
      <c r="EC140" s="43" t="str">
        <f t="shared" si="1562"/>
        <v/>
      </c>
      <c r="ED140" s="43" t="str">
        <f t="shared" si="1563"/>
        <v/>
      </c>
      <c r="EE140" s="43" t="str">
        <f t="shared" si="1564"/>
        <v/>
      </c>
      <c r="EF140" s="43" t="str">
        <f t="shared" si="1565"/>
        <v/>
      </c>
      <c r="EG140" s="43" t="str">
        <f t="shared" si="1566"/>
        <v/>
      </c>
      <c r="EH140" s="43" t="str">
        <f t="shared" si="1567"/>
        <v/>
      </c>
      <c r="EI140" s="43" t="str">
        <f t="shared" si="1568"/>
        <v/>
      </c>
      <c r="EJ140" s="43" t="str">
        <f t="shared" si="1569"/>
        <v/>
      </c>
      <c r="EK140" s="43" t="str">
        <f t="shared" si="1570"/>
        <v/>
      </c>
      <c r="EL140" s="43" t="str">
        <f t="shared" si="1571"/>
        <v/>
      </c>
      <c r="EM140" s="43" t="str">
        <f t="shared" si="1572"/>
        <v/>
      </c>
      <c r="EN140" s="43" t="str">
        <f t="shared" si="1573"/>
        <v/>
      </c>
      <c r="EO140" s="43" t="str">
        <f t="shared" si="1574"/>
        <v/>
      </c>
      <c r="EP140" s="43" t="str">
        <f t="shared" si="1575"/>
        <v/>
      </c>
      <c r="EQ140" s="43" t="str">
        <f t="shared" si="1576"/>
        <v/>
      </c>
      <c r="ER140" s="43" t="str">
        <f t="shared" si="1577"/>
        <v/>
      </c>
      <c r="ES140" s="43" t="str">
        <f t="shared" si="1578"/>
        <v/>
      </c>
      <c r="ET140" s="43" t="str">
        <f t="shared" si="1579"/>
        <v/>
      </c>
      <c r="EU140" s="43" t="str">
        <f t="shared" si="1580"/>
        <v/>
      </c>
      <c r="EV140" s="43" t="str">
        <f t="shared" si="1581"/>
        <v/>
      </c>
      <c r="EW140" s="43" t="str">
        <f t="shared" si="1582"/>
        <v/>
      </c>
      <c r="EX140" s="43" t="str">
        <f t="shared" si="1583"/>
        <v/>
      </c>
      <c r="EY140" s="43" t="str">
        <f t="shared" si="1584"/>
        <v/>
      </c>
      <c r="EZ140" s="43" t="str">
        <f t="shared" si="1585"/>
        <v/>
      </c>
      <c r="FA140" s="43" t="str">
        <f t="shared" si="1586"/>
        <v/>
      </c>
      <c r="FB140" s="43" t="str">
        <f t="shared" si="1587"/>
        <v/>
      </c>
      <c r="FC140" s="43" t="str">
        <f t="shared" si="1588"/>
        <v/>
      </c>
      <c r="FD140" s="43" t="str">
        <f t="shared" si="1589"/>
        <v/>
      </c>
      <c r="FE140" s="43" t="str">
        <f t="shared" si="1590"/>
        <v/>
      </c>
      <c r="FF140" s="43" t="str">
        <f t="shared" si="1591"/>
        <v/>
      </c>
      <c r="FG140" s="43" t="str">
        <f t="shared" si="1592"/>
        <v/>
      </c>
      <c r="FH140" s="43" t="str">
        <f t="shared" si="1593"/>
        <v/>
      </c>
      <c r="FI140" s="43" t="str">
        <f t="shared" si="1594"/>
        <v/>
      </c>
      <c r="FJ140" s="43" t="str">
        <f t="shared" si="1595"/>
        <v/>
      </c>
      <c r="FK140" s="43" t="str">
        <f t="shared" si="1596"/>
        <v/>
      </c>
      <c r="FL140" s="43" t="str">
        <f t="shared" si="1597"/>
        <v/>
      </c>
      <c r="FM140" s="43" t="str">
        <f t="shared" si="1598"/>
        <v/>
      </c>
      <c r="FN140" s="43" t="str">
        <f t="shared" si="1599"/>
        <v/>
      </c>
      <c r="FO140" s="43" t="str">
        <f t="shared" si="1600"/>
        <v/>
      </c>
      <c r="FP140" s="43" t="str">
        <f t="shared" si="1601"/>
        <v/>
      </c>
      <c r="FQ140" s="43" t="str">
        <f t="shared" si="1602"/>
        <v/>
      </c>
      <c r="FR140" s="43" t="str">
        <f t="shared" si="1603"/>
        <v/>
      </c>
      <c r="FS140" s="43" t="str">
        <f t="shared" si="1604"/>
        <v/>
      </c>
    </row>
    <row r="141" ht="41.4" spans="1:175">
      <c r="A141" s="4"/>
      <c r="B141" s="4" t="s">
        <v>485</v>
      </c>
      <c r="C141" s="5" t="s">
        <v>486</v>
      </c>
      <c r="T141" s="90" t="s">
        <v>487</v>
      </c>
      <c r="U141" s="59" t="str">
        <f t="shared" si="1168"/>
        <v>ReplaceableTextures\\CommandButtons\\BTNIN15.blp</v>
      </c>
      <c r="CN141" s="12" t="str">
        <f t="shared" si="1678"/>
        <v>InitUnitState('IN15',,,,,,,,,,)</v>
      </c>
      <c r="CO141" s="12" t="str">
        <f t="shared" si="1679"/>
        <v>InitUnitNormal('IN15',,,,,,,,,,)</v>
      </c>
      <c r="CP141" s="12" t="str">
        <f t="shared" si="1680"/>
        <v>InitUnitMagic('IN15',,,,,,,,,,)</v>
      </c>
      <c r="CQ141" s="12" t="str">
        <f t="shared" si="1681"/>
        <v>InitUnitAdd('IN15',,,,,,,,,,)</v>
      </c>
      <c r="CR141" s="12" t="str">
        <f t="shared" si="1899"/>
        <v>InitEquipData('IN15',,"",,,,,'','','','','','',"ReplaceableTextures\\CommandButtons\\BTNIT09.blp")</v>
      </c>
      <c r="CU141" s="71" t="str">
        <f t="shared" ref="CU141:CU143" si="197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5" t="str">
        <f t="shared" ref="CV141:CV143" si="1973">T141</f>
        <v>获得一个|Cffffc926补天石|r。|n|n|Cff00ff7f“法宝F4”查看，重置指定法宝，品质不变。|r</v>
      </c>
      <c r="CW141" s="6"/>
      <c r="CX141" s="6"/>
      <c r="CY141" s="6"/>
      <c r="CZ141" s="6"/>
      <c r="DA141" s="6"/>
      <c r="DB141" s="43" t="str">
        <f t="shared" ref="DB141:DB143" si="1974">IF(V141="","","|n"&amp;DB$2&amp;"+"&amp;V141&amp;DB$1)</f>
        <v/>
      </c>
      <c r="DC141" s="43" t="str">
        <f t="shared" ref="DC141:DC143" si="1975">IF(W141="","","|n"&amp;DC$2&amp;"+"&amp;W141&amp;DC$1)</f>
        <v/>
      </c>
      <c r="DD141" s="43" t="str">
        <f t="shared" ref="DD141:DD143" si="1976">IF(X141="","","|n"&amp;DD$2&amp;"+"&amp;X141&amp;DD$1)</f>
        <v/>
      </c>
      <c r="DE141" s="43" t="str">
        <f t="shared" ref="DE141:DE143" si="1977">IF(Y141="","","|n"&amp;DE$2&amp;"+"&amp;Y141&amp;DE$1)</f>
        <v/>
      </c>
      <c r="DF141" s="43" t="str">
        <f t="shared" ref="DF141:DF143" si="1978">IF(Z141="","","|n"&amp;DF$2&amp;"+"&amp;Z141&amp;DF$1)</f>
        <v/>
      </c>
      <c r="DG141" s="43" t="str">
        <f t="shared" ref="DG141:DG143" si="1979">IF(AA141="","","|n"&amp;DG$2&amp;"+"&amp;AA141&amp;DG$1)</f>
        <v/>
      </c>
      <c r="DH141" s="43" t="str">
        <f t="shared" ref="DH141:DH143" si="1980">IF(AB141="","","|n"&amp;DH$2&amp;"+"&amp;AB141&amp;DH$1)</f>
        <v/>
      </c>
      <c r="DI141" s="43" t="str">
        <f t="shared" ref="DI141:DI143" si="1981">IF(AC141="","","|n"&amp;DI$2&amp;"+"&amp;AC141&amp;DI$1)</f>
        <v/>
      </c>
      <c r="DJ141" s="43" t="str">
        <f t="shared" ref="DJ141:DJ143" si="1982">IF(AD141="","","|n"&amp;DJ$2&amp;"+"&amp;AD141&amp;DJ$1)</f>
        <v/>
      </c>
      <c r="DK141" s="43" t="str">
        <f t="shared" ref="DK141:DK143" si="1983">IF(AE141="","","|n"&amp;DK$2&amp;"+"&amp;AE141&amp;DK$1)</f>
        <v/>
      </c>
      <c r="DL141" s="43" t="str">
        <f t="shared" ref="DL141:DL143" si="1984">IF(AF141="","","|n"&amp;DL$2&amp;"+"&amp;AF141&amp;DL$1)</f>
        <v/>
      </c>
      <c r="DM141" s="43" t="str">
        <f t="shared" ref="DM141:DM143" si="1985">IF(AG141="","","|n"&amp;DM$2&amp;"+"&amp;AG141&amp;DM$1)</f>
        <v/>
      </c>
      <c r="DN141" s="43" t="str">
        <f t="shared" ref="DN141:DN143" si="1986">IF(AH141="","","|n"&amp;DN$2&amp;"+"&amp;AH141&amp;DN$1)</f>
        <v/>
      </c>
      <c r="DO141" s="43" t="str">
        <f t="shared" ref="DO141:DO143" si="1987">IF(AI141="","","|n"&amp;DO$2&amp;"+"&amp;AI141&amp;DO$1)</f>
        <v/>
      </c>
      <c r="DP141" s="43" t="str">
        <f t="shared" ref="DP141:DP143" si="1988">IF(AJ141="","","|n"&amp;DP$2&amp;"+"&amp;AJ141&amp;DP$1)</f>
        <v/>
      </c>
      <c r="DQ141" s="43" t="str">
        <f t="shared" ref="DQ141:DQ143" si="1989">IF(AK141="","","|n"&amp;DQ$2&amp;"+"&amp;AK141&amp;DQ$1)</f>
        <v/>
      </c>
      <c r="DR141" s="43" t="str">
        <f t="shared" ref="DR141:DR143" si="1990">IF(AL141="","","|n"&amp;DR$2&amp;"+"&amp;AL141&amp;DR$1)</f>
        <v/>
      </c>
      <c r="DS141" s="43" t="str">
        <f t="shared" ref="DS141:DS143" si="1991">IF(AM141="","","|n"&amp;DS$2&amp;"+"&amp;AM141&amp;DS$1)</f>
        <v/>
      </c>
      <c r="DT141" s="43" t="str">
        <f t="shared" ref="DT141:DT143" si="1992">IF(AN141="","","|n"&amp;DT$2&amp;"+"&amp;AN141&amp;DT$1)</f>
        <v/>
      </c>
      <c r="DU141" s="43" t="str">
        <f t="shared" ref="DU141:DU143" si="1993">IF(AO141="","","|n"&amp;DU$2&amp;"+"&amp;AO141&amp;DU$1)</f>
        <v/>
      </c>
      <c r="DV141" s="43" t="str">
        <f t="shared" ref="DV141:DV143" si="1994">IF(AP141="","","|n"&amp;DV$2&amp;"+"&amp;AP141&amp;DV$1)</f>
        <v/>
      </c>
      <c r="DW141" s="43" t="str">
        <f t="shared" ref="DW141:DW143" si="1995">IF(AQ141="","","|n"&amp;DW$2&amp;"+"&amp;AQ141&amp;DW$1)</f>
        <v/>
      </c>
      <c r="DX141" s="43" t="str">
        <f t="shared" ref="DX141:DX143" si="1996">IF(AR141="","","|n"&amp;DX$2&amp;"+"&amp;AR141&amp;DX$1)</f>
        <v/>
      </c>
      <c r="DY141" s="43" t="str">
        <f t="shared" ref="DY141:DY143" si="1997">IF(AS141="","","|n"&amp;DY$2&amp;"+"&amp;AS141&amp;DY$1)</f>
        <v/>
      </c>
      <c r="DZ141" s="43" t="str">
        <f t="shared" ref="DZ141:DZ143" si="1998">IF(AT141="","","|n"&amp;DZ$2&amp;"+"&amp;AT141&amp;DZ$1)</f>
        <v/>
      </c>
      <c r="EA141" s="43" t="str">
        <f t="shared" ref="EA141:EA143" si="1999">IF(AU141="","","|n"&amp;EA$2&amp;"+"&amp;AU141&amp;EA$1)</f>
        <v/>
      </c>
      <c r="EB141" s="43" t="str">
        <f t="shared" ref="EB141:EB143" si="2000">IF(AV141="","","|n"&amp;EB$2&amp;"+"&amp;AV141&amp;EB$1)</f>
        <v/>
      </c>
      <c r="EC141" s="43" t="str">
        <f t="shared" ref="EC141:EC143" si="2001">IF(AW141="","","|n"&amp;EC$2&amp;"+"&amp;AW141&amp;EC$1)</f>
        <v/>
      </c>
      <c r="ED141" s="43" t="str">
        <f t="shared" ref="ED141:ED143" si="2002">IF(AX141="","","|n"&amp;ED$2&amp;"+"&amp;AX141&amp;ED$1)</f>
        <v/>
      </c>
      <c r="EE141" s="43" t="str">
        <f t="shared" ref="EE141:EE143" si="2003">IF(AY141="","","|n"&amp;EE$2&amp;"+"&amp;AY141&amp;EE$1)</f>
        <v/>
      </c>
      <c r="EF141" s="43" t="str">
        <f t="shared" ref="EF141:EF143" si="2004">IF(AZ141="","","|n"&amp;EF$2&amp;"+"&amp;AZ141&amp;EF$1)</f>
        <v/>
      </c>
      <c r="EG141" s="43" t="str">
        <f t="shared" ref="EG141:EG143" si="2005">IF(BA141="","","|n"&amp;EG$2&amp;"+"&amp;BA141&amp;EG$1)</f>
        <v/>
      </c>
      <c r="EH141" s="43" t="str">
        <f t="shared" ref="EH141:EH143" si="2006">IF(BB141="","","|n"&amp;EH$2&amp;"+"&amp;BB141&amp;EH$1)</f>
        <v/>
      </c>
      <c r="EI141" s="43" t="str">
        <f t="shared" ref="EI141:EI143" si="2007">IF(BC141="","","|n"&amp;EI$2&amp;"+"&amp;BC141&amp;EI$1)</f>
        <v/>
      </c>
      <c r="EJ141" s="43" t="str">
        <f t="shared" ref="EJ141:EJ143" si="2008">IF(BD141="","","|n"&amp;EJ$2&amp;"+"&amp;BD141&amp;EJ$1)</f>
        <v/>
      </c>
      <c r="EK141" s="43" t="str">
        <f t="shared" ref="EK141:EK143" si="2009">IF(BE141="","","|n"&amp;EK$2&amp;"+"&amp;BE141&amp;EK$1)</f>
        <v/>
      </c>
      <c r="EL141" s="43" t="str">
        <f t="shared" ref="EL141:EL143" si="2010">IF(BF141="","","|n"&amp;EL$2&amp;"+"&amp;BF141&amp;EL$1)</f>
        <v/>
      </c>
      <c r="EM141" s="43" t="str">
        <f t="shared" ref="EM141:EM143" si="2011">IF(BG141="","","|n"&amp;EM$2&amp;"+"&amp;BG141&amp;EM$1)</f>
        <v/>
      </c>
      <c r="EN141" s="43" t="str">
        <f t="shared" ref="EN141:EN143" si="2012">IF(BH141="","","|n"&amp;EN$2&amp;"+"&amp;BH141&amp;EN$1)</f>
        <v/>
      </c>
      <c r="EO141" s="43" t="str">
        <f t="shared" ref="EO141:EO143" si="2013">IF(BI141="","","|n"&amp;EO$2&amp;"+"&amp;BI141&amp;EO$1)</f>
        <v/>
      </c>
      <c r="EP141" s="43" t="str">
        <f t="shared" ref="EP141:EP143" si="2014">IF(BJ141="","","|n"&amp;EP$2&amp;"+"&amp;BJ141&amp;EP$1)</f>
        <v/>
      </c>
      <c r="EQ141" s="43" t="str">
        <f t="shared" ref="EQ141:EQ143" si="2015">IF(BK141="","","|n"&amp;EQ$2&amp;"+"&amp;BK141&amp;EQ$1)</f>
        <v/>
      </c>
      <c r="ER141" s="43" t="str">
        <f t="shared" ref="ER141:ER143" si="2016">IF(BL141="","","|n"&amp;ER$2&amp;"+"&amp;BL141&amp;ER$1)</f>
        <v/>
      </c>
      <c r="ES141" s="43" t="str">
        <f t="shared" ref="ES141:ES143" si="2017">IF(BM141="","","|n"&amp;ES$2&amp;"+"&amp;BM141&amp;ES$1)</f>
        <v/>
      </c>
      <c r="ET141" s="43" t="str">
        <f t="shared" ref="ET141:ET143" si="2018">IF(BN141="","","|n"&amp;ET$2&amp;"+"&amp;BN141&amp;ET$1)</f>
        <v/>
      </c>
      <c r="EU141" s="43" t="str">
        <f t="shared" ref="EU141:EU143" si="2019">IF(BO141="","","|n"&amp;EU$2&amp;"+"&amp;BO141&amp;EU$1)</f>
        <v/>
      </c>
      <c r="EV141" s="43" t="str">
        <f t="shared" ref="EV141:EV143" si="2020">IF(BP141="","","|n"&amp;EV$2&amp;"+"&amp;BP141&amp;EV$1)</f>
        <v/>
      </c>
      <c r="EW141" s="43" t="str">
        <f t="shared" ref="EW141:EW143" si="2021">IF(BQ141="","","|n"&amp;EW$2&amp;"+"&amp;BQ141&amp;EW$1)</f>
        <v/>
      </c>
      <c r="EX141" s="43" t="str">
        <f t="shared" ref="EX141:EX143" si="2022">IF(BR141="","","|n"&amp;EX$2&amp;"+"&amp;BR141&amp;EX$1)</f>
        <v/>
      </c>
      <c r="EY141" s="43" t="str">
        <f t="shared" ref="EY141:EY143" si="2023">IF(BS141="","","|n"&amp;EY$2&amp;"+"&amp;BS141&amp;EY$1)</f>
        <v/>
      </c>
      <c r="EZ141" s="43" t="str">
        <f t="shared" ref="EZ141:EZ143" si="2024">IF(BT141="","","|n"&amp;EZ$2&amp;"+"&amp;BT141&amp;EZ$1)</f>
        <v/>
      </c>
      <c r="FA141" s="43" t="str">
        <f t="shared" ref="FA141:FA143" si="2025">IF(BU141="","","|n"&amp;FA$2&amp;"+"&amp;BU141&amp;FA$1)</f>
        <v/>
      </c>
      <c r="FB141" s="43" t="str">
        <f t="shared" ref="FB141:FB143" si="2026">IF(BV141="","","|n"&amp;FB$2&amp;"+"&amp;BV141&amp;FB$1)</f>
        <v/>
      </c>
      <c r="FC141" s="43" t="str">
        <f t="shared" ref="FC141:FC143" si="2027">IF(BW141="","","|n"&amp;FC$2&amp;"+"&amp;BW141&amp;FC$1)</f>
        <v/>
      </c>
      <c r="FD141" s="43" t="str">
        <f t="shared" ref="FD141:FD143" si="2028">IF(BX141="","","|n"&amp;FD$2&amp;"+"&amp;BX141&amp;FD$1)</f>
        <v/>
      </c>
      <c r="FE141" s="43" t="str">
        <f t="shared" ref="FE141:FE143" si="2029">IF(BY141="","","|n"&amp;FE$2&amp;"+"&amp;BY141&amp;FE$1)</f>
        <v/>
      </c>
      <c r="FF141" s="43" t="str">
        <f t="shared" ref="FF141:FF143" si="2030">IF(BZ141="","","|n"&amp;FF$2&amp;"+"&amp;BZ141&amp;FF$1)</f>
        <v/>
      </c>
      <c r="FG141" s="43" t="str">
        <f t="shared" ref="FG141:FG143" si="2031">IF(CA141="","","|n"&amp;FG$2&amp;"+"&amp;CA141&amp;FG$1)</f>
        <v/>
      </c>
      <c r="FH141" s="43" t="str">
        <f t="shared" ref="FH141:FH143" si="2032">IF(CB141="","","|n"&amp;FH$2&amp;"+"&amp;CB141&amp;FH$1)</f>
        <v/>
      </c>
      <c r="FI141" s="43" t="str">
        <f t="shared" ref="FI141:FI143" si="2033">IF(CC141="","","|n"&amp;FI$2&amp;"+"&amp;CC141&amp;FI$1)</f>
        <v/>
      </c>
      <c r="FJ141" s="43" t="str">
        <f t="shared" ref="FJ141:FJ143" si="2034">IF(CD141="","","|n"&amp;FJ$2&amp;"+"&amp;CD141&amp;FJ$1)</f>
        <v/>
      </c>
      <c r="FK141" s="43" t="str">
        <f t="shared" ref="FK141:FK143" si="2035">IF(CE141="","","|n"&amp;FK$2&amp;"+"&amp;CE141&amp;FK$1)</f>
        <v/>
      </c>
      <c r="FL141" s="43" t="str">
        <f t="shared" ref="FL141:FL143" si="2036">IF(CF141="","","|n"&amp;FL$2&amp;"+"&amp;CF141&amp;FL$1)</f>
        <v/>
      </c>
      <c r="FM141" s="43" t="str">
        <f t="shared" ref="FM141:FM143" si="2037">IF(CG141="","","|n"&amp;FM$2&amp;"+"&amp;CG141&amp;FM$1)</f>
        <v/>
      </c>
      <c r="FN141" s="43" t="str">
        <f t="shared" ref="FN141:FN143" si="2038">IF(CH141="","","|n"&amp;FN$2&amp;"+"&amp;CH141&amp;FN$1)</f>
        <v/>
      </c>
      <c r="FO141" s="43" t="str">
        <f t="shared" ref="FO141:FO143" si="2039">IF(CI141="","","|n"&amp;FO$2&amp;"+"&amp;CI141&amp;FO$1)</f>
        <v/>
      </c>
      <c r="FP141" s="43" t="str">
        <f t="shared" ref="FP141:FP143" si="2040">IF(CJ141="","","|n"&amp;FP$2&amp;"+"&amp;CJ141&amp;FP$1)</f>
        <v/>
      </c>
      <c r="FQ141" s="43" t="str">
        <f t="shared" ref="FQ141:FQ143" si="2041">IF(CK141="","","|n"&amp;FQ$2&amp;"+"&amp;CK141&amp;FQ$1)</f>
        <v/>
      </c>
      <c r="FR141" s="43" t="str">
        <f t="shared" ref="FR141:FR143" si="2042">IF(CL141="","","|n"&amp;FR$2&amp;"+"&amp;CL141&amp;FR$1)</f>
        <v/>
      </c>
      <c r="FS141" s="43" t="str">
        <f t="shared" ref="FS141:FS143" si="2043">IF(CM141="","","|n"&amp;FS$2&amp;"+"&amp;CM141&amp;FS$1)</f>
        <v/>
      </c>
    </row>
    <row r="142" ht="41.4" spans="1:175">
      <c r="A142" s="4"/>
      <c r="B142" s="4" t="s">
        <v>488</v>
      </c>
      <c r="C142" s="5" t="s">
        <v>489</v>
      </c>
      <c r="T142" s="84" t="s">
        <v>490</v>
      </c>
      <c r="U142" s="59" t="str">
        <f t="shared" si="1168"/>
        <v>ReplaceableTextures\\CommandButtons\\BTNIN16.blp</v>
      </c>
      <c r="CN142" s="12" t="str">
        <f t="shared" si="1678"/>
        <v>InitUnitState('IN16',,,,,,,,,,)</v>
      </c>
      <c r="CO142" s="12" t="str">
        <f t="shared" si="1679"/>
        <v>InitUnitNormal('IN16',,,,,,,,,,)</v>
      </c>
      <c r="CP142" s="12" t="str">
        <f t="shared" si="1680"/>
        <v>InitUnitMagic('IN16',,,,,,,,,,)</v>
      </c>
      <c r="CQ142" s="12" t="str">
        <f t="shared" si="1681"/>
        <v>InitUnitAdd('IN16',,,,,,,,,,)</v>
      </c>
      <c r="CR142" s="12" t="str">
        <f t="shared" si="1899"/>
        <v>InitEquipData('IN16',,"",,,,,'','','','','','',"ReplaceableTextures\\CommandButtons\\BTNIT10.blp")</v>
      </c>
      <c r="CU142" s="71" t="str">
        <f t="shared" si="1972"/>
        <v>|n</v>
      </c>
      <c r="CV142" s="5" t="str">
        <f t="shared" si="1973"/>
        <v>获得一个|Cffff0000鸿蒙结晶|r。|n|n|Cff00ff7f“法宝F4”查看，重置指定法宝，品质提升一级。|r</v>
      </c>
      <c r="CW142" s="6"/>
      <c r="CX142" s="6"/>
      <c r="CY142" s="6"/>
      <c r="CZ142" s="6"/>
      <c r="DA142" s="6"/>
      <c r="DB142" s="43" t="str">
        <f t="shared" si="1974"/>
        <v/>
      </c>
      <c r="DC142" s="43" t="str">
        <f t="shared" si="1975"/>
        <v/>
      </c>
      <c r="DD142" s="43" t="str">
        <f t="shared" si="1976"/>
        <v/>
      </c>
      <c r="DE142" s="43" t="str">
        <f t="shared" si="1977"/>
        <v/>
      </c>
      <c r="DF142" s="43" t="str">
        <f t="shared" si="1978"/>
        <v/>
      </c>
      <c r="DG142" s="43" t="str">
        <f t="shared" si="1979"/>
        <v/>
      </c>
      <c r="DH142" s="43" t="str">
        <f t="shared" si="1980"/>
        <v/>
      </c>
      <c r="DI142" s="43" t="str">
        <f t="shared" si="1981"/>
        <v/>
      </c>
      <c r="DJ142" s="43" t="str">
        <f t="shared" si="1982"/>
        <v/>
      </c>
      <c r="DK142" s="43" t="str">
        <f t="shared" si="1983"/>
        <v/>
      </c>
      <c r="DL142" s="43" t="str">
        <f t="shared" si="1984"/>
        <v/>
      </c>
      <c r="DM142" s="43" t="str">
        <f t="shared" si="1985"/>
        <v/>
      </c>
      <c r="DN142" s="43" t="str">
        <f t="shared" si="1986"/>
        <v/>
      </c>
      <c r="DO142" s="43" t="str">
        <f t="shared" si="1987"/>
        <v/>
      </c>
      <c r="DP142" s="43" t="str">
        <f t="shared" si="1988"/>
        <v/>
      </c>
      <c r="DQ142" s="43" t="str">
        <f t="shared" si="1989"/>
        <v/>
      </c>
      <c r="DR142" s="43" t="str">
        <f t="shared" si="1990"/>
        <v/>
      </c>
      <c r="DS142" s="43" t="str">
        <f t="shared" si="1991"/>
        <v/>
      </c>
      <c r="DT142" s="43" t="str">
        <f t="shared" si="1992"/>
        <v/>
      </c>
      <c r="DU142" s="43" t="str">
        <f t="shared" si="1993"/>
        <v/>
      </c>
      <c r="DV142" s="43" t="str">
        <f t="shared" si="1994"/>
        <v/>
      </c>
      <c r="DW142" s="43" t="str">
        <f t="shared" si="1995"/>
        <v/>
      </c>
      <c r="DX142" s="43" t="str">
        <f t="shared" si="1996"/>
        <v/>
      </c>
      <c r="DY142" s="43" t="str">
        <f t="shared" si="1997"/>
        <v/>
      </c>
      <c r="DZ142" s="43" t="str">
        <f t="shared" si="1998"/>
        <v/>
      </c>
      <c r="EA142" s="43" t="str">
        <f t="shared" si="1999"/>
        <v/>
      </c>
      <c r="EB142" s="43" t="str">
        <f t="shared" si="2000"/>
        <v/>
      </c>
      <c r="EC142" s="43" t="str">
        <f t="shared" si="2001"/>
        <v/>
      </c>
      <c r="ED142" s="43" t="str">
        <f t="shared" si="2002"/>
        <v/>
      </c>
      <c r="EE142" s="43" t="str">
        <f t="shared" si="2003"/>
        <v/>
      </c>
      <c r="EF142" s="43" t="str">
        <f t="shared" si="2004"/>
        <v/>
      </c>
      <c r="EG142" s="43" t="str">
        <f t="shared" si="2005"/>
        <v/>
      </c>
      <c r="EH142" s="43" t="str">
        <f t="shared" si="2006"/>
        <v/>
      </c>
      <c r="EI142" s="43" t="str">
        <f t="shared" si="2007"/>
        <v/>
      </c>
      <c r="EJ142" s="43" t="str">
        <f t="shared" si="2008"/>
        <v/>
      </c>
      <c r="EK142" s="43" t="str">
        <f t="shared" si="2009"/>
        <v/>
      </c>
      <c r="EL142" s="43" t="str">
        <f t="shared" si="2010"/>
        <v/>
      </c>
      <c r="EM142" s="43" t="str">
        <f t="shared" si="2011"/>
        <v/>
      </c>
      <c r="EN142" s="43" t="str">
        <f t="shared" si="2012"/>
        <v/>
      </c>
      <c r="EO142" s="43" t="str">
        <f t="shared" si="2013"/>
        <v/>
      </c>
      <c r="EP142" s="43" t="str">
        <f t="shared" si="2014"/>
        <v/>
      </c>
      <c r="EQ142" s="43" t="str">
        <f t="shared" si="2015"/>
        <v/>
      </c>
      <c r="ER142" s="43" t="str">
        <f t="shared" si="2016"/>
        <v/>
      </c>
      <c r="ES142" s="43" t="str">
        <f t="shared" si="2017"/>
        <v/>
      </c>
      <c r="ET142" s="43" t="str">
        <f t="shared" si="2018"/>
        <v/>
      </c>
      <c r="EU142" s="43" t="str">
        <f t="shared" si="2019"/>
        <v/>
      </c>
      <c r="EV142" s="43" t="str">
        <f t="shared" si="2020"/>
        <v/>
      </c>
      <c r="EW142" s="43" t="str">
        <f t="shared" si="2021"/>
        <v/>
      </c>
      <c r="EX142" s="43" t="str">
        <f t="shared" si="2022"/>
        <v/>
      </c>
      <c r="EY142" s="43" t="str">
        <f t="shared" si="2023"/>
        <v/>
      </c>
      <c r="EZ142" s="43" t="str">
        <f t="shared" si="2024"/>
        <v/>
      </c>
      <c r="FA142" s="43" t="str">
        <f t="shared" si="2025"/>
        <v/>
      </c>
      <c r="FB142" s="43" t="str">
        <f t="shared" si="2026"/>
        <v/>
      </c>
      <c r="FC142" s="43" t="str">
        <f t="shared" si="2027"/>
        <v/>
      </c>
      <c r="FD142" s="43" t="str">
        <f t="shared" si="2028"/>
        <v/>
      </c>
      <c r="FE142" s="43" t="str">
        <f t="shared" si="2029"/>
        <v/>
      </c>
      <c r="FF142" s="43" t="str">
        <f t="shared" si="2030"/>
        <v/>
      </c>
      <c r="FG142" s="43" t="str">
        <f t="shared" si="2031"/>
        <v/>
      </c>
      <c r="FH142" s="43" t="str">
        <f t="shared" si="2032"/>
        <v/>
      </c>
      <c r="FI142" s="43" t="str">
        <f t="shared" si="2033"/>
        <v/>
      </c>
      <c r="FJ142" s="43" t="str">
        <f t="shared" si="2034"/>
        <v/>
      </c>
      <c r="FK142" s="43" t="str">
        <f t="shared" si="2035"/>
        <v/>
      </c>
      <c r="FL142" s="43" t="str">
        <f t="shared" si="2036"/>
        <v/>
      </c>
      <c r="FM142" s="43" t="str">
        <f t="shared" si="2037"/>
        <v/>
      </c>
      <c r="FN142" s="43" t="str">
        <f t="shared" si="2038"/>
        <v/>
      </c>
      <c r="FO142" s="43" t="str">
        <f t="shared" si="2039"/>
        <v/>
      </c>
      <c r="FP142" s="43" t="str">
        <f t="shared" si="2040"/>
        <v/>
      </c>
      <c r="FQ142" s="43" t="str">
        <f t="shared" si="2041"/>
        <v/>
      </c>
      <c r="FR142" s="43" t="str">
        <f t="shared" si="2042"/>
        <v/>
      </c>
      <c r="FS142" s="43" t="str">
        <f t="shared" si="2043"/>
        <v/>
      </c>
    </row>
    <row r="143" ht="15" spans="1:175">
      <c r="A143" s="4"/>
      <c r="B143" s="4" t="s">
        <v>491</v>
      </c>
      <c r="C143" s="5" t="s">
        <v>492</v>
      </c>
      <c r="T143" s="5" t="s">
        <v>493</v>
      </c>
      <c r="U143" s="59" t="str">
        <f t="shared" si="1168"/>
        <v>ReplaceableTextures\\CommandButtons\\BTNIN17.blp</v>
      </c>
      <c r="CN143" s="12" t="str">
        <f t="shared" si="1678"/>
        <v>InitUnitState('IN17',,,,,,,,,,)</v>
      </c>
      <c r="CO143" s="12" t="str">
        <f t="shared" si="1679"/>
        <v>InitUnitNormal('IN17',,,,,,,,,,)</v>
      </c>
      <c r="CP143" s="12" t="str">
        <f t="shared" si="1680"/>
        <v>InitUnitMagic('IN17',,,,,,,,,,)</v>
      </c>
      <c r="CQ143" s="12" t="str">
        <f t="shared" si="1681"/>
        <v>InitUnitAdd('IN17',,,,,,,,,,)</v>
      </c>
      <c r="CR143" s="12" t="str">
        <f t="shared" si="1899"/>
        <v>InitEquipData('IN17',,"",,,,,'','','','','','',"ReplaceableTextures\\CommandButtons\\BTNIT11.blp")</v>
      </c>
      <c r="CU143" s="71" t="str">
        <f t="shared" si="1972"/>
        <v>|n</v>
      </c>
      <c r="CV143" s="5" t="str">
        <f t="shared" si="1973"/>
        <v>木头|Cffffc926+3000|r</v>
      </c>
      <c r="CW143" s="6"/>
      <c r="CX143" s="6"/>
      <c r="CY143" s="6"/>
      <c r="CZ143" s="6"/>
      <c r="DA143" s="6"/>
      <c r="DB143" s="43" t="str">
        <f t="shared" si="1974"/>
        <v/>
      </c>
      <c r="DC143" s="43" t="str">
        <f t="shared" si="1975"/>
        <v/>
      </c>
      <c r="DD143" s="43" t="str">
        <f t="shared" si="1976"/>
        <v/>
      </c>
      <c r="DE143" s="43" t="str">
        <f t="shared" si="1977"/>
        <v/>
      </c>
      <c r="DF143" s="43" t="str">
        <f t="shared" si="1978"/>
        <v/>
      </c>
      <c r="DG143" s="43" t="str">
        <f t="shared" si="1979"/>
        <v/>
      </c>
      <c r="DH143" s="43" t="str">
        <f t="shared" si="1980"/>
        <v/>
      </c>
      <c r="DI143" s="43" t="str">
        <f t="shared" si="1981"/>
        <v/>
      </c>
      <c r="DJ143" s="43" t="str">
        <f t="shared" si="1982"/>
        <v/>
      </c>
      <c r="DK143" s="43" t="str">
        <f t="shared" si="1983"/>
        <v/>
      </c>
      <c r="DL143" s="43" t="str">
        <f t="shared" si="1984"/>
        <v/>
      </c>
      <c r="DM143" s="43" t="str">
        <f t="shared" si="1985"/>
        <v/>
      </c>
      <c r="DN143" s="43" t="str">
        <f t="shared" si="1986"/>
        <v/>
      </c>
      <c r="DO143" s="43" t="str">
        <f t="shared" si="1987"/>
        <v/>
      </c>
      <c r="DP143" s="43" t="str">
        <f t="shared" si="1988"/>
        <v/>
      </c>
      <c r="DQ143" s="43" t="str">
        <f t="shared" si="1989"/>
        <v/>
      </c>
      <c r="DR143" s="43" t="str">
        <f t="shared" si="1990"/>
        <v/>
      </c>
      <c r="DS143" s="43" t="str">
        <f t="shared" si="1991"/>
        <v/>
      </c>
      <c r="DT143" s="43" t="str">
        <f t="shared" si="1992"/>
        <v/>
      </c>
      <c r="DU143" s="43" t="str">
        <f t="shared" si="1993"/>
        <v/>
      </c>
      <c r="DV143" s="43" t="str">
        <f t="shared" si="1994"/>
        <v/>
      </c>
      <c r="DW143" s="43" t="str">
        <f t="shared" si="1995"/>
        <v/>
      </c>
      <c r="DX143" s="43" t="str">
        <f t="shared" si="1996"/>
        <v/>
      </c>
      <c r="DY143" s="43" t="str">
        <f t="shared" si="1997"/>
        <v/>
      </c>
      <c r="DZ143" s="43" t="str">
        <f t="shared" si="1998"/>
        <v/>
      </c>
      <c r="EA143" s="43" t="str">
        <f t="shared" si="1999"/>
        <v/>
      </c>
      <c r="EB143" s="43" t="str">
        <f t="shared" si="2000"/>
        <v/>
      </c>
      <c r="EC143" s="43" t="str">
        <f t="shared" si="2001"/>
        <v/>
      </c>
      <c r="ED143" s="43" t="str">
        <f t="shared" si="2002"/>
        <v/>
      </c>
      <c r="EE143" s="43" t="str">
        <f t="shared" si="2003"/>
        <v/>
      </c>
      <c r="EF143" s="43" t="str">
        <f t="shared" si="2004"/>
        <v/>
      </c>
      <c r="EG143" s="43" t="str">
        <f t="shared" si="2005"/>
        <v/>
      </c>
      <c r="EH143" s="43" t="str">
        <f t="shared" si="2006"/>
        <v/>
      </c>
      <c r="EI143" s="43" t="str">
        <f t="shared" si="2007"/>
        <v/>
      </c>
      <c r="EJ143" s="43" t="str">
        <f t="shared" si="2008"/>
        <v/>
      </c>
      <c r="EK143" s="43" t="str">
        <f t="shared" si="2009"/>
        <v/>
      </c>
      <c r="EL143" s="43" t="str">
        <f t="shared" si="2010"/>
        <v/>
      </c>
      <c r="EM143" s="43" t="str">
        <f t="shared" si="2011"/>
        <v/>
      </c>
      <c r="EN143" s="43" t="str">
        <f t="shared" si="2012"/>
        <v/>
      </c>
      <c r="EO143" s="43" t="str">
        <f t="shared" si="2013"/>
        <v/>
      </c>
      <c r="EP143" s="43" t="str">
        <f t="shared" si="2014"/>
        <v/>
      </c>
      <c r="EQ143" s="43" t="str">
        <f t="shared" si="2015"/>
        <v/>
      </c>
      <c r="ER143" s="43" t="str">
        <f t="shared" si="2016"/>
        <v/>
      </c>
      <c r="ES143" s="43" t="str">
        <f t="shared" si="2017"/>
        <v/>
      </c>
      <c r="ET143" s="43" t="str">
        <f t="shared" si="2018"/>
        <v/>
      </c>
      <c r="EU143" s="43" t="str">
        <f t="shared" si="2019"/>
        <v/>
      </c>
      <c r="EV143" s="43" t="str">
        <f t="shared" si="2020"/>
        <v/>
      </c>
      <c r="EW143" s="43" t="str">
        <f t="shared" si="2021"/>
        <v/>
      </c>
      <c r="EX143" s="43" t="str">
        <f t="shared" si="2022"/>
        <v/>
      </c>
      <c r="EY143" s="43" t="str">
        <f t="shared" si="2023"/>
        <v/>
      </c>
      <c r="EZ143" s="43" t="str">
        <f t="shared" si="2024"/>
        <v/>
      </c>
      <c r="FA143" s="43" t="str">
        <f t="shared" si="2025"/>
        <v/>
      </c>
      <c r="FB143" s="43" t="str">
        <f t="shared" si="2026"/>
        <v/>
      </c>
      <c r="FC143" s="43" t="str">
        <f t="shared" si="2027"/>
        <v/>
      </c>
      <c r="FD143" s="43" t="str">
        <f t="shared" si="2028"/>
        <v/>
      </c>
      <c r="FE143" s="43" t="str">
        <f t="shared" si="2029"/>
        <v/>
      </c>
      <c r="FF143" s="43" t="str">
        <f t="shared" si="2030"/>
        <v/>
      </c>
      <c r="FG143" s="43" t="str">
        <f t="shared" si="2031"/>
        <v/>
      </c>
      <c r="FH143" s="43" t="str">
        <f t="shared" si="2032"/>
        <v/>
      </c>
      <c r="FI143" s="43" t="str">
        <f t="shared" si="2033"/>
        <v/>
      </c>
      <c r="FJ143" s="43" t="str">
        <f t="shared" si="2034"/>
        <v/>
      </c>
      <c r="FK143" s="43" t="str">
        <f t="shared" si="2035"/>
        <v/>
      </c>
      <c r="FL143" s="43" t="str">
        <f t="shared" si="2036"/>
        <v/>
      </c>
      <c r="FM143" s="43" t="str">
        <f t="shared" si="2037"/>
        <v/>
      </c>
      <c r="FN143" s="43" t="str">
        <f t="shared" si="2038"/>
        <v/>
      </c>
      <c r="FO143" s="43" t="str">
        <f t="shared" si="2039"/>
        <v/>
      </c>
      <c r="FP143" s="43" t="str">
        <f t="shared" si="2040"/>
        <v/>
      </c>
      <c r="FQ143" s="43" t="str">
        <f t="shared" si="2041"/>
        <v/>
      </c>
      <c r="FR143" s="43" t="str">
        <f t="shared" si="2042"/>
        <v/>
      </c>
      <c r="FS143" s="43" t="str">
        <f t="shared" si="2043"/>
        <v/>
      </c>
    </row>
    <row r="144" ht="15" spans="1:175">
      <c r="A144" s="4"/>
      <c r="B144" s="4" t="s">
        <v>494</v>
      </c>
      <c r="C144" s="5" t="s">
        <v>495</v>
      </c>
      <c r="T144" s="36" t="s">
        <v>496</v>
      </c>
      <c r="U144" s="59" t="str">
        <f t="shared" si="1168"/>
        <v>ReplaceableTextures\\CommandButtons\\BTNIN18.blp</v>
      </c>
      <c r="CN144" s="12" t="str">
        <f t="shared" si="1678"/>
        <v>InitUnitState('IN18',,,,,,,,,,)</v>
      </c>
      <c r="CO144" s="12" t="str">
        <f t="shared" si="1679"/>
        <v>InitUnitNormal('IN18',,,,,,,,,,)</v>
      </c>
      <c r="CP144" s="12" t="str">
        <f t="shared" si="1680"/>
        <v>InitUnitMagic('IN18',,,,,,,,,,)</v>
      </c>
      <c r="CQ144" s="12" t="str">
        <f t="shared" si="1681"/>
        <v>InitUnitAdd('IN18',,,,,,,,,,)</v>
      </c>
      <c r="CR144" s="12" t="str">
        <f t="shared" si="1899"/>
        <v>InitEquipData('IN18',,"",,,,,'','','','','','',"ReplaceableTextures\\CommandButtons\\BTNIT12.blp")</v>
      </c>
      <c r="CU144" s="71" t="str">
        <f t="shared" ref="CU144" si="2044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5" t="str">
        <f t="shared" ref="CV144" si="2045">T144</f>
        <v>木头|Cffffc926+300|r</v>
      </c>
      <c r="CW144" s="6"/>
      <c r="CX144" s="6"/>
      <c r="CY144" s="6"/>
      <c r="CZ144" s="6"/>
      <c r="DA144" s="6"/>
      <c r="DB144" s="43" t="str">
        <f t="shared" ref="DB144" si="2046">IF(V144="","","|n"&amp;DB$2&amp;"+"&amp;V144&amp;DB$1)</f>
        <v/>
      </c>
      <c r="DC144" s="43" t="str">
        <f t="shared" ref="DC144" si="2047">IF(W144="","","|n"&amp;DC$2&amp;"+"&amp;W144&amp;DC$1)</f>
        <v/>
      </c>
      <c r="DD144" s="43" t="str">
        <f t="shared" ref="DD144" si="2048">IF(X144="","","|n"&amp;DD$2&amp;"+"&amp;X144&amp;DD$1)</f>
        <v/>
      </c>
      <c r="DE144" s="43" t="str">
        <f t="shared" ref="DE144" si="2049">IF(Y144="","","|n"&amp;DE$2&amp;"+"&amp;Y144&amp;DE$1)</f>
        <v/>
      </c>
      <c r="DF144" s="43" t="str">
        <f t="shared" ref="DF144" si="2050">IF(Z144="","","|n"&amp;DF$2&amp;"+"&amp;Z144&amp;DF$1)</f>
        <v/>
      </c>
      <c r="DG144" s="43" t="str">
        <f t="shared" ref="DG144" si="2051">IF(AA144="","","|n"&amp;DG$2&amp;"+"&amp;AA144&amp;DG$1)</f>
        <v/>
      </c>
      <c r="DH144" s="43" t="str">
        <f t="shared" ref="DH144" si="2052">IF(AB144="","","|n"&amp;DH$2&amp;"+"&amp;AB144&amp;DH$1)</f>
        <v/>
      </c>
      <c r="DI144" s="43" t="str">
        <f t="shared" ref="DI144" si="2053">IF(AC144="","","|n"&amp;DI$2&amp;"+"&amp;AC144&amp;DI$1)</f>
        <v/>
      </c>
      <c r="DJ144" s="43" t="str">
        <f t="shared" ref="DJ144" si="2054">IF(AD144="","","|n"&amp;DJ$2&amp;"+"&amp;AD144&amp;DJ$1)</f>
        <v/>
      </c>
      <c r="DK144" s="43" t="str">
        <f t="shared" ref="DK144" si="2055">IF(AE144="","","|n"&amp;DK$2&amp;"+"&amp;AE144&amp;DK$1)</f>
        <v/>
      </c>
      <c r="DL144" s="43" t="str">
        <f t="shared" ref="DL144" si="2056">IF(AF144="","","|n"&amp;DL$2&amp;"+"&amp;AF144&amp;DL$1)</f>
        <v/>
      </c>
      <c r="DM144" s="43" t="str">
        <f t="shared" ref="DM144" si="2057">IF(AG144="","","|n"&amp;DM$2&amp;"+"&amp;AG144&amp;DM$1)</f>
        <v/>
      </c>
      <c r="DN144" s="43" t="str">
        <f t="shared" ref="DN144" si="2058">IF(AH144="","","|n"&amp;DN$2&amp;"+"&amp;AH144&amp;DN$1)</f>
        <v/>
      </c>
      <c r="DO144" s="43" t="str">
        <f t="shared" ref="DO144" si="2059">IF(AI144="","","|n"&amp;DO$2&amp;"+"&amp;AI144&amp;DO$1)</f>
        <v/>
      </c>
      <c r="DP144" s="43" t="str">
        <f t="shared" ref="DP144" si="2060">IF(AJ144="","","|n"&amp;DP$2&amp;"+"&amp;AJ144&amp;DP$1)</f>
        <v/>
      </c>
      <c r="DQ144" s="43" t="str">
        <f t="shared" ref="DQ144" si="2061">IF(AK144="","","|n"&amp;DQ$2&amp;"+"&amp;AK144&amp;DQ$1)</f>
        <v/>
      </c>
      <c r="DR144" s="43" t="str">
        <f t="shared" ref="DR144" si="2062">IF(AL144="","","|n"&amp;DR$2&amp;"+"&amp;AL144&amp;DR$1)</f>
        <v/>
      </c>
      <c r="DS144" s="43" t="str">
        <f t="shared" ref="DS144" si="2063">IF(AM144="","","|n"&amp;DS$2&amp;"+"&amp;AM144&amp;DS$1)</f>
        <v/>
      </c>
      <c r="DT144" s="43" t="str">
        <f t="shared" ref="DT144" si="2064">IF(AN144="","","|n"&amp;DT$2&amp;"+"&amp;AN144&amp;DT$1)</f>
        <v/>
      </c>
      <c r="DU144" s="43" t="str">
        <f t="shared" ref="DU144" si="2065">IF(AO144="","","|n"&amp;DU$2&amp;"+"&amp;AO144&amp;DU$1)</f>
        <v/>
      </c>
      <c r="DV144" s="43" t="str">
        <f t="shared" ref="DV144" si="2066">IF(AP144="","","|n"&amp;DV$2&amp;"+"&amp;AP144&amp;DV$1)</f>
        <v/>
      </c>
      <c r="DW144" s="43" t="str">
        <f t="shared" ref="DW144" si="2067">IF(AQ144="","","|n"&amp;DW$2&amp;"+"&amp;AQ144&amp;DW$1)</f>
        <v/>
      </c>
      <c r="DX144" s="43" t="str">
        <f t="shared" ref="DX144" si="2068">IF(AR144="","","|n"&amp;DX$2&amp;"+"&amp;AR144&amp;DX$1)</f>
        <v/>
      </c>
      <c r="DY144" s="43" t="str">
        <f t="shared" ref="DY144" si="2069">IF(AS144="","","|n"&amp;DY$2&amp;"+"&amp;AS144&amp;DY$1)</f>
        <v/>
      </c>
      <c r="DZ144" s="43" t="str">
        <f t="shared" ref="DZ144" si="2070">IF(AT144="","","|n"&amp;DZ$2&amp;"+"&amp;AT144&amp;DZ$1)</f>
        <v/>
      </c>
      <c r="EA144" s="43" t="str">
        <f t="shared" ref="EA144" si="2071">IF(AU144="","","|n"&amp;EA$2&amp;"+"&amp;AU144&amp;EA$1)</f>
        <v/>
      </c>
      <c r="EB144" s="43" t="str">
        <f t="shared" ref="EB144" si="2072">IF(AV144="","","|n"&amp;EB$2&amp;"+"&amp;AV144&amp;EB$1)</f>
        <v/>
      </c>
      <c r="EC144" s="43" t="str">
        <f t="shared" ref="EC144" si="2073">IF(AW144="","","|n"&amp;EC$2&amp;"+"&amp;AW144&amp;EC$1)</f>
        <v/>
      </c>
      <c r="ED144" s="43" t="str">
        <f t="shared" ref="ED144" si="2074">IF(AX144="","","|n"&amp;ED$2&amp;"+"&amp;AX144&amp;ED$1)</f>
        <v/>
      </c>
      <c r="EE144" s="43" t="str">
        <f t="shared" ref="EE144" si="2075">IF(AY144="","","|n"&amp;EE$2&amp;"+"&amp;AY144&amp;EE$1)</f>
        <v/>
      </c>
      <c r="EF144" s="43" t="str">
        <f t="shared" ref="EF144" si="2076">IF(AZ144="","","|n"&amp;EF$2&amp;"+"&amp;AZ144&amp;EF$1)</f>
        <v/>
      </c>
      <c r="EG144" s="43" t="str">
        <f t="shared" ref="EG144" si="2077">IF(BA144="","","|n"&amp;EG$2&amp;"+"&amp;BA144&amp;EG$1)</f>
        <v/>
      </c>
      <c r="EH144" s="43" t="str">
        <f t="shared" ref="EH144" si="2078">IF(BB144="","","|n"&amp;EH$2&amp;"+"&amp;BB144&amp;EH$1)</f>
        <v/>
      </c>
      <c r="EI144" s="43" t="str">
        <f t="shared" ref="EI144" si="2079">IF(BC144="","","|n"&amp;EI$2&amp;"+"&amp;BC144&amp;EI$1)</f>
        <v/>
      </c>
      <c r="EJ144" s="43" t="str">
        <f t="shared" ref="EJ144" si="2080">IF(BD144="","","|n"&amp;EJ$2&amp;"+"&amp;BD144&amp;EJ$1)</f>
        <v/>
      </c>
      <c r="EK144" s="43" t="str">
        <f t="shared" ref="EK144" si="2081">IF(BE144="","","|n"&amp;EK$2&amp;"+"&amp;BE144&amp;EK$1)</f>
        <v/>
      </c>
      <c r="EL144" s="43" t="str">
        <f t="shared" ref="EL144" si="2082">IF(BF144="","","|n"&amp;EL$2&amp;"+"&amp;BF144&amp;EL$1)</f>
        <v/>
      </c>
      <c r="EM144" s="43" t="str">
        <f t="shared" ref="EM144" si="2083">IF(BG144="","","|n"&amp;EM$2&amp;"+"&amp;BG144&amp;EM$1)</f>
        <v/>
      </c>
      <c r="EN144" s="43" t="str">
        <f t="shared" ref="EN144" si="2084">IF(BH144="","","|n"&amp;EN$2&amp;"+"&amp;BH144&amp;EN$1)</f>
        <v/>
      </c>
      <c r="EO144" s="43" t="str">
        <f t="shared" ref="EO144" si="2085">IF(BI144="","","|n"&amp;EO$2&amp;"+"&amp;BI144&amp;EO$1)</f>
        <v/>
      </c>
      <c r="EP144" s="43" t="str">
        <f t="shared" ref="EP144" si="2086">IF(BJ144="","","|n"&amp;EP$2&amp;"+"&amp;BJ144&amp;EP$1)</f>
        <v/>
      </c>
      <c r="EQ144" s="43" t="str">
        <f t="shared" ref="EQ144" si="2087">IF(BK144="","","|n"&amp;EQ$2&amp;"+"&amp;BK144&amp;EQ$1)</f>
        <v/>
      </c>
      <c r="ER144" s="43" t="str">
        <f t="shared" ref="ER144" si="2088">IF(BL144="","","|n"&amp;ER$2&amp;"+"&amp;BL144&amp;ER$1)</f>
        <v/>
      </c>
      <c r="ES144" s="43" t="str">
        <f t="shared" ref="ES144" si="2089">IF(BM144="","","|n"&amp;ES$2&amp;"+"&amp;BM144&amp;ES$1)</f>
        <v/>
      </c>
      <c r="ET144" s="43" t="str">
        <f t="shared" ref="ET144" si="2090">IF(BN144="","","|n"&amp;ET$2&amp;"+"&amp;BN144&amp;ET$1)</f>
        <v/>
      </c>
      <c r="EU144" s="43" t="str">
        <f t="shared" ref="EU144" si="2091">IF(BO144="","","|n"&amp;EU$2&amp;"+"&amp;BO144&amp;EU$1)</f>
        <v/>
      </c>
      <c r="EV144" s="43" t="str">
        <f t="shared" ref="EV144" si="2092">IF(BP144="","","|n"&amp;EV$2&amp;"+"&amp;BP144&amp;EV$1)</f>
        <v/>
      </c>
      <c r="EW144" s="43" t="str">
        <f t="shared" ref="EW144" si="2093">IF(BQ144="","","|n"&amp;EW$2&amp;"+"&amp;BQ144&amp;EW$1)</f>
        <v/>
      </c>
      <c r="EX144" s="43" t="str">
        <f t="shared" ref="EX144" si="2094">IF(BR144="","","|n"&amp;EX$2&amp;"+"&amp;BR144&amp;EX$1)</f>
        <v/>
      </c>
      <c r="EY144" s="43" t="str">
        <f t="shared" ref="EY144" si="2095">IF(BS144="","","|n"&amp;EY$2&amp;"+"&amp;BS144&amp;EY$1)</f>
        <v/>
      </c>
      <c r="EZ144" s="43" t="str">
        <f t="shared" ref="EZ144" si="2096">IF(BT144="","","|n"&amp;EZ$2&amp;"+"&amp;BT144&amp;EZ$1)</f>
        <v/>
      </c>
      <c r="FA144" s="43" t="str">
        <f t="shared" ref="FA144" si="2097">IF(BU144="","","|n"&amp;FA$2&amp;"+"&amp;BU144&amp;FA$1)</f>
        <v/>
      </c>
      <c r="FB144" s="43" t="str">
        <f t="shared" ref="FB144" si="2098">IF(BV144="","","|n"&amp;FB$2&amp;"+"&amp;BV144&amp;FB$1)</f>
        <v/>
      </c>
      <c r="FC144" s="43" t="str">
        <f t="shared" ref="FC144" si="2099">IF(BW144="","","|n"&amp;FC$2&amp;"+"&amp;BW144&amp;FC$1)</f>
        <v/>
      </c>
      <c r="FD144" s="43" t="str">
        <f t="shared" ref="FD144" si="2100">IF(BX144="","","|n"&amp;FD$2&amp;"+"&amp;BX144&amp;FD$1)</f>
        <v/>
      </c>
      <c r="FE144" s="43" t="str">
        <f t="shared" ref="FE144" si="2101">IF(BY144="","","|n"&amp;FE$2&amp;"+"&amp;BY144&amp;FE$1)</f>
        <v/>
      </c>
      <c r="FF144" s="43" t="str">
        <f t="shared" ref="FF144" si="2102">IF(BZ144="","","|n"&amp;FF$2&amp;"+"&amp;BZ144&amp;FF$1)</f>
        <v/>
      </c>
      <c r="FG144" s="43" t="str">
        <f t="shared" ref="FG144" si="2103">IF(CA144="","","|n"&amp;FG$2&amp;"+"&amp;CA144&amp;FG$1)</f>
        <v/>
      </c>
      <c r="FH144" s="43" t="str">
        <f t="shared" ref="FH144" si="2104">IF(CB144="","","|n"&amp;FH$2&amp;"+"&amp;CB144&amp;FH$1)</f>
        <v/>
      </c>
      <c r="FI144" s="43" t="str">
        <f t="shared" ref="FI144" si="2105">IF(CC144="","","|n"&amp;FI$2&amp;"+"&amp;CC144&amp;FI$1)</f>
        <v/>
      </c>
      <c r="FJ144" s="43" t="str">
        <f t="shared" ref="FJ144" si="2106">IF(CD144="","","|n"&amp;FJ$2&amp;"+"&amp;CD144&amp;FJ$1)</f>
        <v/>
      </c>
      <c r="FK144" s="43" t="str">
        <f t="shared" ref="FK144" si="2107">IF(CE144="","","|n"&amp;FK$2&amp;"+"&amp;CE144&amp;FK$1)</f>
        <v/>
      </c>
      <c r="FL144" s="43" t="str">
        <f t="shared" ref="FL144" si="2108">IF(CF144="","","|n"&amp;FL$2&amp;"+"&amp;CF144&amp;FL$1)</f>
        <v/>
      </c>
      <c r="FM144" s="43" t="str">
        <f t="shared" ref="FM144" si="2109">IF(CG144="","","|n"&amp;FM$2&amp;"+"&amp;CG144&amp;FM$1)</f>
        <v/>
      </c>
      <c r="FN144" s="43" t="str">
        <f t="shared" ref="FN144" si="2110">IF(CH144="","","|n"&amp;FN$2&amp;"+"&amp;CH144&amp;FN$1)</f>
        <v/>
      </c>
      <c r="FO144" s="43" t="str">
        <f t="shared" ref="FO144" si="2111">IF(CI144="","","|n"&amp;FO$2&amp;"+"&amp;CI144&amp;FO$1)</f>
        <v/>
      </c>
      <c r="FP144" s="43" t="str">
        <f t="shared" ref="FP144" si="2112">IF(CJ144="","","|n"&amp;FP$2&amp;"+"&amp;CJ144&amp;FP$1)</f>
        <v/>
      </c>
      <c r="FQ144" s="43" t="str">
        <f t="shared" ref="FQ144" si="2113">IF(CK144="","","|n"&amp;FQ$2&amp;"+"&amp;CK144&amp;FQ$1)</f>
        <v/>
      </c>
      <c r="FR144" s="43" t="str">
        <f t="shared" ref="FR144" si="2114">IF(CL144="","","|n"&amp;FR$2&amp;"+"&amp;CL144&amp;FR$1)</f>
        <v/>
      </c>
      <c r="FS144" s="43" t="str">
        <f t="shared" ref="FS144" si="2115">IF(CM144="","","|n"&amp;FS$2&amp;"+"&amp;CM144&amp;FS$1)</f>
        <v/>
      </c>
    </row>
    <row r="145" ht="15" spans="1:175">
      <c r="A145" s="4"/>
      <c r="B145" s="4" t="s">
        <v>497</v>
      </c>
      <c r="C145" s="87" t="s">
        <v>498</v>
      </c>
      <c r="T145" s="36" t="s">
        <v>499</v>
      </c>
      <c r="U145" s="59" t="str">
        <f t="shared" ref="U145" si="2116">"ReplaceableTextures\\CommandButtons\\BTN"&amp;B145&amp;".blp"</f>
        <v>ReplaceableTextures\\CommandButtons\\BTNIN19.blp</v>
      </c>
      <c r="CN145" s="12" t="str">
        <f t="shared" si="1678"/>
        <v>InitUnitState('IN19',,,,,,,,,,)</v>
      </c>
      <c r="CO145" s="12" t="str">
        <f t="shared" si="1679"/>
        <v>InitUnitNormal('IN19',,,,,,,,,,)</v>
      </c>
      <c r="CP145" s="12" t="str">
        <f t="shared" si="1680"/>
        <v>InitUnitMagic('IN19',,,,,,,,,,)</v>
      </c>
      <c r="CQ145" s="12" t="str">
        <f t="shared" si="1681"/>
        <v>InitUnitAdd('IN19',,,,,,,,,,)</v>
      </c>
      <c r="CR145" s="12" t="str">
        <f t="shared" si="1899"/>
        <v>InitEquipData('IN19',,"",,,,,'','','','','','',"ReplaceableTextures\\CommandButtons\\BTNIT13.blp")</v>
      </c>
      <c r="CU145" s="71" t="str">
        <f t="shared" ref="CU145" si="2117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5" t="str">
        <f t="shared" ref="CV145" si="2118">T145</f>
        <v>使用后获得|Cffffc926随机类型技能附魔卡|r</v>
      </c>
      <c r="CW145" s="6"/>
      <c r="CX145" s="6"/>
      <c r="CY145" s="6"/>
      <c r="CZ145" s="6"/>
      <c r="DA145" s="6"/>
      <c r="DB145" s="43" t="str">
        <f t="shared" ref="DB145" si="2119">IF(V145="","","|n"&amp;DB$2&amp;"+"&amp;V145&amp;DB$1)</f>
        <v/>
      </c>
      <c r="DC145" s="43" t="str">
        <f t="shared" ref="DC145" si="2120">IF(W145="","","|n"&amp;DC$2&amp;"+"&amp;W145&amp;DC$1)</f>
        <v/>
      </c>
      <c r="DD145" s="43" t="str">
        <f t="shared" ref="DD145" si="2121">IF(X145="","","|n"&amp;DD$2&amp;"+"&amp;X145&amp;DD$1)</f>
        <v/>
      </c>
      <c r="DE145" s="43" t="str">
        <f t="shared" ref="DE145" si="2122">IF(Y145="","","|n"&amp;DE$2&amp;"+"&amp;Y145&amp;DE$1)</f>
        <v/>
      </c>
      <c r="DF145" s="43" t="str">
        <f t="shared" ref="DF145" si="2123">IF(Z145="","","|n"&amp;DF$2&amp;"+"&amp;Z145&amp;DF$1)</f>
        <v/>
      </c>
      <c r="DG145" s="43" t="str">
        <f t="shared" ref="DG145" si="2124">IF(AA145="","","|n"&amp;DG$2&amp;"+"&amp;AA145&amp;DG$1)</f>
        <v/>
      </c>
      <c r="DH145" s="43" t="str">
        <f t="shared" ref="DH145" si="2125">IF(AB145="","","|n"&amp;DH$2&amp;"+"&amp;AB145&amp;DH$1)</f>
        <v/>
      </c>
      <c r="DI145" s="43" t="str">
        <f t="shared" ref="DI145" si="2126">IF(AC145="","","|n"&amp;DI$2&amp;"+"&amp;AC145&amp;DI$1)</f>
        <v/>
      </c>
      <c r="DJ145" s="43" t="str">
        <f t="shared" ref="DJ145" si="2127">IF(AD145="","","|n"&amp;DJ$2&amp;"+"&amp;AD145&amp;DJ$1)</f>
        <v/>
      </c>
      <c r="DK145" s="43" t="str">
        <f t="shared" ref="DK145" si="2128">IF(AE145="","","|n"&amp;DK$2&amp;"+"&amp;AE145&amp;DK$1)</f>
        <v/>
      </c>
      <c r="DL145" s="43" t="str">
        <f t="shared" ref="DL145" si="2129">IF(AF145="","","|n"&amp;DL$2&amp;"+"&amp;AF145&amp;DL$1)</f>
        <v/>
      </c>
      <c r="DM145" s="43" t="str">
        <f t="shared" ref="DM145" si="2130">IF(AG145="","","|n"&amp;DM$2&amp;"+"&amp;AG145&amp;DM$1)</f>
        <v/>
      </c>
      <c r="DN145" s="43" t="str">
        <f t="shared" ref="DN145" si="2131">IF(AH145="","","|n"&amp;DN$2&amp;"+"&amp;AH145&amp;DN$1)</f>
        <v/>
      </c>
      <c r="DO145" s="43" t="str">
        <f t="shared" ref="DO145" si="2132">IF(AI145="","","|n"&amp;DO$2&amp;"+"&amp;AI145&amp;DO$1)</f>
        <v/>
      </c>
      <c r="DP145" s="43" t="str">
        <f t="shared" ref="DP145" si="2133">IF(AJ145="","","|n"&amp;DP$2&amp;"+"&amp;AJ145&amp;DP$1)</f>
        <v/>
      </c>
      <c r="DQ145" s="43" t="str">
        <f t="shared" ref="DQ145" si="2134">IF(AK145="","","|n"&amp;DQ$2&amp;"+"&amp;AK145&amp;DQ$1)</f>
        <v/>
      </c>
      <c r="DR145" s="43" t="str">
        <f t="shared" ref="DR145" si="2135">IF(AL145="","","|n"&amp;DR$2&amp;"+"&amp;AL145&amp;DR$1)</f>
        <v/>
      </c>
      <c r="DS145" s="43" t="str">
        <f t="shared" ref="DS145" si="2136">IF(AM145="","","|n"&amp;DS$2&amp;"+"&amp;AM145&amp;DS$1)</f>
        <v/>
      </c>
      <c r="DT145" s="43" t="str">
        <f t="shared" ref="DT145" si="2137">IF(AN145="","","|n"&amp;DT$2&amp;"+"&amp;AN145&amp;DT$1)</f>
        <v/>
      </c>
      <c r="DU145" s="43" t="str">
        <f t="shared" ref="DU145" si="2138">IF(AO145="","","|n"&amp;DU$2&amp;"+"&amp;AO145&amp;DU$1)</f>
        <v/>
      </c>
      <c r="DV145" s="43" t="str">
        <f t="shared" ref="DV145" si="2139">IF(AP145="","","|n"&amp;DV$2&amp;"+"&amp;AP145&amp;DV$1)</f>
        <v/>
      </c>
      <c r="DW145" s="43" t="str">
        <f t="shared" ref="DW145" si="2140">IF(AQ145="","","|n"&amp;DW$2&amp;"+"&amp;AQ145&amp;DW$1)</f>
        <v/>
      </c>
      <c r="DX145" s="43" t="str">
        <f t="shared" ref="DX145" si="2141">IF(AR145="","","|n"&amp;DX$2&amp;"+"&amp;AR145&amp;DX$1)</f>
        <v/>
      </c>
      <c r="DY145" s="43" t="str">
        <f t="shared" ref="DY145" si="2142">IF(AS145="","","|n"&amp;DY$2&amp;"+"&amp;AS145&amp;DY$1)</f>
        <v/>
      </c>
      <c r="DZ145" s="43" t="str">
        <f t="shared" ref="DZ145" si="2143">IF(AT145="","","|n"&amp;DZ$2&amp;"+"&amp;AT145&amp;DZ$1)</f>
        <v/>
      </c>
      <c r="EA145" s="43" t="str">
        <f t="shared" ref="EA145" si="2144">IF(AU145="","","|n"&amp;EA$2&amp;"+"&amp;AU145&amp;EA$1)</f>
        <v/>
      </c>
      <c r="EB145" s="43" t="str">
        <f t="shared" ref="EB145" si="2145">IF(AV145="","","|n"&amp;EB$2&amp;"+"&amp;AV145&amp;EB$1)</f>
        <v/>
      </c>
      <c r="EC145" s="43" t="str">
        <f t="shared" ref="EC145" si="2146">IF(AW145="","","|n"&amp;EC$2&amp;"+"&amp;AW145&amp;EC$1)</f>
        <v/>
      </c>
      <c r="ED145" s="43" t="str">
        <f t="shared" ref="ED145" si="2147">IF(AX145="","","|n"&amp;ED$2&amp;"+"&amp;AX145&amp;ED$1)</f>
        <v/>
      </c>
      <c r="EE145" s="43" t="str">
        <f t="shared" ref="EE145" si="2148">IF(AY145="","","|n"&amp;EE$2&amp;"+"&amp;AY145&amp;EE$1)</f>
        <v/>
      </c>
      <c r="EF145" s="43" t="str">
        <f t="shared" ref="EF145" si="2149">IF(AZ145="","","|n"&amp;EF$2&amp;"+"&amp;AZ145&amp;EF$1)</f>
        <v/>
      </c>
      <c r="EG145" s="43" t="str">
        <f t="shared" ref="EG145" si="2150">IF(BA145="","","|n"&amp;EG$2&amp;"+"&amp;BA145&amp;EG$1)</f>
        <v/>
      </c>
      <c r="EH145" s="43" t="str">
        <f t="shared" ref="EH145" si="2151">IF(BB145="","","|n"&amp;EH$2&amp;"+"&amp;BB145&amp;EH$1)</f>
        <v/>
      </c>
      <c r="EI145" s="43" t="str">
        <f t="shared" ref="EI145" si="2152">IF(BC145="","","|n"&amp;EI$2&amp;"+"&amp;BC145&amp;EI$1)</f>
        <v/>
      </c>
      <c r="EJ145" s="43" t="str">
        <f t="shared" ref="EJ145" si="2153">IF(BD145="","","|n"&amp;EJ$2&amp;"+"&amp;BD145&amp;EJ$1)</f>
        <v/>
      </c>
      <c r="EK145" s="43" t="str">
        <f t="shared" ref="EK145" si="2154">IF(BE145="","","|n"&amp;EK$2&amp;"+"&amp;BE145&amp;EK$1)</f>
        <v/>
      </c>
      <c r="EL145" s="43" t="str">
        <f t="shared" ref="EL145" si="2155">IF(BF145="","","|n"&amp;EL$2&amp;"+"&amp;BF145&amp;EL$1)</f>
        <v/>
      </c>
      <c r="EM145" s="43" t="str">
        <f t="shared" ref="EM145" si="2156">IF(BG145="","","|n"&amp;EM$2&amp;"+"&amp;BG145&amp;EM$1)</f>
        <v/>
      </c>
      <c r="EN145" s="43" t="str">
        <f t="shared" ref="EN145" si="2157">IF(BH145="","","|n"&amp;EN$2&amp;"+"&amp;BH145&amp;EN$1)</f>
        <v/>
      </c>
      <c r="EO145" s="43" t="str">
        <f t="shared" ref="EO145" si="2158">IF(BI145="","","|n"&amp;EO$2&amp;"+"&amp;BI145&amp;EO$1)</f>
        <v/>
      </c>
      <c r="EP145" s="43" t="str">
        <f t="shared" ref="EP145" si="2159">IF(BJ145="","","|n"&amp;EP$2&amp;"+"&amp;BJ145&amp;EP$1)</f>
        <v/>
      </c>
      <c r="EQ145" s="43" t="str">
        <f t="shared" ref="EQ145" si="2160">IF(BK145="","","|n"&amp;EQ$2&amp;"+"&amp;BK145&amp;EQ$1)</f>
        <v/>
      </c>
      <c r="ER145" s="43" t="str">
        <f t="shared" ref="ER145" si="2161">IF(BL145="","","|n"&amp;ER$2&amp;"+"&amp;BL145&amp;ER$1)</f>
        <v/>
      </c>
      <c r="ES145" s="43" t="str">
        <f t="shared" ref="ES145" si="2162">IF(BM145="","","|n"&amp;ES$2&amp;"+"&amp;BM145&amp;ES$1)</f>
        <v/>
      </c>
      <c r="ET145" s="43" t="str">
        <f t="shared" ref="ET145" si="2163">IF(BN145="","","|n"&amp;ET$2&amp;"+"&amp;BN145&amp;ET$1)</f>
        <v/>
      </c>
      <c r="EU145" s="43" t="str">
        <f t="shared" ref="EU145" si="2164">IF(BO145="","","|n"&amp;EU$2&amp;"+"&amp;BO145&amp;EU$1)</f>
        <v/>
      </c>
      <c r="EV145" s="43" t="str">
        <f t="shared" ref="EV145" si="2165">IF(BP145="","","|n"&amp;EV$2&amp;"+"&amp;BP145&amp;EV$1)</f>
        <v/>
      </c>
      <c r="EW145" s="43" t="str">
        <f t="shared" ref="EW145" si="2166">IF(BQ145="","","|n"&amp;EW$2&amp;"+"&amp;BQ145&amp;EW$1)</f>
        <v/>
      </c>
      <c r="EX145" s="43" t="str">
        <f t="shared" ref="EX145" si="2167">IF(BR145="","","|n"&amp;EX$2&amp;"+"&amp;BR145&amp;EX$1)</f>
        <v/>
      </c>
      <c r="EY145" s="43" t="str">
        <f t="shared" ref="EY145" si="2168">IF(BS145="","","|n"&amp;EY$2&amp;"+"&amp;BS145&amp;EY$1)</f>
        <v/>
      </c>
      <c r="EZ145" s="43" t="str">
        <f t="shared" ref="EZ145" si="2169">IF(BT145="","","|n"&amp;EZ$2&amp;"+"&amp;BT145&amp;EZ$1)</f>
        <v/>
      </c>
      <c r="FA145" s="43" t="str">
        <f t="shared" ref="FA145" si="2170">IF(BU145="","","|n"&amp;FA$2&amp;"+"&amp;BU145&amp;FA$1)</f>
        <v/>
      </c>
      <c r="FB145" s="43" t="str">
        <f t="shared" ref="FB145" si="2171">IF(BV145="","","|n"&amp;FB$2&amp;"+"&amp;BV145&amp;FB$1)</f>
        <v/>
      </c>
      <c r="FC145" s="43" t="str">
        <f t="shared" ref="FC145" si="2172">IF(BW145="","","|n"&amp;FC$2&amp;"+"&amp;BW145&amp;FC$1)</f>
        <v/>
      </c>
      <c r="FD145" s="43" t="str">
        <f t="shared" ref="FD145" si="2173">IF(BX145="","","|n"&amp;FD$2&amp;"+"&amp;BX145&amp;FD$1)</f>
        <v/>
      </c>
      <c r="FE145" s="43" t="str">
        <f t="shared" ref="FE145" si="2174">IF(BY145="","","|n"&amp;FE$2&amp;"+"&amp;BY145&amp;FE$1)</f>
        <v/>
      </c>
      <c r="FF145" s="43" t="str">
        <f t="shared" ref="FF145" si="2175">IF(BZ145="","","|n"&amp;FF$2&amp;"+"&amp;BZ145&amp;FF$1)</f>
        <v/>
      </c>
      <c r="FG145" s="43" t="str">
        <f t="shared" ref="FG145" si="2176">IF(CA145="","","|n"&amp;FG$2&amp;"+"&amp;CA145&amp;FG$1)</f>
        <v/>
      </c>
      <c r="FH145" s="43" t="str">
        <f t="shared" ref="FH145" si="2177">IF(CB145="","","|n"&amp;FH$2&amp;"+"&amp;CB145&amp;FH$1)</f>
        <v/>
      </c>
      <c r="FI145" s="43" t="str">
        <f t="shared" ref="FI145" si="2178">IF(CC145="","","|n"&amp;FI$2&amp;"+"&amp;CC145&amp;FI$1)</f>
        <v/>
      </c>
      <c r="FJ145" s="43" t="str">
        <f t="shared" ref="FJ145" si="2179">IF(CD145="","","|n"&amp;FJ$2&amp;"+"&amp;CD145&amp;FJ$1)</f>
        <v/>
      </c>
      <c r="FK145" s="43" t="str">
        <f t="shared" ref="FK145" si="2180">IF(CE145="","","|n"&amp;FK$2&amp;"+"&amp;CE145&amp;FK$1)</f>
        <v/>
      </c>
      <c r="FL145" s="43" t="str">
        <f t="shared" ref="FL145" si="2181">IF(CF145="","","|n"&amp;FL$2&amp;"+"&amp;CF145&amp;FL$1)</f>
        <v/>
      </c>
      <c r="FM145" s="43" t="str">
        <f t="shared" ref="FM145" si="2182">IF(CG145="","","|n"&amp;FM$2&amp;"+"&amp;CG145&amp;FM$1)</f>
        <v/>
      </c>
      <c r="FN145" s="43" t="str">
        <f t="shared" ref="FN145" si="2183">IF(CH145="","","|n"&amp;FN$2&amp;"+"&amp;CH145&amp;FN$1)</f>
        <v/>
      </c>
      <c r="FO145" s="43" t="str">
        <f t="shared" ref="FO145" si="2184">IF(CI145="","","|n"&amp;FO$2&amp;"+"&amp;CI145&amp;FO$1)</f>
        <v/>
      </c>
      <c r="FP145" s="43" t="str">
        <f t="shared" ref="FP145" si="2185">IF(CJ145="","","|n"&amp;FP$2&amp;"+"&amp;CJ145&amp;FP$1)</f>
        <v/>
      </c>
      <c r="FQ145" s="43" t="str">
        <f t="shared" ref="FQ145" si="2186">IF(CK145="","","|n"&amp;FQ$2&amp;"+"&amp;CK145&amp;FQ$1)</f>
        <v/>
      </c>
      <c r="FR145" s="43" t="str">
        <f t="shared" ref="FR145" si="2187">IF(CL145="","","|n"&amp;FR$2&amp;"+"&amp;CL145&amp;FR$1)</f>
        <v/>
      </c>
      <c r="FS145" s="43" t="str">
        <f t="shared" ref="FS145" si="2188">IF(CM145="","","|n"&amp;FS$2&amp;"+"&amp;CM145&amp;FS$1)</f>
        <v/>
      </c>
    </row>
    <row r="146" ht="15" spans="1:175">
      <c r="A146" s="4"/>
      <c r="B146" s="4" t="s">
        <v>500</v>
      </c>
      <c r="C146" s="4" t="s">
        <v>501</v>
      </c>
      <c r="T146" s="91" t="s">
        <v>502</v>
      </c>
      <c r="U146" s="59" t="str">
        <f t="shared" si="1168"/>
        <v>ReplaceableTextures\\CommandButtons\\BTNIP01.blp</v>
      </c>
      <c r="CN146" s="12" t="str">
        <f t="shared" si="1678"/>
        <v>InitUnitState('IP01',,,,,,,,,,)</v>
      </c>
      <c r="CO146" s="12" t="str">
        <f t="shared" si="1679"/>
        <v>InitUnitNormal('IP01',,,,,,,,,,)</v>
      </c>
      <c r="CP146" s="12" t="str">
        <f t="shared" si="1680"/>
        <v>InitUnitMagic('IP01',,,,,,,,,,)</v>
      </c>
      <c r="CQ146" s="12" t="str">
        <f t="shared" si="1681"/>
        <v>InitUnitAdd('IP01',,,,,,,,,,)</v>
      </c>
      <c r="CR146" s="12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InitEquipData('IP01',,"",,,,,'','','','','','',"ReplaceableTextures\\CommandButtons\\BTNIP02.blp")</v>
      </c>
      <c r="CU146" s="71" t="str">
        <f t="shared" ref="CU146" si="2189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5" t="str">
        <f t="shared" ref="CV146" si="2190">T146</f>
        <v>进入时渊副本消耗时渊碎片</v>
      </c>
      <c r="CW146" s="6"/>
      <c r="CX146" s="6"/>
      <c r="CY146" s="6"/>
      <c r="CZ146" s="6"/>
      <c r="DA146" s="6"/>
      <c r="DB146" s="43" t="str">
        <f t="shared" ref="DB146" si="2191">IF(V146="","","|n"&amp;DB$2&amp;"+"&amp;V146&amp;DB$1)</f>
        <v/>
      </c>
      <c r="DC146" s="43" t="str">
        <f t="shared" ref="DC146" si="2192">IF(W146="","","|n"&amp;DC$2&amp;"+"&amp;W146&amp;DC$1)</f>
        <v/>
      </c>
      <c r="DD146" s="43" t="str">
        <f t="shared" ref="DD146" si="2193">IF(X146="","","|n"&amp;DD$2&amp;"+"&amp;X146&amp;DD$1)</f>
        <v/>
      </c>
      <c r="DE146" s="43" t="str">
        <f t="shared" ref="DE146" si="2194">IF(Y146="","","|n"&amp;DE$2&amp;"+"&amp;Y146&amp;DE$1)</f>
        <v/>
      </c>
      <c r="DF146" s="43" t="str">
        <f t="shared" ref="DF146" si="2195">IF(Z146="","","|n"&amp;DF$2&amp;"+"&amp;Z146&amp;DF$1)</f>
        <v/>
      </c>
      <c r="DG146" s="43" t="str">
        <f t="shared" ref="DG146" si="2196">IF(AA146="","","|n"&amp;DG$2&amp;"+"&amp;AA146&amp;DG$1)</f>
        <v/>
      </c>
      <c r="DH146" s="43" t="str">
        <f t="shared" ref="DH146" si="2197">IF(AB146="","","|n"&amp;DH$2&amp;"+"&amp;AB146&amp;DH$1)</f>
        <v/>
      </c>
      <c r="DI146" s="43" t="str">
        <f t="shared" ref="DI146" si="2198">IF(AC146="","","|n"&amp;DI$2&amp;"+"&amp;AC146&amp;DI$1)</f>
        <v/>
      </c>
      <c r="DJ146" s="43" t="str">
        <f t="shared" ref="DJ146" si="2199">IF(AD146="","","|n"&amp;DJ$2&amp;"+"&amp;AD146&amp;DJ$1)</f>
        <v/>
      </c>
      <c r="DK146" s="43" t="str">
        <f t="shared" ref="DK146" si="2200">IF(AE146="","","|n"&amp;DK$2&amp;"+"&amp;AE146&amp;DK$1)</f>
        <v/>
      </c>
      <c r="DL146" s="43" t="str">
        <f t="shared" ref="DL146" si="2201">IF(AF146="","","|n"&amp;DL$2&amp;"+"&amp;AF146&amp;DL$1)</f>
        <v/>
      </c>
      <c r="DM146" s="43" t="str">
        <f t="shared" ref="DM146" si="2202">IF(AG146="","","|n"&amp;DM$2&amp;"+"&amp;AG146&amp;DM$1)</f>
        <v/>
      </c>
      <c r="DN146" s="43" t="str">
        <f t="shared" ref="DN146" si="2203">IF(AH146="","","|n"&amp;DN$2&amp;"+"&amp;AH146&amp;DN$1)</f>
        <v/>
      </c>
      <c r="DO146" s="43" t="str">
        <f t="shared" ref="DO146" si="2204">IF(AI146="","","|n"&amp;DO$2&amp;"+"&amp;AI146&amp;DO$1)</f>
        <v/>
      </c>
      <c r="DP146" s="43" t="str">
        <f t="shared" ref="DP146" si="2205">IF(AJ146="","","|n"&amp;DP$2&amp;"+"&amp;AJ146&amp;DP$1)</f>
        <v/>
      </c>
      <c r="DQ146" s="43" t="str">
        <f t="shared" ref="DQ146" si="2206">IF(AK146="","","|n"&amp;DQ$2&amp;"+"&amp;AK146&amp;DQ$1)</f>
        <v/>
      </c>
      <c r="DR146" s="43" t="str">
        <f t="shared" ref="DR146" si="2207">IF(AL146="","","|n"&amp;DR$2&amp;"+"&amp;AL146&amp;DR$1)</f>
        <v/>
      </c>
      <c r="DS146" s="43" t="str">
        <f t="shared" ref="DS146" si="2208">IF(AM146="","","|n"&amp;DS$2&amp;"+"&amp;AM146&amp;DS$1)</f>
        <v/>
      </c>
      <c r="DT146" s="43" t="str">
        <f t="shared" ref="DT146" si="2209">IF(AN146="","","|n"&amp;DT$2&amp;"+"&amp;AN146&amp;DT$1)</f>
        <v/>
      </c>
      <c r="DU146" s="43" t="str">
        <f t="shared" ref="DU146" si="2210">IF(AO146="","","|n"&amp;DU$2&amp;"+"&amp;AO146&amp;DU$1)</f>
        <v/>
      </c>
      <c r="DV146" s="43" t="str">
        <f t="shared" ref="DV146" si="2211">IF(AP146="","","|n"&amp;DV$2&amp;"+"&amp;AP146&amp;DV$1)</f>
        <v/>
      </c>
      <c r="DW146" s="43" t="str">
        <f t="shared" ref="DW146" si="2212">IF(AQ146="","","|n"&amp;DW$2&amp;"+"&amp;AQ146&amp;DW$1)</f>
        <v/>
      </c>
      <c r="DX146" s="43" t="str">
        <f t="shared" ref="DX146" si="2213">IF(AR146="","","|n"&amp;DX$2&amp;"+"&amp;AR146&amp;DX$1)</f>
        <v/>
      </c>
      <c r="DY146" s="43" t="str">
        <f t="shared" ref="DY146" si="2214">IF(AS146="","","|n"&amp;DY$2&amp;"+"&amp;AS146&amp;DY$1)</f>
        <v/>
      </c>
      <c r="DZ146" s="43" t="str">
        <f t="shared" ref="DZ146" si="2215">IF(AT146="","","|n"&amp;DZ$2&amp;"+"&amp;AT146&amp;DZ$1)</f>
        <v/>
      </c>
      <c r="EA146" s="43" t="str">
        <f t="shared" ref="EA146" si="2216">IF(AU146="","","|n"&amp;EA$2&amp;"+"&amp;AU146&amp;EA$1)</f>
        <v/>
      </c>
      <c r="EB146" s="43" t="str">
        <f t="shared" ref="EB146" si="2217">IF(AV146="","","|n"&amp;EB$2&amp;"+"&amp;AV146&amp;EB$1)</f>
        <v/>
      </c>
      <c r="EC146" s="43" t="str">
        <f t="shared" ref="EC146" si="2218">IF(AW146="","","|n"&amp;EC$2&amp;"+"&amp;AW146&amp;EC$1)</f>
        <v/>
      </c>
      <c r="ED146" s="43" t="str">
        <f t="shared" ref="ED146" si="2219">IF(AX146="","","|n"&amp;ED$2&amp;"+"&amp;AX146&amp;ED$1)</f>
        <v/>
      </c>
      <c r="EE146" s="43" t="str">
        <f t="shared" ref="EE146" si="2220">IF(AY146="","","|n"&amp;EE$2&amp;"+"&amp;AY146&amp;EE$1)</f>
        <v/>
      </c>
      <c r="EF146" s="43" t="str">
        <f t="shared" ref="EF146" si="2221">IF(AZ146="","","|n"&amp;EF$2&amp;"+"&amp;AZ146&amp;EF$1)</f>
        <v/>
      </c>
      <c r="EG146" s="43" t="str">
        <f t="shared" ref="EG146" si="2222">IF(BA146="","","|n"&amp;EG$2&amp;"+"&amp;BA146&amp;EG$1)</f>
        <v/>
      </c>
      <c r="EH146" s="43" t="str">
        <f t="shared" ref="EH146" si="2223">IF(BB146="","","|n"&amp;EH$2&amp;"+"&amp;BB146&amp;EH$1)</f>
        <v/>
      </c>
      <c r="EI146" s="43" t="str">
        <f t="shared" ref="EI146" si="2224">IF(BC146="","","|n"&amp;EI$2&amp;"+"&amp;BC146&amp;EI$1)</f>
        <v/>
      </c>
      <c r="EJ146" s="43" t="str">
        <f t="shared" ref="EJ146" si="2225">IF(BD146="","","|n"&amp;EJ$2&amp;"+"&amp;BD146&amp;EJ$1)</f>
        <v/>
      </c>
      <c r="EK146" s="43" t="str">
        <f t="shared" ref="EK146" si="2226">IF(BE146="","","|n"&amp;EK$2&amp;"+"&amp;BE146&amp;EK$1)</f>
        <v/>
      </c>
      <c r="EL146" s="43" t="str">
        <f t="shared" ref="EL146" si="2227">IF(BF146="","","|n"&amp;EL$2&amp;"+"&amp;BF146&amp;EL$1)</f>
        <v/>
      </c>
      <c r="EM146" s="43" t="str">
        <f t="shared" ref="EM146" si="2228">IF(BG146="","","|n"&amp;EM$2&amp;"+"&amp;BG146&amp;EM$1)</f>
        <v/>
      </c>
      <c r="EN146" s="43" t="str">
        <f t="shared" ref="EN146" si="2229">IF(BH146="","","|n"&amp;EN$2&amp;"+"&amp;BH146&amp;EN$1)</f>
        <v/>
      </c>
      <c r="EO146" s="43" t="str">
        <f t="shared" ref="EO146" si="2230">IF(BI146="","","|n"&amp;EO$2&amp;"+"&amp;BI146&amp;EO$1)</f>
        <v/>
      </c>
      <c r="EP146" s="43" t="str">
        <f t="shared" ref="EP146" si="2231">IF(BJ146="","","|n"&amp;EP$2&amp;"+"&amp;BJ146&amp;EP$1)</f>
        <v/>
      </c>
      <c r="EQ146" s="43" t="str">
        <f t="shared" ref="EQ146" si="2232">IF(BK146="","","|n"&amp;EQ$2&amp;"+"&amp;BK146&amp;EQ$1)</f>
        <v/>
      </c>
      <c r="ER146" s="43" t="str">
        <f t="shared" ref="ER146" si="2233">IF(BL146="","","|n"&amp;ER$2&amp;"+"&amp;BL146&amp;ER$1)</f>
        <v/>
      </c>
      <c r="ES146" s="43" t="str">
        <f t="shared" ref="ES146" si="2234">IF(BM146="","","|n"&amp;ES$2&amp;"+"&amp;BM146&amp;ES$1)</f>
        <v/>
      </c>
      <c r="ET146" s="43" t="str">
        <f t="shared" ref="ET146" si="2235">IF(BN146="","","|n"&amp;ET$2&amp;"+"&amp;BN146&amp;ET$1)</f>
        <v/>
      </c>
      <c r="EU146" s="43" t="str">
        <f t="shared" ref="EU146" si="2236">IF(BO146="","","|n"&amp;EU$2&amp;"+"&amp;BO146&amp;EU$1)</f>
        <v/>
      </c>
      <c r="EV146" s="43" t="str">
        <f t="shared" ref="EV146" si="2237">IF(BP146="","","|n"&amp;EV$2&amp;"+"&amp;BP146&amp;EV$1)</f>
        <v/>
      </c>
      <c r="EW146" s="43" t="str">
        <f t="shared" ref="EW146" si="2238">IF(BQ146="","","|n"&amp;EW$2&amp;"+"&amp;BQ146&amp;EW$1)</f>
        <v/>
      </c>
      <c r="EX146" s="43" t="str">
        <f t="shared" ref="EX146" si="2239">IF(BR146="","","|n"&amp;EX$2&amp;"+"&amp;BR146&amp;EX$1)</f>
        <v/>
      </c>
      <c r="EY146" s="43" t="str">
        <f t="shared" ref="EY146" si="2240">IF(BS146="","","|n"&amp;EY$2&amp;"+"&amp;BS146&amp;EY$1)</f>
        <v/>
      </c>
      <c r="EZ146" s="43" t="str">
        <f t="shared" ref="EZ146" si="2241">IF(BT146="","","|n"&amp;EZ$2&amp;"+"&amp;BT146&amp;EZ$1)</f>
        <v/>
      </c>
      <c r="FA146" s="43" t="str">
        <f t="shared" ref="FA146" si="2242">IF(BU146="","","|n"&amp;FA$2&amp;"+"&amp;BU146&amp;FA$1)</f>
        <v/>
      </c>
      <c r="FB146" s="43" t="str">
        <f t="shared" ref="FB146" si="2243">IF(BV146="","","|n"&amp;FB$2&amp;"+"&amp;BV146&amp;FB$1)</f>
        <v/>
      </c>
      <c r="FC146" s="43" t="str">
        <f t="shared" ref="FC146" si="2244">IF(BW146="","","|n"&amp;FC$2&amp;"+"&amp;BW146&amp;FC$1)</f>
        <v/>
      </c>
      <c r="FD146" s="43" t="str">
        <f t="shared" ref="FD146" si="2245">IF(BX146="","","|n"&amp;FD$2&amp;"+"&amp;BX146&amp;FD$1)</f>
        <v/>
      </c>
      <c r="FE146" s="43" t="str">
        <f t="shared" ref="FE146" si="2246">IF(BY146="","","|n"&amp;FE$2&amp;"+"&amp;BY146&amp;FE$1)</f>
        <v/>
      </c>
      <c r="FF146" s="43" t="str">
        <f t="shared" ref="FF146" si="2247">IF(BZ146="","","|n"&amp;FF$2&amp;"+"&amp;BZ146&amp;FF$1)</f>
        <v/>
      </c>
      <c r="FG146" s="43" t="str">
        <f t="shared" ref="FG146" si="2248">IF(CA146="","","|n"&amp;FG$2&amp;"+"&amp;CA146&amp;FG$1)</f>
        <v/>
      </c>
      <c r="FH146" s="43" t="str">
        <f t="shared" ref="FH146" si="2249">IF(CB146="","","|n"&amp;FH$2&amp;"+"&amp;CB146&amp;FH$1)</f>
        <v/>
      </c>
      <c r="FI146" s="43" t="str">
        <f t="shared" ref="FI146" si="2250">IF(CC146="","","|n"&amp;FI$2&amp;"+"&amp;CC146&amp;FI$1)</f>
        <v/>
      </c>
      <c r="FJ146" s="43" t="str">
        <f t="shared" ref="FJ146" si="2251">IF(CD146="","","|n"&amp;FJ$2&amp;"+"&amp;CD146&amp;FJ$1)</f>
        <v/>
      </c>
      <c r="FK146" s="43" t="str">
        <f t="shared" ref="FK146" si="2252">IF(CE146="","","|n"&amp;FK$2&amp;"+"&amp;CE146&amp;FK$1)</f>
        <v/>
      </c>
      <c r="FL146" s="43" t="str">
        <f t="shared" ref="FL146" si="2253">IF(CF146="","","|n"&amp;FL$2&amp;"+"&amp;CF146&amp;FL$1)</f>
        <v/>
      </c>
      <c r="FM146" s="43" t="str">
        <f t="shared" ref="FM146" si="2254">IF(CG146="","","|n"&amp;FM$2&amp;"+"&amp;CG146&amp;FM$1)</f>
        <v/>
      </c>
      <c r="FN146" s="43" t="str">
        <f t="shared" ref="FN146" si="2255">IF(CH146="","","|n"&amp;FN$2&amp;"+"&amp;CH146&amp;FN$1)</f>
        <v/>
      </c>
      <c r="FO146" s="43" t="str">
        <f t="shared" ref="FO146" si="2256">IF(CI146="","","|n"&amp;FO$2&amp;"+"&amp;CI146&amp;FO$1)</f>
        <v/>
      </c>
      <c r="FP146" s="43" t="str">
        <f t="shared" ref="FP146" si="2257">IF(CJ146="","","|n"&amp;FP$2&amp;"+"&amp;CJ146&amp;FP$1)</f>
        <v/>
      </c>
      <c r="FQ146" s="43" t="str">
        <f t="shared" ref="FQ146" si="2258">IF(CK146="","","|n"&amp;FQ$2&amp;"+"&amp;CK146&amp;FQ$1)</f>
        <v/>
      </c>
      <c r="FR146" s="43" t="str">
        <f t="shared" ref="FR146" si="2259">IF(CL146="","","|n"&amp;FR$2&amp;"+"&amp;CL146&amp;FR$1)</f>
        <v/>
      </c>
      <c r="FS146" s="43" t="str">
        <f t="shared" ref="FS146" si="2260">IF(CM146="","","|n"&amp;FS$2&amp;"+"&amp;CM146&amp;FS$1)</f>
        <v/>
      </c>
    </row>
    <row r="147" ht="15" spans="1:175">
      <c r="A147" s="88"/>
      <c r="B147" s="4" t="s">
        <v>503</v>
      </c>
      <c r="C147" s="88" t="s">
        <v>504</v>
      </c>
      <c r="T147" s="92" t="s">
        <v>505</v>
      </c>
      <c r="U147" s="59" t="str">
        <f t="shared" si="1168"/>
        <v>ReplaceableTextures\\CommandButtons\\BTNIP02.blp</v>
      </c>
      <c r="CN147" s="12" t="str">
        <f t="shared" si="1678"/>
        <v>InitUnitState('IP02',,,,,,,,,,)</v>
      </c>
      <c r="CO147" s="12" t="str">
        <f t="shared" si="1679"/>
        <v>InitUnitNormal('IP02',,,,,,,,,,)</v>
      </c>
      <c r="CP147" s="12" t="str">
        <f t="shared" si="1680"/>
        <v>InitUnitMagic('IP02',,,,,,,,,,)</v>
      </c>
      <c r="CQ147" s="12" t="str">
        <f t="shared" si="1681"/>
        <v>InitUnitAdd('IP02',,,,,,,,,,)</v>
      </c>
      <c r="CR147" s="12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InitEquipData('IP02',,"",,,,,'','','','','','',"ReplaceableTextures\\CommandButtons\\BTNIP03.blp")</v>
      </c>
      <c r="CU147" s="71" t="str">
        <f t="shared" ref="CU147:CU148" si="226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5" t="str">
        <f t="shared" ref="CV147:CV148" si="2262">T147</f>
        <v>点击|Cffffc926选中指定法宝|r后，再点击|Cffffc926重铸|r，可|Cffffc926重置|r指定法宝，|Cffffc926品质不变|r。|n|n|Cff00ff7f每次重铸消耗1个补天石|r</v>
      </c>
      <c r="CW147" s="6"/>
      <c r="CX147" s="6"/>
      <c r="CY147" s="6"/>
      <c r="CZ147" s="6"/>
      <c r="DA147" s="6"/>
      <c r="DB147" s="43" t="str">
        <f t="shared" ref="DB147:DB148" si="2263">IF(V147="","","|n"&amp;DB$2&amp;"+"&amp;V147&amp;DB$1)</f>
        <v/>
      </c>
      <c r="DC147" s="43" t="str">
        <f t="shared" ref="DC147:DC148" si="2264">IF(W147="","","|n"&amp;DC$2&amp;"+"&amp;W147&amp;DC$1)</f>
        <v/>
      </c>
      <c r="DD147" s="43" t="str">
        <f t="shared" ref="DD147:DD148" si="2265">IF(X147="","","|n"&amp;DD$2&amp;"+"&amp;X147&amp;DD$1)</f>
        <v/>
      </c>
      <c r="DE147" s="43" t="str">
        <f t="shared" ref="DE147:DE148" si="2266">IF(Y147="","","|n"&amp;DE$2&amp;"+"&amp;Y147&amp;DE$1)</f>
        <v/>
      </c>
      <c r="DF147" s="43" t="str">
        <f t="shared" ref="DF147:DF148" si="2267">IF(Z147="","","|n"&amp;DF$2&amp;"+"&amp;Z147&amp;DF$1)</f>
        <v/>
      </c>
      <c r="DG147" s="43" t="str">
        <f t="shared" ref="DG147:DG148" si="2268">IF(AA147="","","|n"&amp;DG$2&amp;"+"&amp;AA147&amp;DG$1)</f>
        <v/>
      </c>
      <c r="DH147" s="43" t="str">
        <f t="shared" ref="DH147:DH148" si="2269">IF(AB147="","","|n"&amp;DH$2&amp;"+"&amp;AB147&amp;DH$1)</f>
        <v/>
      </c>
      <c r="DI147" s="43" t="str">
        <f t="shared" ref="DI147:DI148" si="2270">IF(AC147="","","|n"&amp;DI$2&amp;"+"&amp;AC147&amp;DI$1)</f>
        <v/>
      </c>
      <c r="DJ147" s="43" t="str">
        <f t="shared" ref="DJ147:DJ148" si="2271">IF(AD147="","","|n"&amp;DJ$2&amp;"+"&amp;AD147&amp;DJ$1)</f>
        <v/>
      </c>
      <c r="DK147" s="43" t="str">
        <f t="shared" ref="DK147:DK148" si="2272">IF(AE147="","","|n"&amp;DK$2&amp;"+"&amp;AE147&amp;DK$1)</f>
        <v/>
      </c>
      <c r="DL147" s="43" t="str">
        <f t="shared" ref="DL147:DL148" si="2273">IF(AF147="","","|n"&amp;DL$2&amp;"+"&amp;AF147&amp;DL$1)</f>
        <v/>
      </c>
      <c r="DM147" s="43" t="str">
        <f t="shared" ref="DM147:DM148" si="2274">IF(AG147="","","|n"&amp;DM$2&amp;"+"&amp;AG147&amp;DM$1)</f>
        <v/>
      </c>
      <c r="DN147" s="43" t="str">
        <f t="shared" ref="DN147:DN148" si="2275">IF(AH147="","","|n"&amp;DN$2&amp;"+"&amp;AH147&amp;DN$1)</f>
        <v/>
      </c>
      <c r="DO147" s="43" t="str">
        <f t="shared" ref="DO147:DO148" si="2276">IF(AI147="","","|n"&amp;DO$2&amp;"+"&amp;AI147&amp;DO$1)</f>
        <v/>
      </c>
      <c r="DP147" s="43" t="str">
        <f t="shared" ref="DP147:DP148" si="2277">IF(AJ147="","","|n"&amp;DP$2&amp;"+"&amp;AJ147&amp;DP$1)</f>
        <v/>
      </c>
      <c r="DQ147" s="43" t="str">
        <f t="shared" ref="DQ147:DQ148" si="2278">IF(AK147="","","|n"&amp;DQ$2&amp;"+"&amp;AK147&amp;DQ$1)</f>
        <v/>
      </c>
      <c r="DR147" s="43" t="str">
        <f t="shared" ref="DR147:DR148" si="2279">IF(AL147="","","|n"&amp;DR$2&amp;"+"&amp;AL147&amp;DR$1)</f>
        <v/>
      </c>
      <c r="DS147" s="43" t="str">
        <f t="shared" ref="DS147:DS148" si="2280">IF(AM147="","","|n"&amp;DS$2&amp;"+"&amp;AM147&amp;DS$1)</f>
        <v/>
      </c>
      <c r="DT147" s="43" t="str">
        <f t="shared" ref="DT147:DT148" si="2281">IF(AN147="","","|n"&amp;DT$2&amp;"+"&amp;AN147&amp;DT$1)</f>
        <v/>
      </c>
      <c r="DU147" s="43" t="str">
        <f t="shared" ref="DU147:DU148" si="2282">IF(AO147="","","|n"&amp;DU$2&amp;"+"&amp;AO147&amp;DU$1)</f>
        <v/>
      </c>
      <c r="DV147" s="43" t="str">
        <f t="shared" ref="DV147:DV148" si="2283">IF(AP147="","","|n"&amp;DV$2&amp;"+"&amp;AP147&amp;DV$1)</f>
        <v/>
      </c>
      <c r="DW147" s="43" t="str">
        <f t="shared" ref="DW147:DW148" si="2284">IF(AQ147="","","|n"&amp;DW$2&amp;"+"&amp;AQ147&amp;DW$1)</f>
        <v/>
      </c>
      <c r="DX147" s="43" t="str">
        <f t="shared" ref="DX147:DX148" si="2285">IF(AR147="","","|n"&amp;DX$2&amp;"+"&amp;AR147&amp;DX$1)</f>
        <v/>
      </c>
      <c r="DY147" s="43" t="str">
        <f t="shared" ref="DY147:DY148" si="2286">IF(AS147="","","|n"&amp;DY$2&amp;"+"&amp;AS147&amp;DY$1)</f>
        <v/>
      </c>
      <c r="DZ147" s="43" t="str">
        <f t="shared" ref="DZ147:DZ148" si="2287">IF(AT147="","","|n"&amp;DZ$2&amp;"+"&amp;AT147&amp;DZ$1)</f>
        <v/>
      </c>
      <c r="EA147" s="43" t="str">
        <f t="shared" ref="EA147:EA148" si="2288">IF(AU147="","","|n"&amp;EA$2&amp;"+"&amp;AU147&amp;EA$1)</f>
        <v/>
      </c>
      <c r="EB147" s="43" t="str">
        <f t="shared" ref="EB147:EB148" si="2289">IF(AV147="","","|n"&amp;EB$2&amp;"+"&amp;AV147&amp;EB$1)</f>
        <v/>
      </c>
      <c r="EC147" s="43" t="str">
        <f t="shared" ref="EC147:EC148" si="2290">IF(AW147="","","|n"&amp;EC$2&amp;"+"&amp;AW147&amp;EC$1)</f>
        <v/>
      </c>
      <c r="ED147" s="43" t="str">
        <f t="shared" ref="ED147:ED148" si="2291">IF(AX147="","","|n"&amp;ED$2&amp;"+"&amp;AX147&amp;ED$1)</f>
        <v/>
      </c>
      <c r="EE147" s="43" t="str">
        <f t="shared" ref="EE147:EE148" si="2292">IF(AY147="","","|n"&amp;EE$2&amp;"+"&amp;AY147&amp;EE$1)</f>
        <v/>
      </c>
      <c r="EF147" s="43" t="str">
        <f t="shared" ref="EF147:EF148" si="2293">IF(AZ147="","","|n"&amp;EF$2&amp;"+"&amp;AZ147&amp;EF$1)</f>
        <v/>
      </c>
      <c r="EG147" s="43" t="str">
        <f t="shared" ref="EG147:EG148" si="2294">IF(BA147="","","|n"&amp;EG$2&amp;"+"&amp;BA147&amp;EG$1)</f>
        <v/>
      </c>
      <c r="EH147" s="43" t="str">
        <f t="shared" ref="EH147:EH148" si="2295">IF(BB147="","","|n"&amp;EH$2&amp;"+"&amp;BB147&amp;EH$1)</f>
        <v/>
      </c>
      <c r="EI147" s="43" t="str">
        <f t="shared" ref="EI147:EI148" si="2296">IF(BC147="","","|n"&amp;EI$2&amp;"+"&amp;BC147&amp;EI$1)</f>
        <v/>
      </c>
      <c r="EJ147" s="43" t="str">
        <f t="shared" ref="EJ147:EJ148" si="2297">IF(BD147="","","|n"&amp;EJ$2&amp;"+"&amp;BD147&amp;EJ$1)</f>
        <v/>
      </c>
      <c r="EK147" s="43" t="str">
        <f t="shared" ref="EK147:EK148" si="2298">IF(BE147="","","|n"&amp;EK$2&amp;"+"&amp;BE147&amp;EK$1)</f>
        <v/>
      </c>
      <c r="EL147" s="43" t="str">
        <f t="shared" ref="EL147:EL148" si="2299">IF(BF147="","","|n"&amp;EL$2&amp;"+"&amp;BF147&amp;EL$1)</f>
        <v/>
      </c>
      <c r="EM147" s="43" t="str">
        <f t="shared" ref="EM147:EM148" si="2300">IF(BG147="","","|n"&amp;EM$2&amp;"+"&amp;BG147&amp;EM$1)</f>
        <v/>
      </c>
      <c r="EN147" s="43" t="str">
        <f t="shared" ref="EN147:EN148" si="2301">IF(BH147="","","|n"&amp;EN$2&amp;"+"&amp;BH147&amp;EN$1)</f>
        <v/>
      </c>
      <c r="EO147" s="43" t="str">
        <f t="shared" ref="EO147:EO148" si="2302">IF(BI147="","","|n"&amp;EO$2&amp;"+"&amp;BI147&amp;EO$1)</f>
        <v/>
      </c>
      <c r="EP147" s="43" t="str">
        <f t="shared" ref="EP147:EP148" si="2303">IF(BJ147="","","|n"&amp;EP$2&amp;"+"&amp;BJ147&amp;EP$1)</f>
        <v/>
      </c>
      <c r="EQ147" s="43" t="str">
        <f t="shared" ref="EQ147:EQ148" si="2304">IF(BK147="","","|n"&amp;EQ$2&amp;"+"&amp;BK147&amp;EQ$1)</f>
        <v/>
      </c>
      <c r="ER147" s="43" t="str">
        <f t="shared" ref="ER147:ER148" si="2305">IF(BL147="","","|n"&amp;ER$2&amp;"+"&amp;BL147&amp;ER$1)</f>
        <v/>
      </c>
      <c r="ES147" s="43" t="str">
        <f t="shared" ref="ES147:ES148" si="2306">IF(BM147="","","|n"&amp;ES$2&amp;"+"&amp;BM147&amp;ES$1)</f>
        <v/>
      </c>
      <c r="ET147" s="43" t="str">
        <f t="shared" ref="ET147:ET148" si="2307">IF(BN147="","","|n"&amp;ET$2&amp;"+"&amp;BN147&amp;ET$1)</f>
        <v/>
      </c>
      <c r="EU147" s="43" t="str">
        <f t="shared" ref="EU147:EU148" si="2308">IF(BO147="","","|n"&amp;EU$2&amp;"+"&amp;BO147&amp;EU$1)</f>
        <v/>
      </c>
      <c r="EV147" s="43" t="str">
        <f t="shared" ref="EV147:EV148" si="2309">IF(BP147="","","|n"&amp;EV$2&amp;"+"&amp;BP147&amp;EV$1)</f>
        <v/>
      </c>
      <c r="EW147" s="43" t="str">
        <f t="shared" ref="EW147:EW148" si="2310">IF(BQ147="","","|n"&amp;EW$2&amp;"+"&amp;BQ147&amp;EW$1)</f>
        <v/>
      </c>
      <c r="EX147" s="43" t="str">
        <f t="shared" ref="EX147:EX148" si="2311">IF(BR147="","","|n"&amp;EX$2&amp;"+"&amp;BR147&amp;EX$1)</f>
        <v/>
      </c>
      <c r="EY147" s="43" t="str">
        <f t="shared" ref="EY147:EY148" si="2312">IF(BS147="","","|n"&amp;EY$2&amp;"+"&amp;BS147&amp;EY$1)</f>
        <v/>
      </c>
      <c r="EZ147" s="43" t="str">
        <f t="shared" ref="EZ147:EZ148" si="2313">IF(BT147="","","|n"&amp;EZ$2&amp;"+"&amp;BT147&amp;EZ$1)</f>
        <v/>
      </c>
      <c r="FA147" s="43" t="str">
        <f t="shared" ref="FA147:FA148" si="2314">IF(BU147="","","|n"&amp;FA$2&amp;"+"&amp;BU147&amp;FA$1)</f>
        <v/>
      </c>
      <c r="FB147" s="43" t="str">
        <f t="shared" ref="FB147:FB148" si="2315">IF(BV147="","","|n"&amp;FB$2&amp;"+"&amp;BV147&amp;FB$1)</f>
        <v/>
      </c>
      <c r="FC147" s="43" t="str">
        <f t="shared" ref="FC147:FC148" si="2316">IF(BW147="","","|n"&amp;FC$2&amp;"+"&amp;BW147&amp;FC$1)</f>
        <v/>
      </c>
      <c r="FD147" s="43" t="str">
        <f t="shared" ref="FD147:FD148" si="2317">IF(BX147="","","|n"&amp;FD$2&amp;"+"&amp;BX147&amp;FD$1)</f>
        <v/>
      </c>
      <c r="FE147" s="43" t="str">
        <f t="shared" ref="FE147:FE148" si="2318">IF(BY147="","","|n"&amp;FE$2&amp;"+"&amp;BY147&amp;FE$1)</f>
        <v/>
      </c>
      <c r="FF147" s="43" t="str">
        <f t="shared" ref="FF147:FF148" si="2319">IF(BZ147="","","|n"&amp;FF$2&amp;"+"&amp;BZ147&amp;FF$1)</f>
        <v/>
      </c>
      <c r="FG147" s="43" t="str">
        <f t="shared" ref="FG147:FG148" si="2320">IF(CA147="","","|n"&amp;FG$2&amp;"+"&amp;CA147&amp;FG$1)</f>
        <v/>
      </c>
      <c r="FH147" s="43" t="str">
        <f t="shared" ref="FH147:FH148" si="2321">IF(CB147="","","|n"&amp;FH$2&amp;"+"&amp;CB147&amp;FH$1)</f>
        <v/>
      </c>
      <c r="FI147" s="43" t="str">
        <f t="shared" ref="FI147:FI148" si="2322">IF(CC147="","","|n"&amp;FI$2&amp;"+"&amp;CC147&amp;FI$1)</f>
        <v/>
      </c>
      <c r="FJ147" s="43" t="str">
        <f t="shared" ref="FJ147:FJ148" si="2323">IF(CD147="","","|n"&amp;FJ$2&amp;"+"&amp;CD147&amp;FJ$1)</f>
        <v/>
      </c>
      <c r="FK147" s="43" t="str">
        <f t="shared" ref="FK147:FK148" si="2324">IF(CE147="","","|n"&amp;FK$2&amp;"+"&amp;CE147&amp;FK$1)</f>
        <v/>
      </c>
      <c r="FL147" s="43" t="str">
        <f t="shared" ref="FL147:FL148" si="2325">IF(CF147="","","|n"&amp;FL$2&amp;"+"&amp;CF147&amp;FL$1)</f>
        <v/>
      </c>
      <c r="FM147" s="43" t="str">
        <f t="shared" ref="FM147:FM148" si="2326">IF(CG147="","","|n"&amp;FM$2&amp;"+"&amp;CG147&amp;FM$1)</f>
        <v/>
      </c>
      <c r="FN147" s="43" t="str">
        <f t="shared" ref="FN147:FN148" si="2327">IF(CH147="","","|n"&amp;FN$2&amp;"+"&amp;CH147&amp;FN$1)</f>
        <v/>
      </c>
      <c r="FO147" s="43" t="str">
        <f t="shared" ref="FO147:FO148" si="2328">IF(CI147="","","|n"&amp;FO$2&amp;"+"&amp;CI147&amp;FO$1)</f>
        <v/>
      </c>
      <c r="FP147" s="43" t="str">
        <f t="shared" ref="FP147:FP148" si="2329">IF(CJ147="","","|n"&amp;FP$2&amp;"+"&amp;CJ147&amp;FP$1)</f>
        <v/>
      </c>
      <c r="FQ147" s="43" t="str">
        <f t="shared" ref="FQ147:FQ148" si="2330">IF(CK147="","","|n"&amp;FQ$2&amp;"+"&amp;CK147&amp;FQ$1)</f>
        <v/>
      </c>
      <c r="FR147" s="43" t="str">
        <f t="shared" ref="FR147:FR148" si="2331">IF(CL147="","","|n"&amp;FR$2&amp;"+"&amp;CL147&amp;FR$1)</f>
        <v/>
      </c>
      <c r="FS147" s="43" t="str">
        <f t="shared" ref="FS147:FS148" si="2332">IF(CM147="","","|n"&amp;FS$2&amp;"+"&amp;CM147&amp;FS$1)</f>
        <v/>
      </c>
    </row>
    <row r="148" ht="15" spans="1:175">
      <c r="A148" s="88"/>
      <c r="B148" s="4" t="s">
        <v>506</v>
      </c>
      <c r="C148" s="88" t="s">
        <v>507</v>
      </c>
      <c r="T148" s="92" t="s">
        <v>508</v>
      </c>
      <c r="U148" s="59" t="str">
        <f t="shared" si="1168"/>
        <v>ReplaceableTextures\\CommandButtons\\BTNIP03.blp</v>
      </c>
      <c r="CN148" s="12" t="str">
        <f t="shared" si="1678"/>
        <v>InitUnitState('IP03',,,,,,,,,,)</v>
      </c>
      <c r="CO148" s="12" t="str">
        <f t="shared" si="1679"/>
        <v>InitUnitNormal('IP03',,,,,,,,,,)</v>
      </c>
      <c r="CP148" s="12" t="str">
        <f t="shared" si="1680"/>
        <v>InitUnitMagic('IP03',,,,,,,,,,)</v>
      </c>
      <c r="CQ148" s="12" t="str">
        <f t="shared" si="1681"/>
        <v>InitUnitAdd('IP03',,,,,,,,,,)</v>
      </c>
      <c r="CR148" s="12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151&amp;CR$1&amp;")"</f>
        <v>InitEquipData('IP03',,"",,,,,'','','','','','',"ReplaceableTextures\\CommandButtons\\BTNIT01.blp")</v>
      </c>
      <c r="CU148" s="71" t="str">
        <f t="shared" si="2261"/>
        <v>|n</v>
      </c>
      <c r="CV148" s="5" t="str">
        <f t="shared" si="2262"/>
        <v>点击|Cffffc926选中指定法宝|r后，再点击|Cffffc926锻造|r，可|Cffffc926重置|r指定法宝，|Cffffc926品质提升一级|r。|n|n|Cff00ff7f每次重铸消耗1个鸿蒙结晶|r</v>
      </c>
      <c r="CW148" s="6"/>
      <c r="CX148" s="6"/>
      <c r="CY148" s="6"/>
      <c r="CZ148" s="6"/>
      <c r="DA148" s="6"/>
      <c r="DB148" s="43" t="str">
        <f t="shared" si="2263"/>
        <v/>
      </c>
      <c r="DC148" s="43" t="str">
        <f t="shared" si="2264"/>
        <v/>
      </c>
      <c r="DD148" s="43" t="str">
        <f t="shared" si="2265"/>
        <v/>
      </c>
      <c r="DE148" s="43" t="str">
        <f t="shared" si="2266"/>
        <v/>
      </c>
      <c r="DF148" s="43" t="str">
        <f t="shared" si="2267"/>
        <v/>
      </c>
      <c r="DG148" s="43" t="str">
        <f t="shared" si="2268"/>
        <v/>
      </c>
      <c r="DH148" s="43" t="str">
        <f t="shared" si="2269"/>
        <v/>
      </c>
      <c r="DI148" s="43" t="str">
        <f t="shared" si="2270"/>
        <v/>
      </c>
      <c r="DJ148" s="43" t="str">
        <f t="shared" si="2271"/>
        <v/>
      </c>
      <c r="DK148" s="43" t="str">
        <f t="shared" si="2272"/>
        <v/>
      </c>
      <c r="DL148" s="43" t="str">
        <f t="shared" si="2273"/>
        <v/>
      </c>
      <c r="DM148" s="43" t="str">
        <f t="shared" si="2274"/>
        <v/>
      </c>
      <c r="DN148" s="43" t="str">
        <f t="shared" si="2275"/>
        <v/>
      </c>
      <c r="DO148" s="43" t="str">
        <f t="shared" si="2276"/>
        <v/>
      </c>
      <c r="DP148" s="43" t="str">
        <f t="shared" si="2277"/>
        <v/>
      </c>
      <c r="DQ148" s="43" t="str">
        <f t="shared" si="2278"/>
        <v/>
      </c>
      <c r="DR148" s="43" t="str">
        <f t="shared" si="2279"/>
        <v/>
      </c>
      <c r="DS148" s="43" t="str">
        <f t="shared" si="2280"/>
        <v/>
      </c>
      <c r="DT148" s="43" t="str">
        <f t="shared" si="2281"/>
        <v/>
      </c>
      <c r="DU148" s="43" t="str">
        <f t="shared" si="2282"/>
        <v/>
      </c>
      <c r="DV148" s="43" t="str">
        <f t="shared" si="2283"/>
        <v/>
      </c>
      <c r="DW148" s="43" t="str">
        <f t="shared" si="2284"/>
        <v/>
      </c>
      <c r="DX148" s="43" t="str">
        <f t="shared" si="2285"/>
        <v/>
      </c>
      <c r="DY148" s="43" t="str">
        <f t="shared" si="2286"/>
        <v/>
      </c>
      <c r="DZ148" s="43" t="str">
        <f t="shared" si="2287"/>
        <v/>
      </c>
      <c r="EA148" s="43" t="str">
        <f t="shared" si="2288"/>
        <v/>
      </c>
      <c r="EB148" s="43" t="str">
        <f t="shared" si="2289"/>
        <v/>
      </c>
      <c r="EC148" s="43" t="str">
        <f t="shared" si="2290"/>
        <v/>
      </c>
      <c r="ED148" s="43" t="str">
        <f t="shared" si="2291"/>
        <v/>
      </c>
      <c r="EE148" s="43" t="str">
        <f t="shared" si="2292"/>
        <v/>
      </c>
      <c r="EF148" s="43" t="str">
        <f t="shared" si="2293"/>
        <v/>
      </c>
      <c r="EG148" s="43" t="str">
        <f t="shared" si="2294"/>
        <v/>
      </c>
      <c r="EH148" s="43" t="str">
        <f t="shared" si="2295"/>
        <v/>
      </c>
      <c r="EI148" s="43" t="str">
        <f t="shared" si="2296"/>
        <v/>
      </c>
      <c r="EJ148" s="43" t="str">
        <f t="shared" si="2297"/>
        <v/>
      </c>
      <c r="EK148" s="43" t="str">
        <f t="shared" si="2298"/>
        <v/>
      </c>
      <c r="EL148" s="43" t="str">
        <f t="shared" si="2299"/>
        <v/>
      </c>
      <c r="EM148" s="43" t="str">
        <f t="shared" si="2300"/>
        <v/>
      </c>
      <c r="EN148" s="43" t="str">
        <f t="shared" si="2301"/>
        <v/>
      </c>
      <c r="EO148" s="43" t="str">
        <f t="shared" si="2302"/>
        <v/>
      </c>
      <c r="EP148" s="43" t="str">
        <f t="shared" si="2303"/>
        <v/>
      </c>
      <c r="EQ148" s="43" t="str">
        <f t="shared" si="2304"/>
        <v/>
      </c>
      <c r="ER148" s="43" t="str">
        <f t="shared" si="2305"/>
        <v/>
      </c>
      <c r="ES148" s="43" t="str">
        <f t="shared" si="2306"/>
        <v/>
      </c>
      <c r="ET148" s="43" t="str">
        <f t="shared" si="2307"/>
        <v/>
      </c>
      <c r="EU148" s="43" t="str">
        <f t="shared" si="2308"/>
        <v/>
      </c>
      <c r="EV148" s="43" t="str">
        <f t="shared" si="2309"/>
        <v/>
      </c>
      <c r="EW148" s="43" t="str">
        <f t="shared" si="2310"/>
        <v/>
      </c>
      <c r="EX148" s="43" t="str">
        <f t="shared" si="2311"/>
        <v/>
      </c>
      <c r="EY148" s="43" t="str">
        <f t="shared" si="2312"/>
        <v/>
      </c>
      <c r="EZ148" s="43" t="str">
        <f t="shared" si="2313"/>
        <v/>
      </c>
      <c r="FA148" s="43" t="str">
        <f t="shared" si="2314"/>
        <v/>
      </c>
      <c r="FB148" s="43" t="str">
        <f t="shared" si="2315"/>
        <v/>
      </c>
      <c r="FC148" s="43" t="str">
        <f t="shared" si="2316"/>
        <v/>
      </c>
      <c r="FD148" s="43" t="str">
        <f t="shared" si="2317"/>
        <v/>
      </c>
      <c r="FE148" s="43" t="str">
        <f t="shared" si="2318"/>
        <v/>
      </c>
      <c r="FF148" s="43" t="str">
        <f t="shared" si="2319"/>
        <v/>
      </c>
      <c r="FG148" s="43" t="str">
        <f t="shared" si="2320"/>
        <v/>
      </c>
      <c r="FH148" s="43" t="str">
        <f t="shared" si="2321"/>
        <v/>
      </c>
      <c r="FI148" s="43" t="str">
        <f t="shared" si="2322"/>
        <v/>
      </c>
      <c r="FJ148" s="43" t="str">
        <f t="shared" si="2323"/>
        <v/>
      </c>
      <c r="FK148" s="43" t="str">
        <f t="shared" si="2324"/>
        <v/>
      </c>
      <c r="FL148" s="43" t="str">
        <f t="shared" si="2325"/>
        <v/>
      </c>
      <c r="FM148" s="43" t="str">
        <f t="shared" si="2326"/>
        <v/>
      </c>
      <c r="FN148" s="43" t="str">
        <f t="shared" si="2327"/>
        <v/>
      </c>
      <c r="FO148" s="43" t="str">
        <f t="shared" si="2328"/>
        <v/>
      </c>
      <c r="FP148" s="43" t="str">
        <f t="shared" si="2329"/>
        <v/>
      </c>
      <c r="FQ148" s="43" t="str">
        <f t="shared" si="2330"/>
        <v/>
      </c>
      <c r="FR148" s="43" t="str">
        <f t="shared" si="2331"/>
        <v/>
      </c>
      <c r="FS148" s="43" t="str">
        <f t="shared" si="2332"/>
        <v/>
      </c>
    </row>
    <row r="149" ht="15" spans="1:175">
      <c r="A149" s="88"/>
      <c r="B149" s="4" t="s">
        <v>509</v>
      </c>
      <c r="C149" s="88" t="s">
        <v>510</v>
      </c>
      <c r="T149" s="92"/>
      <c r="U149" s="59" t="str">
        <f t="shared" ref="U149:U150" si="2333">"ReplaceableTextures\\CommandButtons\\BTN"&amp;B149&amp;".blp"</f>
        <v>ReplaceableTextures\\CommandButtons\\BTNIP04.blp</v>
      </c>
      <c r="CN149" s="12" t="str">
        <f t="shared" si="1678"/>
        <v>InitUnitState('IP04',,,,,,,,,,)</v>
      </c>
      <c r="CO149" s="12" t="str">
        <f t="shared" si="1679"/>
        <v>InitUnitNormal('IP04',,,,,,,,,,)</v>
      </c>
      <c r="CP149" s="12" t="str">
        <f t="shared" si="1680"/>
        <v>InitUnitMagic('IP04',,,,,,,,,,)</v>
      </c>
      <c r="CQ149" s="12" t="str">
        <f t="shared" si="1681"/>
        <v>InitUnitAdd('IP04',,,,,,,,,,)</v>
      </c>
      <c r="CR149" s="12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InitEquipData('IP04',,"",,,,,'','','','','','',"ReplaceableTextures\\CommandButtons\\BTNIP05.blp")</v>
      </c>
      <c r="CU149" s="71" t="str">
        <f t="shared" ref="CU149:CU150" si="2334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5">
        <f t="shared" ref="CV149:CV150" si="2335">T149</f>
        <v>0</v>
      </c>
      <c r="CW149" s="6"/>
      <c r="CX149" s="6"/>
      <c r="CY149" s="6"/>
      <c r="CZ149" s="6"/>
      <c r="DA149" s="6"/>
      <c r="DB149" s="43" t="str">
        <f t="shared" ref="DB149:DB150" si="2336">IF(V149="","","|n"&amp;DB$2&amp;"+"&amp;V149&amp;DB$1)</f>
        <v/>
      </c>
      <c r="DC149" s="43" t="str">
        <f t="shared" ref="DC149:DC150" si="2337">IF(W149="","","|n"&amp;DC$2&amp;"+"&amp;W149&amp;DC$1)</f>
        <v/>
      </c>
      <c r="DD149" s="43" t="str">
        <f t="shared" ref="DD149:DD150" si="2338">IF(X149="","","|n"&amp;DD$2&amp;"+"&amp;X149&amp;DD$1)</f>
        <v/>
      </c>
      <c r="DE149" s="43" t="str">
        <f t="shared" ref="DE149:DE150" si="2339">IF(Y149="","","|n"&amp;DE$2&amp;"+"&amp;Y149&amp;DE$1)</f>
        <v/>
      </c>
      <c r="DF149" s="43" t="str">
        <f t="shared" ref="DF149:DF150" si="2340">IF(Z149="","","|n"&amp;DF$2&amp;"+"&amp;Z149&amp;DF$1)</f>
        <v/>
      </c>
      <c r="DG149" s="43" t="str">
        <f t="shared" ref="DG149:DG150" si="2341">IF(AA149="","","|n"&amp;DG$2&amp;"+"&amp;AA149&amp;DG$1)</f>
        <v/>
      </c>
      <c r="DH149" s="43" t="str">
        <f t="shared" ref="DH149:DH150" si="2342">IF(AB149="","","|n"&amp;DH$2&amp;"+"&amp;AB149&amp;DH$1)</f>
        <v/>
      </c>
      <c r="DI149" s="43" t="str">
        <f t="shared" ref="DI149:DI150" si="2343">IF(AC149="","","|n"&amp;DI$2&amp;"+"&amp;AC149&amp;DI$1)</f>
        <v/>
      </c>
      <c r="DJ149" s="43" t="str">
        <f t="shared" ref="DJ149:DJ150" si="2344">IF(AD149="","","|n"&amp;DJ$2&amp;"+"&amp;AD149&amp;DJ$1)</f>
        <v/>
      </c>
      <c r="DK149" s="43" t="str">
        <f t="shared" ref="DK149:DK150" si="2345">IF(AE149="","","|n"&amp;DK$2&amp;"+"&amp;AE149&amp;DK$1)</f>
        <v/>
      </c>
      <c r="DL149" s="43" t="str">
        <f t="shared" ref="DL149:DL150" si="2346">IF(AF149="","","|n"&amp;DL$2&amp;"+"&amp;AF149&amp;DL$1)</f>
        <v/>
      </c>
      <c r="DM149" s="43" t="str">
        <f t="shared" ref="DM149:DM150" si="2347">IF(AG149="","","|n"&amp;DM$2&amp;"+"&amp;AG149&amp;DM$1)</f>
        <v/>
      </c>
      <c r="DN149" s="43" t="str">
        <f t="shared" ref="DN149:DN150" si="2348">IF(AH149="","","|n"&amp;DN$2&amp;"+"&amp;AH149&amp;DN$1)</f>
        <v/>
      </c>
      <c r="DO149" s="43" t="str">
        <f t="shared" ref="DO149:DO150" si="2349">IF(AI149="","","|n"&amp;DO$2&amp;"+"&amp;AI149&amp;DO$1)</f>
        <v/>
      </c>
      <c r="DP149" s="43" t="str">
        <f t="shared" ref="DP149:DP150" si="2350">IF(AJ149="","","|n"&amp;DP$2&amp;"+"&amp;AJ149&amp;DP$1)</f>
        <v/>
      </c>
      <c r="DQ149" s="43" t="str">
        <f t="shared" ref="DQ149:DQ150" si="2351">IF(AK149="","","|n"&amp;DQ$2&amp;"+"&amp;AK149&amp;DQ$1)</f>
        <v/>
      </c>
      <c r="DR149" s="43" t="str">
        <f t="shared" ref="DR149:DR150" si="2352">IF(AL149="","","|n"&amp;DR$2&amp;"+"&amp;AL149&amp;DR$1)</f>
        <v/>
      </c>
      <c r="DS149" s="43" t="str">
        <f t="shared" ref="DS149:DS150" si="2353">IF(AM149="","","|n"&amp;DS$2&amp;"+"&amp;AM149&amp;DS$1)</f>
        <v/>
      </c>
      <c r="DT149" s="43" t="str">
        <f t="shared" ref="DT149:DT150" si="2354">IF(AN149="","","|n"&amp;DT$2&amp;"+"&amp;AN149&amp;DT$1)</f>
        <v/>
      </c>
      <c r="DU149" s="43" t="str">
        <f t="shared" ref="DU149:DU150" si="2355">IF(AO149="","","|n"&amp;DU$2&amp;"+"&amp;AO149&amp;DU$1)</f>
        <v/>
      </c>
      <c r="DV149" s="43" t="str">
        <f t="shared" ref="DV149:DV150" si="2356">IF(AP149="","","|n"&amp;DV$2&amp;"+"&amp;AP149&amp;DV$1)</f>
        <v/>
      </c>
      <c r="DW149" s="43" t="str">
        <f t="shared" ref="DW149:DW150" si="2357">IF(AQ149="","","|n"&amp;DW$2&amp;"+"&amp;AQ149&amp;DW$1)</f>
        <v/>
      </c>
      <c r="DX149" s="43" t="str">
        <f t="shared" ref="DX149:DX150" si="2358">IF(AR149="","","|n"&amp;DX$2&amp;"+"&amp;AR149&amp;DX$1)</f>
        <v/>
      </c>
      <c r="DY149" s="43" t="str">
        <f t="shared" ref="DY149:DY150" si="2359">IF(AS149="","","|n"&amp;DY$2&amp;"+"&amp;AS149&amp;DY$1)</f>
        <v/>
      </c>
      <c r="DZ149" s="43" t="str">
        <f t="shared" ref="DZ149:DZ150" si="2360">IF(AT149="","","|n"&amp;DZ$2&amp;"+"&amp;AT149&amp;DZ$1)</f>
        <v/>
      </c>
      <c r="EA149" s="43" t="str">
        <f t="shared" ref="EA149:EA150" si="2361">IF(AU149="","","|n"&amp;EA$2&amp;"+"&amp;AU149&amp;EA$1)</f>
        <v/>
      </c>
      <c r="EB149" s="43" t="str">
        <f t="shared" ref="EB149:EB150" si="2362">IF(AV149="","","|n"&amp;EB$2&amp;"+"&amp;AV149&amp;EB$1)</f>
        <v/>
      </c>
      <c r="EC149" s="43" t="str">
        <f t="shared" ref="EC149:EC150" si="2363">IF(AW149="","","|n"&amp;EC$2&amp;"+"&amp;AW149&amp;EC$1)</f>
        <v/>
      </c>
      <c r="ED149" s="43" t="str">
        <f t="shared" ref="ED149:ED150" si="2364">IF(AX149="","","|n"&amp;ED$2&amp;"+"&amp;AX149&amp;ED$1)</f>
        <v/>
      </c>
      <c r="EE149" s="43" t="str">
        <f t="shared" ref="EE149:EE150" si="2365">IF(AY149="","","|n"&amp;EE$2&amp;"+"&amp;AY149&amp;EE$1)</f>
        <v/>
      </c>
      <c r="EF149" s="43" t="str">
        <f t="shared" ref="EF149:EF150" si="2366">IF(AZ149="","","|n"&amp;EF$2&amp;"+"&amp;AZ149&amp;EF$1)</f>
        <v/>
      </c>
      <c r="EG149" s="43" t="str">
        <f t="shared" ref="EG149:EG150" si="2367">IF(BA149="","","|n"&amp;EG$2&amp;"+"&amp;BA149&amp;EG$1)</f>
        <v/>
      </c>
      <c r="EH149" s="43" t="str">
        <f t="shared" ref="EH149:EH150" si="2368">IF(BB149="","","|n"&amp;EH$2&amp;"+"&amp;BB149&amp;EH$1)</f>
        <v/>
      </c>
      <c r="EI149" s="43" t="str">
        <f t="shared" ref="EI149:EI150" si="2369">IF(BC149="","","|n"&amp;EI$2&amp;"+"&amp;BC149&amp;EI$1)</f>
        <v/>
      </c>
      <c r="EJ149" s="43" t="str">
        <f t="shared" ref="EJ149:EJ150" si="2370">IF(BD149="","","|n"&amp;EJ$2&amp;"+"&amp;BD149&amp;EJ$1)</f>
        <v/>
      </c>
      <c r="EK149" s="43" t="str">
        <f t="shared" ref="EK149:EK150" si="2371">IF(BE149="","","|n"&amp;EK$2&amp;"+"&amp;BE149&amp;EK$1)</f>
        <v/>
      </c>
      <c r="EL149" s="43" t="str">
        <f t="shared" ref="EL149:EL150" si="2372">IF(BF149="","","|n"&amp;EL$2&amp;"+"&amp;BF149&amp;EL$1)</f>
        <v/>
      </c>
      <c r="EM149" s="43" t="str">
        <f t="shared" ref="EM149:EM150" si="2373">IF(BG149="","","|n"&amp;EM$2&amp;"+"&amp;BG149&amp;EM$1)</f>
        <v/>
      </c>
      <c r="EN149" s="43" t="str">
        <f t="shared" ref="EN149:EN150" si="2374">IF(BH149="","","|n"&amp;EN$2&amp;"+"&amp;BH149&amp;EN$1)</f>
        <v/>
      </c>
      <c r="EO149" s="43" t="str">
        <f t="shared" ref="EO149:EO150" si="2375">IF(BI149="","","|n"&amp;EO$2&amp;"+"&amp;BI149&amp;EO$1)</f>
        <v/>
      </c>
      <c r="EP149" s="43" t="str">
        <f t="shared" ref="EP149:EP150" si="2376">IF(BJ149="","","|n"&amp;EP$2&amp;"+"&amp;BJ149&amp;EP$1)</f>
        <v/>
      </c>
      <c r="EQ149" s="43" t="str">
        <f t="shared" ref="EQ149:EQ150" si="2377">IF(BK149="","","|n"&amp;EQ$2&amp;"+"&amp;BK149&amp;EQ$1)</f>
        <v/>
      </c>
      <c r="ER149" s="43" t="str">
        <f t="shared" ref="ER149:ER150" si="2378">IF(BL149="","","|n"&amp;ER$2&amp;"+"&amp;BL149&amp;ER$1)</f>
        <v/>
      </c>
      <c r="ES149" s="43" t="str">
        <f t="shared" ref="ES149:ES150" si="2379">IF(BM149="","","|n"&amp;ES$2&amp;"+"&amp;BM149&amp;ES$1)</f>
        <v/>
      </c>
      <c r="ET149" s="43" t="str">
        <f t="shared" ref="ET149:ET150" si="2380">IF(BN149="","","|n"&amp;ET$2&amp;"+"&amp;BN149&amp;ET$1)</f>
        <v/>
      </c>
      <c r="EU149" s="43" t="str">
        <f t="shared" ref="EU149:EU150" si="2381">IF(BO149="","","|n"&amp;EU$2&amp;"+"&amp;BO149&amp;EU$1)</f>
        <v/>
      </c>
      <c r="EV149" s="43" t="str">
        <f t="shared" ref="EV149:EV150" si="2382">IF(BP149="","","|n"&amp;EV$2&amp;"+"&amp;BP149&amp;EV$1)</f>
        <v/>
      </c>
      <c r="EW149" s="43" t="str">
        <f t="shared" ref="EW149:EW150" si="2383">IF(BQ149="","","|n"&amp;EW$2&amp;"+"&amp;BQ149&amp;EW$1)</f>
        <v/>
      </c>
      <c r="EX149" s="43" t="str">
        <f t="shared" ref="EX149:EX150" si="2384">IF(BR149="","","|n"&amp;EX$2&amp;"+"&amp;BR149&amp;EX$1)</f>
        <v/>
      </c>
      <c r="EY149" s="43" t="str">
        <f t="shared" ref="EY149:EY150" si="2385">IF(BS149="","","|n"&amp;EY$2&amp;"+"&amp;BS149&amp;EY$1)</f>
        <v/>
      </c>
      <c r="EZ149" s="43" t="str">
        <f t="shared" ref="EZ149:EZ150" si="2386">IF(BT149="","","|n"&amp;EZ$2&amp;"+"&amp;BT149&amp;EZ$1)</f>
        <v/>
      </c>
      <c r="FA149" s="43" t="str">
        <f t="shared" ref="FA149:FA150" si="2387">IF(BU149="","","|n"&amp;FA$2&amp;"+"&amp;BU149&amp;FA$1)</f>
        <v/>
      </c>
      <c r="FB149" s="43" t="str">
        <f t="shared" ref="FB149:FB150" si="2388">IF(BV149="","","|n"&amp;FB$2&amp;"+"&amp;BV149&amp;FB$1)</f>
        <v/>
      </c>
      <c r="FC149" s="43" t="str">
        <f t="shared" ref="FC149:FC150" si="2389">IF(BW149="","","|n"&amp;FC$2&amp;"+"&amp;BW149&amp;FC$1)</f>
        <v/>
      </c>
      <c r="FD149" s="43" t="str">
        <f t="shared" ref="FD149:FD150" si="2390">IF(BX149="","","|n"&amp;FD$2&amp;"+"&amp;BX149&amp;FD$1)</f>
        <v/>
      </c>
      <c r="FE149" s="43" t="str">
        <f t="shared" ref="FE149:FE150" si="2391">IF(BY149="","","|n"&amp;FE$2&amp;"+"&amp;BY149&amp;FE$1)</f>
        <v/>
      </c>
      <c r="FF149" s="43" t="str">
        <f t="shared" ref="FF149:FF150" si="2392">IF(BZ149="","","|n"&amp;FF$2&amp;"+"&amp;BZ149&amp;FF$1)</f>
        <v/>
      </c>
      <c r="FG149" s="43" t="str">
        <f t="shared" ref="FG149:FG150" si="2393">IF(CA149="","","|n"&amp;FG$2&amp;"+"&amp;CA149&amp;FG$1)</f>
        <v/>
      </c>
      <c r="FH149" s="43" t="str">
        <f t="shared" ref="FH149:FH150" si="2394">IF(CB149="","","|n"&amp;FH$2&amp;"+"&amp;CB149&amp;FH$1)</f>
        <v/>
      </c>
      <c r="FI149" s="43" t="str">
        <f t="shared" ref="FI149:FI150" si="2395">IF(CC149="","","|n"&amp;FI$2&amp;"+"&amp;CC149&amp;FI$1)</f>
        <v/>
      </c>
      <c r="FJ149" s="43" t="str">
        <f t="shared" ref="FJ149:FJ150" si="2396">IF(CD149="","","|n"&amp;FJ$2&amp;"+"&amp;CD149&amp;FJ$1)</f>
        <v/>
      </c>
      <c r="FK149" s="43" t="str">
        <f t="shared" ref="FK149:FK150" si="2397">IF(CE149="","","|n"&amp;FK$2&amp;"+"&amp;CE149&amp;FK$1)</f>
        <v/>
      </c>
      <c r="FL149" s="43" t="str">
        <f t="shared" ref="FL149:FL150" si="2398">IF(CF149="","","|n"&amp;FL$2&amp;"+"&amp;CF149&amp;FL$1)</f>
        <v/>
      </c>
      <c r="FM149" s="43" t="str">
        <f t="shared" ref="FM149:FM150" si="2399">IF(CG149="","","|n"&amp;FM$2&amp;"+"&amp;CG149&amp;FM$1)</f>
        <v/>
      </c>
      <c r="FN149" s="43" t="str">
        <f t="shared" ref="FN149:FN150" si="2400">IF(CH149="","","|n"&amp;FN$2&amp;"+"&amp;CH149&amp;FN$1)</f>
        <v/>
      </c>
      <c r="FO149" s="43" t="str">
        <f t="shared" ref="FO149:FO150" si="2401">IF(CI149="","","|n"&amp;FO$2&amp;"+"&amp;CI149&amp;FO$1)</f>
        <v/>
      </c>
      <c r="FP149" s="43" t="str">
        <f t="shared" ref="FP149:FP150" si="2402">IF(CJ149="","","|n"&amp;FP$2&amp;"+"&amp;CJ149&amp;FP$1)</f>
        <v/>
      </c>
      <c r="FQ149" s="43" t="str">
        <f t="shared" ref="FQ149:FQ150" si="2403">IF(CK149="","","|n"&amp;FQ$2&amp;"+"&amp;CK149&amp;FQ$1)</f>
        <v/>
      </c>
      <c r="FR149" s="43" t="str">
        <f t="shared" ref="FR149:FR150" si="2404">IF(CL149="","","|n"&amp;FR$2&amp;"+"&amp;CL149&amp;FR$1)</f>
        <v/>
      </c>
      <c r="FS149" s="43" t="str">
        <f t="shared" ref="FS149:FS150" si="2405">IF(CM149="","","|n"&amp;FS$2&amp;"+"&amp;CM149&amp;FS$1)</f>
        <v/>
      </c>
    </row>
    <row r="150" ht="15" spans="1:175">
      <c r="A150" s="88"/>
      <c r="B150" s="4" t="s">
        <v>511</v>
      </c>
      <c r="C150" s="88" t="s">
        <v>512</v>
      </c>
      <c r="T150" s="92"/>
      <c r="U150" s="59" t="str">
        <f t="shared" si="2333"/>
        <v>ReplaceableTextures\\CommandButtons\\BTNIP05.blp</v>
      </c>
      <c r="CN150" s="12" t="str">
        <f t="shared" si="1678"/>
        <v>InitUnitState('IP05',,,,,,,,,,)</v>
      </c>
      <c r="CO150" s="12" t="str">
        <f t="shared" si="1679"/>
        <v>InitUnitNormal('IP05',,,,,,,,,,)</v>
      </c>
      <c r="CP150" s="12" t="str">
        <f t="shared" si="1680"/>
        <v>InitUnitMagic('IP05',,,,,,,,,,)</v>
      </c>
      <c r="CQ150" s="12" t="str">
        <f t="shared" si="1681"/>
        <v>InitUnitAdd('IP05',,,,,,,,,,)</v>
      </c>
      <c r="CR150" s="12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InitEquipData('IP05',,"",,,,,'','','','','','',"ReplaceableTextures\\CommandButtons\\BTNIT03.blp")</v>
      </c>
      <c r="CU150" s="71" t="str">
        <f t="shared" si="2334"/>
        <v>|n</v>
      </c>
      <c r="CV150" s="5">
        <f t="shared" si="2335"/>
        <v>0</v>
      </c>
      <c r="CW150" s="6"/>
      <c r="CX150" s="6"/>
      <c r="CY150" s="6"/>
      <c r="CZ150" s="6"/>
      <c r="DA150" s="6"/>
      <c r="DB150" s="43" t="str">
        <f t="shared" si="2336"/>
        <v/>
      </c>
      <c r="DC150" s="43" t="str">
        <f t="shared" si="2337"/>
        <v/>
      </c>
      <c r="DD150" s="43" t="str">
        <f t="shared" si="2338"/>
        <v/>
      </c>
      <c r="DE150" s="43" t="str">
        <f t="shared" si="2339"/>
        <v/>
      </c>
      <c r="DF150" s="43" t="str">
        <f t="shared" si="2340"/>
        <v/>
      </c>
      <c r="DG150" s="43" t="str">
        <f t="shared" si="2341"/>
        <v/>
      </c>
      <c r="DH150" s="43" t="str">
        <f t="shared" si="2342"/>
        <v/>
      </c>
      <c r="DI150" s="43" t="str">
        <f t="shared" si="2343"/>
        <v/>
      </c>
      <c r="DJ150" s="43" t="str">
        <f t="shared" si="2344"/>
        <v/>
      </c>
      <c r="DK150" s="43" t="str">
        <f t="shared" si="2345"/>
        <v/>
      </c>
      <c r="DL150" s="43" t="str">
        <f t="shared" si="2346"/>
        <v/>
      </c>
      <c r="DM150" s="43" t="str">
        <f t="shared" si="2347"/>
        <v/>
      </c>
      <c r="DN150" s="43" t="str">
        <f t="shared" si="2348"/>
        <v/>
      </c>
      <c r="DO150" s="43" t="str">
        <f t="shared" si="2349"/>
        <v/>
      </c>
      <c r="DP150" s="43" t="str">
        <f t="shared" si="2350"/>
        <v/>
      </c>
      <c r="DQ150" s="43" t="str">
        <f t="shared" si="2351"/>
        <v/>
      </c>
      <c r="DR150" s="43" t="str">
        <f t="shared" si="2352"/>
        <v/>
      </c>
      <c r="DS150" s="43" t="str">
        <f t="shared" si="2353"/>
        <v/>
      </c>
      <c r="DT150" s="43" t="str">
        <f t="shared" si="2354"/>
        <v/>
      </c>
      <c r="DU150" s="43" t="str">
        <f t="shared" si="2355"/>
        <v/>
      </c>
      <c r="DV150" s="43" t="str">
        <f t="shared" si="2356"/>
        <v/>
      </c>
      <c r="DW150" s="43" t="str">
        <f t="shared" si="2357"/>
        <v/>
      </c>
      <c r="DX150" s="43" t="str">
        <f t="shared" si="2358"/>
        <v/>
      </c>
      <c r="DY150" s="43" t="str">
        <f t="shared" si="2359"/>
        <v/>
      </c>
      <c r="DZ150" s="43" t="str">
        <f t="shared" si="2360"/>
        <v/>
      </c>
      <c r="EA150" s="43" t="str">
        <f t="shared" si="2361"/>
        <v/>
      </c>
      <c r="EB150" s="43" t="str">
        <f t="shared" si="2362"/>
        <v/>
      </c>
      <c r="EC150" s="43" t="str">
        <f t="shared" si="2363"/>
        <v/>
      </c>
      <c r="ED150" s="43" t="str">
        <f t="shared" si="2364"/>
        <v/>
      </c>
      <c r="EE150" s="43" t="str">
        <f t="shared" si="2365"/>
        <v/>
      </c>
      <c r="EF150" s="43" t="str">
        <f t="shared" si="2366"/>
        <v/>
      </c>
      <c r="EG150" s="43" t="str">
        <f t="shared" si="2367"/>
        <v/>
      </c>
      <c r="EH150" s="43" t="str">
        <f t="shared" si="2368"/>
        <v/>
      </c>
      <c r="EI150" s="43" t="str">
        <f t="shared" si="2369"/>
        <v/>
      </c>
      <c r="EJ150" s="43" t="str">
        <f t="shared" si="2370"/>
        <v/>
      </c>
      <c r="EK150" s="43" t="str">
        <f t="shared" si="2371"/>
        <v/>
      </c>
      <c r="EL150" s="43" t="str">
        <f t="shared" si="2372"/>
        <v/>
      </c>
      <c r="EM150" s="43" t="str">
        <f t="shared" si="2373"/>
        <v/>
      </c>
      <c r="EN150" s="43" t="str">
        <f t="shared" si="2374"/>
        <v/>
      </c>
      <c r="EO150" s="43" t="str">
        <f t="shared" si="2375"/>
        <v/>
      </c>
      <c r="EP150" s="43" t="str">
        <f t="shared" si="2376"/>
        <v/>
      </c>
      <c r="EQ150" s="43" t="str">
        <f t="shared" si="2377"/>
        <v/>
      </c>
      <c r="ER150" s="43" t="str">
        <f t="shared" si="2378"/>
        <v/>
      </c>
      <c r="ES150" s="43" t="str">
        <f t="shared" si="2379"/>
        <v/>
      </c>
      <c r="ET150" s="43" t="str">
        <f t="shared" si="2380"/>
        <v/>
      </c>
      <c r="EU150" s="43" t="str">
        <f t="shared" si="2381"/>
        <v/>
      </c>
      <c r="EV150" s="43" t="str">
        <f t="shared" si="2382"/>
        <v/>
      </c>
      <c r="EW150" s="43" t="str">
        <f t="shared" si="2383"/>
        <v/>
      </c>
      <c r="EX150" s="43" t="str">
        <f t="shared" si="2384"/>
        <v/>
      </c>
      <c r="EY150" s="43" t="str">
        <f t="shared" si="2385"/>
        <v/>
      </c>
      <c r="EZ150" s="43" t="str">
        <f t="shared" si="2386"/>
        <v/>
      </c>
      <c r="FA150" s="43" t="str">
        <f t="shared" si="2387"/>
        <v/>
      </c>
      <c r="FB150" s="43" t="str">
        <f t="shared" si="2388"/>
        <v/>
      </c>
      <c r="FC150" s="43" t="str">
        <f t="shared" si="2389"/>
        <v/>
      </c>
      <c r="FD150" s="43" t="str">
        <f t="shared" si="2390"/>
        <v/>
      </c>
      <c r="FE150" s="43" t="str">
        <f t="shared" si="2391"/>
        <v/>
      </c>
      <c r="FF150" s="43" t="str">
        <f t="shared" si="2392"/>
        <v/>
      </c>
      <c r="FG150" s="43" t="str">
        <f t="shared" si="2393"/>
        <v/>
      </c>
      <c r="FH150" s="43" t="str">
        <f t="shared" si="2394"/>
        <v/>
      </c>
      <c r="FI150" s="43" t="str">
        <f t="shared" si="2395"/>
        <v/>
      </c>
      <c r="FJ150" s="43" t="str">
        <f t="shared" si="2396"/>
        <v/>
      </c>
      <c r="FK150" s="43" t="str">
        <f t="shared" si="2397"/>
        <v/>
      </c>
      <c r="FL150" s="43" t="str">
        <f t="shared" si="2398"/>
        <v/>
      </c>
      <c r="FM150" s="43" t="str">
        <f t="shared" si="2399"/>
        <v/>
      </c>
      <c r="FN150" s="43" t="str">
        <f t="shared" si="2400"/>
        <v/>
      </c>
      <c r="FO150" s="43" t="str">
        <f t="shared" si="2401"/>
        <v/>
      </c>
      <c r="FP150" s="43" t="str">
        <f t="shared" si="2402"/>
        <v/>
      </c>
      <c r="FQ150" s="43" t="str">
        <f t="shared" si="2403"/>
        <v/>
      </c>
      <c r="FR150" s="43" t="str">
        <f t="shared" si="2404"/>
        <v/>
      </c>
      <c r="FS150" s="43" t="str">
        <f t="shared" si="2405"/>
        <v/>
      </c>
    </row>
    <row r="151" ht="55.2" spans="1:175">
      <c r="A151" s="88"/>
      <c r="B151" s="4" t="s">
        <v>513</v>
      </c>
      <c r="C151" s="88" t="s">
        <v>514</v>
      </c>
      <c r="R151" s="37">
        <v>-8086</v>
      </c>
      <c r="S151" s="37">
        <v>-3245</v>
      </c>
      <c r="T151" s="93" t="s">
        <v>515</v>
      </c>
      <c r="U151" s="59" t="str">
        <f t="shared" si="1168"/>
        <v>ReplaceableTextures\\CommandButtons\\BTNIT01.blp</v>
      </c>
      <c r="CN151" s="12" t="str">
        <f t="shared" ref="CN151:CN184" si="2406">"InitUnitState('"&amp;B151&amp;"',"&amp;V151&amp;","&amp;W151&amp;","&amp;X151&amp;","&amp;Y151&amp;","&amp;Z151&amp;","&amp;AA151&amp;","&amp;AB151&amp;","&amp;AC151&amp;","&amp;AD151&amp;","&amp;AE151&amp;")"</f>
        <v>InitUnitState('IT01',,,,,,,,,,)</v>
      </c>
      <c r="CO151" s="12" t="str">
        <f t="shared" ref="CO151:CO184" si="2407">"InitUnitNormal('"&amp;B151&amp;"',"&amp;AF151&amp;","&amp;AG151&amp;","&amp;AH151&amp;","&amp;AI151&amp;","&amp;AJ151&amp;","&amp;AK151&amp;","&amp;AL151&amp;","&amp;AM151&amp;","&amp;AN151&amp;","&amp;AO151&amp;")"</f>
        <v>InitUnitNormal('IT01',,,,,,,,,,)</v>
      </c>
      <c r="CP151" s="12" t="str">
        <f t="shared" ref="CP151:CP184" si="2408">"InitUnitMagic('"&amp;B151&amp;"',"&amp;AP151&amp;","&amp;AQ151&amp;","&amp;AR151&amp;","&amp;AS151&amp;","&amp;AT151&amp;","&amp;AU151&amp;","&amp;AV151&amp;","&amp;AW151&amp;","&amp;BI151&amp;","&amp;BJ151&amp;")"</f>
        <v>InitUnitMagic('IT01',,,,,,,,,,)</v>
      </c>
      <c r="CQ151" s="12" t="str">
        <f t="shared" ref="CQ151:CQ184" si="2409">"InitUnitAdd('"&amp;B151&amp;"',"&amp;BK151&amp;","&amp;BL151&amp;","&amp;BM151&amp;","&amp;BN151&amp;","&amp;BO151&amp;","&amp;BP151&amp;","&amp;BQ151&amp;","&amp;BR151&amp;","&amp;BS151&amp;","&amp;BT151&amp;")"</f>
        <v>InitUnitAdd('IT01',,,,,,,,,,)</v>
      </c>
      <c r="CR151" s="12" t="str">
        <f t="shared" ref="CR151:CR159" si="2410"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InitEquipData('IT01',,"",,,,,'','','','','','',"ReplaceableTextures\\CommandButtons\\BTNIT02.blp")</v>
      </c>
      <c r="CU151" s="71" t="str">
        <f t="shared" ref="CU151" si="2411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5" t="str">
        <f t="shared" ref="CV151:CV152" si="2412">T151</f>
        <v>渡过该劫后可结成低级道果。|n|n|Cfff0f0f0低级道果：|r|n攻击+1000|n法强+1000|n生命值+2000|n|Cffffd24d元神力+2|r|n|n|Cff00ff7f战力推荐：|r|n</v>
      </c>
      <c r="CW151" s="6"/>
      <c r="CX151" s="6"/>
      <c r="CY151" s="6"/>
      <c r="CZ151" s="6"/>
      <c r="DA151" s="6"/>
      <c r="DB151" s="43" t="str">
        <f t="shared" ref="DB151" si="2413">IF(V151="","","|n"&amp;DB$2&amp;"+"&amp;V151&amp;DB$1)</f>
        <v/>
      </c>
      <c r="DC151" s="43" t="str">
        <f t="shared" ref="DC151" si="2414">IF(W151="","","|n"&amp;DC$2&amp;"+"&amp;W151&amp;DC$1)</f>
        <v/>
      </c>
      <c r="DD151" s="43" t="str">
        <f t="shared" ref="DD151" si="2415">IF(X151="","","|n"&amp;DD$2&amp;"+"&amp;X151&amp;DD$1)</f>
        <v/>
      </c>
      <c r="DE151" s="43" t="str">
        <f t="shared" ref="DE151" si="2416">IF(Y151="","","|n"&amp;DE$2&amp;"+"&amp;Y151&amp;DE$1)</f>
        <v/>
      </c>
      <c r="DF151" s="43" t="str">
        <f t="shared" ref="DF151" si="2417">IF(Z151="","","|n"&amp;DF$2&amp;"+"&amp;Z151&amp;DF$1)</f>
        <v/>
      </c>
      <c r="DG151" s="43" t="str">
        <f t="shared" ref="DG151" si="2418">IF(AA151="","","|n"&amp;DG$2&amp;"+"&amp;AA151&amp;DG$1)</f>
        <v/>
      </c>
      <c r="DH151" s="43" t="str">
        <f t="shared" ref="DH151" si="2419">IF(AB151="","","|n"&amp;DH$2&amp;"+"&amp;AB151&amp;DH$1)</f>
        <v/>
      </c>
      <c r="DI151" s="43" t="str">
        <f t="shared" ref="DI151" si="2420">IF(AC151="","","|n"&amp;DI$2&amp;"+"&amp;AC151&amp;DI$1)</f>
        <v/>
      </c>
      <c r="DJ151" s="43" t="str">
        <f t="shared" ref="DJ151" si="2421">IF(AD151="","","|n"&amp;DJ$2&amp;"+"&amp;AD151&amp;DJ$1)</f>
        <v/>
      </c>
      <c r="DK151" s="43" t="str">
        <f t="shared" ref="DK151" si="2422">IF(AE151="","","|n"&amp;DK$2&amp;"+"&amp;AE151&amp;DK$1)</f>
        <v/>
      </c>
      <c r="DL151" s="43" t="str">
        <f t="shared" ref="DL151" si="2423">IF(AF151="","","|n"&amp;DL$2&amp;"+"&amp;AF151&amp;DL$1)</f>
        <v/>
      </c>
      <c r="DM151" s="43" t="str">
        <f t="shared" ref="DM151" si="2424">IF(AG151="","","|n"&amp;DM$2&amp;"+"&amp;AG151&amp;DM$1)</f>
        <v/>
      </c>
      <c r="DN151" s="43" t="str">
        <f t="shared" ref="DN151" si="2425">IF(AH151="","","|n"&amp;DN$2&amp;"+"&amp;AH151&amp;DN$1)</f>
        <v/>
      </c>
      <c r="DO151" s="43" t="str">
        <f t="shared" ref="DO151" si="2426">IF(AI151="","","|n"&amp;DO$2&amp;"+"&amp;AI151&amp;DO$1)</f>
        <v/>
      </c>
      <c r="DP151" s="43" t="str">
        <f t="shared" ref="DP151" si="2427">IF(AJ151="","","|n"&amp;DP$2&amp;"+"&amp;AJ151&amp;DP$1)</f>
        <v/>
      </c>
      <c r="DQ151" s="43" t="str">
        <f t="shared" ref="DQ151" si="2428">IF(AK151="","","|n"&amp;DQ$2&amp;"+"&amp;AK151&amp;DQ$1)</f>
        <v/>
      </c>
      <c r="DR151" s="43" t="str">
        <f t="shared" ref="DR151" si="2429">IF(AL151="","","|n"&amp;DR$2&amp;"+"&amp;AL151&amp;DR$1)</f>
        <v/>
      </c>
      <c r="DS151" s="43" t="str">
        <f t="shared" ref="DS151" si="2430">IF(AM151="","","|n"&amp;DS$2&amp;"+"&amp;AM151&amp;DS$1)</f>
        <v/>
      </c>
      <c r="DT151" s="43" t="str">
        <f t="shared" ref="DT151" si="2431">IF(AN151="","","|n"&amp;DT$2&amp;"+"&amp;AN151&amp;DT$1)</f>
        <v/>
      </c>
      <c r="DU151" s="43" t="str">
        <f t="shared" ref="DU151" si="2432">IF(AO151="","","|n"&amp;DU$2&amp;"+"&amp;AO151&amp;DU$1)</f>
        <v/>
      </c>
      <c r="DV151" s="43" t="str">
        <f t="shared" ref="DV151" si="2433">IF(AP151="","","|n"&amp;DV$2&amp;"+"&amp;AP151&amp;DV$1)</f>
        <v/>
      </c>
      <c r="DW151" s="43" t="str">
        <f t="shared" ref="DW151" si="2434">IF(AQ151="","","|n"&amp;DW$2&amp;"+"&amp;AQ151&amp;DW$1)</f>
        <v/>
      </c>
      <c r="DX151" s="43" t="str">
        <f t="shared" ref="DX151" si="2435">IF(AR151="","","|n"&amp;DX$2&amp;"+"&amp;AR151&amp;DX$1)</f>
        <v/>
      </c>
      <c r="DY151" s="43" t="str">
        <f t="shared" ref="DY151" si="2436">IF(AS151="","","|n"&amp;DY$2&amp;"+"&amp;AS151&amp;DY$1)</f>
        <v/>
      </c>
      <c r="DZ151" s="43" t="str">
        <f t="shared" ref="DZ151" si="2437">IF(AT151="","","|n"&amp;DZ$2&amp;"+"&amp;AT151&amp;DZ$1)</f>
        <v/>
      </c>
      <c r="EA151" s="43" t="str">
        <f t="shared" ref="EA151" si="2438">IF(AU151="","","|n"&amp;EA$2&amp;"+"&amp;AU151&amp;EA$1)</f>
        <v/>
      </c>
      <c r="EB151" s="43" t="str">
        <f t="shared" ref="EB151" si="2439">IF(AV151="","","|n"&amp;EB$2&amp;"+"&amp;AV151&amp;EB$1)</f>
        <v/>
      </c>
      <c r="EC151" s="43" t="str">
        <f t="shared" ref="EC151" si="2440">IF(AW151="","","|n"&amp;EC$2&amp;"+"&amp;AW151&amp;EC$1)</f>
        <v/>
      </c>
      <c r="ED151" s="43" t="str">
        <f t="shared" ref="ED151" si="2441">IF(AX151="","","|n"&amp;ED$2&amp;"+"&amp;AX151&amp;ED$1)</f>
        <v/>
      </c>
      <c r="EE151" s="43" t="str">
        <f t="shared" ref="EE151" si="2442">IF(AY151="","","|n"&amp;EE$2&amp;"+"&amp;AY151&amp;EE$1)</f>
        <v/>
      </c>
      <c r="EF151" s="43" t="str">
        <f t="shared" ref="EF151" si="2443">IF(AZ151="","","|n"&amp;EF$2&amp;"+"&amp;AZ151&amp;EF$1)</f>
        <v/>
      </c>
      <c r="EG151" s="43" t="str">
        <f t="shared" ref="EG151" si="2444">IF(BA151="","","|n"&amp;EG$2&amp;"+"&amp;BA151&amp;EG$1)</f>
        <v/>
      </c>
      <c r="EH151" s="43" t="str">
        <f t="shared" ref="EH151" si="2445">IF(BB151="","","|n"&amp;EH$2&amp;"+"&amp;BB151&amp;EH$1)</f>
        <v/>
      </c>
      <c r="EI151" s="43" t="str">
        <f t="shared" ref="EI151" si="2446">IF(BC151="","","|n"&amp;EI$2&amp;"+"&amp;BC151&amp;EI$1)</f>
        <v/>
      </c>
      <c r="EJ151" s="43" t="str">
        <f t="shared" ref="EJ151" si="2447">IF(BD151="","","|n"&amp;EJ$2&amp;"+"&amp;BD151&amp;EJ$1)</f>
        <v/>
      </c>
      <c r="EK151" s="43" t="str">
        <f t="shared" ref="EK151" si="2448">IF(BE151="","","|n"&amp;EK$2&amp;"+"&amp;BE151&amp;EK$1)</f>
        <v/>
      </c>
      <c r="EL151" s="43" t="str">
        <f t="shared" ref="EL151" si="2449">IF(BF151="","","|n"&amp;EL$2&amp;"+"&amp;BF151&amp;EL$1)</f>
        <v/>
      </c>
      <c r="EM151" s="43" t="str">
        <f t="shared" ref="EM151" si="2450">IF(BG151="","","|n"&amp;EM$2&amp;"+"&amp;BG151&amp;EM$1)</f>
        <v/>
      </c>
      <c r="EN151" s="43" t="str">
        <f t="shared" ref="EN151" si="2451">IF(BH151="","","|n"&amp;EN$2&amp;"+"&amp;BH151&amp;EN$1)</f>
        <v/>
      </c>
      <c r="EO151" s="43" t="str">
        <f t="shared" ref="EO151" si="2452">IF(BI151="","","|n"&amp;EO$2&amp;"+"&amp;BI151&amp;EO$1)</f>
        <v/>
      </c>
      <c r="EP151" s="43" t="str">
        <f t="shared" ref="EP151" si="2453">IF(BJ151="","","|n"&amp;EP$2&amp;"+"&amp;BJ151&amp;EP$1)</f>
        <v/>
      </c>
      <c r="EQ151" s="43" t="str">
        <f t="shared" ref="EQ151" si="2454">IF(BK151="","","|n"&amp;EQ$2&amp;"+"&amp;BK151&amp;EQ$1)</f>
        <v/>
      </c>
      <c r="ER151" s="43" t="str">
        <f t="shared" ref="ER151" si="2455">IF(BL151="","","|n"&amp;ER$2&amp;"+"&amp;BL151&amp;ER$1)</f>
        <v/>
      </c>
      <c r="ES151" s="43" t="str">
        <f t="shared" ref="ES151" si="2456">IF(BM151="","","|n"&amp;ES$2&amp;"+"&amp;BM151&amp;ES$1)</f>
        <v/>
      </c>
      <c r="ET151" s="43" t="str">
        <f t="shared" ref="ET151" si="2457">IF(BN151="","","|n"&amp;ET$2&amp;"+"&amp;BN151&amp;ET$1)</f>
        <v/>
      </c>
      <c r="EU151" s="43" t="str">
        <f t="shared" ref="EU151" si="2458">IF(BO151="","","|n"&amp;EU$2&amp;"+"&amp;BO151&amp;EU$1)</f>
        <v/>
      </c>
      <c r="EV151" s="43" t="str">
        <f t="shared" ref="EV151" si="2459">IF(BP151="","","|n"&amp;EV$2&amp;"+"&amp;BP151&amp;EV$1)</f>
        <v/>
      </c>
      <c r="EW151" s="43" t="str">
        <f t="shared" ref="EW151" si="2460">IF(BQ151="","","|n"&amp;EW$2&amp;"+"&amp;BQ151&amp;EW$1)</f>
        <v/>
      </c>
      <c r="EX151" s="43" t="str">
        <f t="shared" ref="EX151" si="2461">IF(BR151="","","|n"&amp;EX$2&amp;"+"&amp;BR151&amp;EX$1)</f>
        <v/>
      </c>
      <c r="EY151" s="43" t="str">
        <f t="shared" ref="EY151" si="2462">IF(BS151="","","|n"&amp;EY$2&amp;"+"&amp;BS151&amp;EY$1)</f>
        <v/>
      </c>
      <c r="EZ151" s="43" t="str">
        <f t="shared" ref="EZ151" si="2463">IF(BT151="","","|n"&amp;EZ$2&amp;"+"&amp;BT151&amp;EZ$1)</f>
        <v/>
      </c>
      <c r="FA151" s="43" t="str">
        <f t="shared" ref="FA151" si="2464">IF(BU151="","","|n"&amp;FA$2&amp;"+"&amp;BU151&amp;FA$1)</f>
        <v/>
      </c>
      <c r="FB151" s="43" t="str">
        <f t="shared" ref="FB151" si="2465">IF(BV151="","","|n"&amp;FB$2&amp;"+"&amp;BV151&amp;FB$1)</f>
        <v/>
      </c>
      <c r="FC151" s="43" t="str">
        <f t="shared" ref="FC151" si="2466">IF(BW151="","","|n"&amp;FC$2&amp;"+"&amp;BW151&amp;FC$1)</f>
        <v/>
      </c>
      <c r="FD151" s="43" t="str">
        <f t="shared" ref="FD151" si="2467">IF(BX151="","","|n"&amp;FD$2&amp;"+"&amp;BX151&amp;FD$1)</f>
        <v/>
      </c>
      <c r="FE151" s="43" t="str">
        <f t="shared" ref="FE151" si="2468">IF(BY151="","","|n"&amp;FE$2&amp;"+"&amp;BY151&amp;FE$1)</f>
        <v/>
      </c>
      <c r="FF151" s="43" t="str">
        <f t="shared" ref="FF151" si="2469">IF(BZ151="","","|n"&amp;FF$2&amp;"+"&amp;BZ151&amp;FF$1)</f>
        <v/>
      </c>
      <c r="FG151" s="43" t="str">
        <f t="shared" ref="FG151" si="2470">IF(CA151="","","|n"&amp;FG$2&amp;"+"&amp;CA151&amp;FG$1)</f>
        <v/>
      </c>
      <c r="FH151" s="43" t="str">
        <f t="shared" ref="FH151" si="2471">IF(CB151="","","|n"&amp;FH$2&amp;"+"&amp;CB151&amp;FH$1)</f>
        <v/>
      </c>
      <c r="FI151" s="43" t="str">
        <f t="shared" ref="FI151" si="2472">IF(CC151="","","|n"&amp;FI$2&amp;"+"&amp;CC151&amp;FI$1)</f>
        <v/>
      </c>
      <c r="FJ151" s="43" t="str">
        <f t="shared" ref="FJ151" si="2473">IF(CD151="","","|n"&amp;FJ$2&amp;"+"&amp;CD151&amp;FJ$1)</f>
        <v/>
      </c>
      <c r="FK151" s="43" t="str">
        <f t="shared" ref="FK151" si="2474">IF(CE151="","","|n"&amp;FK$2&amp;"+"&amp;CE151&amp;FK$1)</f>
        <v/>
      </c>
      <c r="FL151" s="43" t="str">
        <f t="shared" ref="FL151" si="2475">IF(CF151="","","|n"&amp;FL$2&amp;"+"&amp;CF151&amp;FL$1)</f>
        <v/>
      </c>
      <c r="FM151" s="43" t="str">
        <f t="shared" ref="FM151" si="2476">IF(CG151="","","|n"&amp;FM$2&amp;"+"&amp;CG151&amp;FM$1)</f>
        <v/>
      </c>
      <c r="FN151" s="43" t="str">
        <f t="shared" ref="FN151" si="2477">IF(CH151="","","|n"&amp;FN$2&amp;"+"&amp;CH151&amp;FN$1)</f>
        <v/>
      </c>
      <c r="FO151" s="43" t="str">
        <f t="shared" ref="FO151" si="2478">IF(CI151="","","|n"&amp;FO$2&amp;"+"&amp;CI151&amp;FO$1)</f>
        <v/>
      </c>
      <c r="FP151" s="43" t="str">
        <f t="shared" ref="FP151" si="2479">IF(CJ151="","","|n"&amp;FP$2&amp;"+"&amp;CJ151&amp;FP$1)</f>
        <v/>
      </c>
      <c r="FQ151" s="43" t="str">
        <f t="shared" ref="FQ151" si="2480">IF(CK151="","","|n"&amp;FQ$2&amp;"+"&amp;CK151&amp;FQ$1)</f>
        <v/>
      </c>
      <c r="FR151" s="43" t="str">
        <f t="shared" ref="FR151" si="2481">IF(CL151="","","|n"&amp;FR$2&amp;"+"&amp;CL151&amp;FR$1)</f>
        <v/>
      </c>
      <c r="FS151" s="43" t="str">
        <f t="shared" ref="FS151" si="2482">IF(CM151="","","|n"&amp;FS$2&amp;"+"&amp;CM151&amp;FS$1)</f>
        <v/>
      </c>
    </row>
    <row r="152" ht="15" spans="1:175">
      <c r="A152" s="88"/>
      <c r="B152" s="4" t="s">
        <v>516</v>
      </c>
      <c r="C152" s="88" t="s">
        <v>517</v>
      </c>
      <c r="R152" s="37">
        <v>-7991</v>
      </c>
      <c r="S152" s="37">
        <v>-2312</v>
      </c>
      <c r="T152" s="88" t="s">
        <v>518</v>
      </c>
      <c r="U152" s="59" t="str">
        <f t="shared" si="1168"/>
        <v>ReplaceableTextures\\CommandButtons\\BTNIT02.blp</v>
      </c>
      <c r="CN152" s="12" t="str">
        <f t="shared" si="2406"/>
        <v>InitUnitState('IT02',,,,,,,,,,)</v>
      </c>
      <c r="CO152" s="12" t="str">
        <f t="shared" si="2407"/>
        <v>InitUnitNormal('IT02',,,,,,,,,,)</v>
      </c>
      <c r="CP152" s="12" t="str">
        <f t="shared" si="2408"/>
        <v>InitUnitMagic('IT02',,,,,,,,,,)</v>
      </c>
      <c r="CQ152" s="12" t="str">
        <f t="shared" si="2409"/>
        <v>InitUnitAdd('IT02',,,,,,,,,,)</v>
      </c>
      <c r="CR152" s="12" t="str">
        <f t="shared" si="2410"/>
        <v>InitEquipData('IT02',,"",,,,,'','','','','','',"ReplaceableTextures\\CommandButtons\\BTNIT03.blp")</v>
      </c>
      <c r="CU152" s="71" t="str">
        <f t="shared" ref="CU152:CU160" si="2483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5" t="str">
        <f t="shared" si="2412"/>
        <v>渡过该劫后可结成中级道果。|n|n|Cfff0f0f0中级道果：|r|n攻击+1500|n法强+1500|n生命值+3000 |n|Cffffd24d元神力+4|r|n|n|Cff00ff7f战力推荐：|r|n</v>
      </c>
      <c r="CW152" s="6"/>
      <c r="CX152" s="6"/>
      <c r="CY152" s="6"/>
      <c r="CZ152" s="6"/>
      <c r="DA152" s="6"/>
      <c r="DB152" s="43" t="str">
        <f t="shared" ref="DB152:DB160" si="2484">IF(V152="","","|n"&amp;DB$2&amp;"+"&amp;V152&amp;DB$1)</f>
        <v/>
      </c>
      <c r="DC152" s="43" t="str">
        <f t="shared" ref="DC152:DC160" si="2485">IF(W152="","","|n"&amp;DC$2&amp;"+"&amp;W152&amp;DC$1)</f>
        <v/>
      </c>
      <c r="DD152" s="43" t="str">
        <f t="shared" ref="DD152:DD160" si="2486">IF(X152="","","|n"&amp;DD$2&amp;"+"&amp;X152&amp;DD$1)</f>
        <v/>
      </c>
      <c r="DE152" s="43" t="str">
        <f t="shared" ref="DE152:DE160" si="2487">IF(Y152="","","|n"&amp;DE$2&amp;"+"&amp;Y152&amp;DE$1)</f>
        <v/>
      </c>
      <c r="DF152" s="43" t="str">
        <f t="shared" ref="DF152:DF160" si="2488">IF(Z152="","","|n"&amp;DF$2&amp;"+"&amp;Z152&amp;DF$1)</f>
        <v/>
      </c>
      <c r="DG152" s="43" t="str">
        <f t="shared" ref="DG152:DG160" si="2489">IF(AA152="","","|n"&amp;DG$2&amp;"+"&amp;AA152&amp;DG$1)</f>
        <v/>
      </c>
      <c r="DH152" s="43" t="str">
        <f t="shared" ref="DH152:DH160" si="2490">IF(AB152="","","|n"&amp;DH$2&amp;"+"&amp;AB152&amp;DH$1)</f>
        <v/>
      </c>
      <c r="DI152" s="43" t="str">
        <f t="shared" ref="DI152:DI160" si="2491">IF(AC152="","","|n"&amp;DI$2&amp;"+"&amp;AC152&amp;DI$1)</f>
        <v/>
      </c>
      <c r="DJ152" s="43" t="str">
        <f t="shared" ref="DJ152:DJ160" si="2492">IF(AD152="","","|n"&amp;DJ$2&amp;"+"&amp;AD152&amp;DJ$1)</f>
        <v/>
      </c>
      <c r="DK152" s="43" t="str">
        <f t="shared" ref="DK152:DK160" si="2493">IF(AE152="","","|n"&amp;DK$2&amp;"+"&amp;AE152&amp;DK$1)</f>
        <v/>
      </c>
      <c r="DL152" s="43" t="str">
        <f t="shared" ref="DL152:DL160" si="2494">IF(AF152="","","|n"&amp;DL$2&amp;"+"&amp;AF152&amp;DL$1)</f>
        <v/>
      </c>
      <c r="DM152" s="43" t="str">
        <f t="shared" ref="DM152:DM160" si="2495">IF(AG152="","","|n"&amp;DM$2&amp;"+"&amp;AG152&amp;DM$1)</f>
        <v/>
      </c>
      <c r="DN152" s="43" t="str">
        <f t="shared" ref="DN152:DN160" si="2496">IF(AH152="","","|n"&amp;DN$2&amp;"+"&amp;AH152&amp;DN$1)</f>
        <v/>
      </c>
      <c r="DO152" s="43" t="str">
        <f t="shared" ref="DO152:DO160" si="2497">IF(AI152="","","|n"&amp;DO$2&amp;"+"&amp;AI152&amp;DO$1)</f>
        <v/>
      </c>
      <c r="DP152" s="43" t="str">
        <f t="shared" ref="DP152:DP160" si="2498">IF(AJ152="","","|n"&amp;DP$2&amp;"+"&amp;AJ152&amp;DP$1)</f>
        <v/>
      </c>
      <c r="DQ152" s="43" t="str">
        <f t="shared" ref="DQ152:DQ160" si="2499">IF(AK152="","","|n"&amp;DQ$2&amp;"+"&amp;AK152&amp;DQ$1)</f>
        <v/>
      </c>
      <c r="DR152" s="43" t="str">
        <f t="shared" ref="DR152:DR160" si="2500">IF(AL152="","","|n"&amp;DR$2&amp;"+"&amp;AL152&amp;DR$1)</f>
        <v/>
      </c>
      <c r="DS152" s="43" t="str">
        <f t="shared" ref="DS152:DS160" si="2501">IF(AM152="","","|n"&amp;DS$2&amp;"+"&amp;AM152&amp;DS$1)</f>
        <v/>
      </c>
      <c r="DT152" s="43" t="str">
        <f t="shared" ref="DT152:DT160" si="2502">IF(AN152="","","|n"&amp;DT$2&amp;"+"&amp;AN152&amp;DT$1)</f>
        <v/>
      </c>
      <c r="DU152" s="43" t="str">
        <f t="shared" ref="DU152:DU160" si="2503">IF(AO152="","","|n"&amp;DU$2&amp;"+"&amp;AO152&amp;DU$1)</f>
        <v/>
      </c>
      <c r="DV152" s="43" t="str">
        <f t="shared" ref="DV152:DV160" si="2504">IF(AP152="","","|n"&amp;DV$2&amp;"+"&amp;AP152&amp;DV$1)</f>
        <v/>
      </c>
      <c r="DW152" s="43" t="str">
        <f t="shared" ref="DW152:DW160" si="2505">IF(AQ152="","","|n"&amp;DW$2&amp;"+"&amp;AQ152&amp;DW$1)</f>
        <v/>
      </c>
      <c r="DX152" s="43" t="str">
        <f t="shared" ref="DX152:DX160" si="2506">IF(AR152="","","|n"&amp;DX$2&amp;"+"&amp;AR152&amp;DX$1)</f>
        <v/>
      </c>
      <c r="DY152" s="43" t="str">
        <f t="shared" ref="DY152:DY160" si="2507">IF(AS152="","","|n"&amp;DY$2&amp;"+"&amp;AS152&amp;DY$1)</f>
        <v/>
      </c>
      <c r="DZ152" s="43" t="str">
        <f t="shared" ref="DZ152:DZ160" si="2508">IF(AT152="","","|n"&amp;DZ$2&amp;"+"&amp;AT152&amp;DZ$1)</f>
        <v/>
      </c>
      <c r="EA152" s="43" t="str">
        <f t="shared" ref="EA152:EA160" si="2509">IF(AU152="","","|n"&amp;EA$2&amp;"+"&amp;AU152&amp;EA$1)</f>
        <v/>
      </c>
      <c r="EB152" s="43" t="str">
        <f t="shared" ref="EB152:EB160" si="2510">IF(AV152="","","|n"&amp;EB$2&amp;"+"&amp;AV152&amp;EB$1)</f>
        <v/>
      </c>
      <c r="EC152" s="43" t="str">
        <f t="shared" ref="EC152:EC160" si="2511">IF(AW152="","","|n"&amp;EC$2&amp;"+"&amp;AW152&amp;EC$1)</f>
        <v/>
      </c>
      <c r="ED152" s="43" t="str">
        <f t="shared" ref="ED152:ED160" si="2512">IF(AX152="","","|n"&amp;ED$2&amp;"+"&amp;AX152&amp;ED$1)</f>
        <v/>
      </c>
      <c r="EE152" s="43" t="str">
        <f t="shared" ref="EE152:EE160" si="2513">IF(AY152="","","|n"&amp;EE$2&amp;"+"&amp;AY152&amp;EE$1)</f>
        <v/>
      </c>
      <c r="EF152" s="43" t="str">
        <f t="shared" ref="EF152:EF160" si="2514">IF(AZ152="","","|n"&amp;EF$2&amp;"+"&amp;AZ152&amp;EF$1)</f>
        <v/>
      </c>
      <c r="EG152" s="43" t="str">
        <f t="shared" ref="EG152:EG160" si="2515">IF(BA152="","","|n"&amp;EG$2&amp;"+"&amp;BA152&amp;EG$1)</f>
        <v/>
      </c>
      <c r="EH152" s="43" t="str">
        <f t="shared" ref="EH152:EH160" si="2516">IF(BB152="","","|n"&amp;EH$2&amp;"+"&amp;BB152&amp;EH$1)</f>
        <v/>
      </c>
      <c r="EI152" s="43" t="str">
        <f t="shared" ref="EI152:EI160" si="2517">IF(BC152="","","|n"&amp;EI$2&amp;"+"&amp;BC152&amp;EI$1)</f>
        <v/>
      </c>
      <c r="EJ152" s="43" t="str">
        <f t="shared" ref="EJ152:EJ160" si="2518">IF(BD152="","","|n"&amp;EJ$2&amp;"+"&amp;BD152&amp;EJ$1)</f>
        <v/>
      </c>
      <c r="EK152" s="43" t="str">
        <f t="shared" ref="EK152:EK160" si="2519">IF(BE152="","","|n"&amp;EK$2&amp;"+"&amp;BE152&amp;EK$1)</f>
        <v/>
      </c>
      <c r="EL152" s="43" t="str">
        <f t="shared" ref="EL152:EL160" si="2520">IF(BF152="","","|n"&amp;EL$2&amp;"+"&amp;BF152&amp;EL$1)</f>
        <v/>
      </c>
      <c r="EM152" s="43" t="str">
        <f t="shared" ref="EM152:EM160" si="2521">IF(BG152="","","|n"&amp;EM$2&amp;"+"&amp;BG152&amp;EM$1)</f>
        <v/>
      </c>
      <c r="EN152" s="43" t="str">
        <f t="shared" ref="EN152:EN160" si="2522">IF(BH152="","","|n"&amp;EN$2&amp;"+"&amp;BH152&amp;EN$1)</f>
        <v/>
      </c>
      <c r="EO152" s="43" t="str">
        <f t="shared" ref="EO152:EO160" si="2523">IF(BI152="","","|n"&amp;EO$2&amp;"+"&amp;BI152&amp;EO$1)</f>
        <v/>
      </c>
      <c r="EP152" s="43" t="str">
        <f t="shared" ref="EP152:EP160" si="2524">IF(BJ152="","","|n"&amp;EP$2&amp;"+"&amp;BJ152&amp;EP$1)</f>
        <v/>
      </c>
      <c r="EQ152" s="43" t="str">
        <f t="shared" ref="EQ152:EQ160" si="2525">IF(BK152="","","|n"&amp;EQ$2&amp;"+"&amp;BK152&amp;EQ$1)</f>
        <v/>
      </c>
      <c r="ER152" s="43" t="str">
        <f t="shared" ref="ER152:ER160" si="2526">IF(BL152="","","|n"&amp;ER$2&amp;"+"&amp;BL152&amp;ER$1)</f>
        <v/>
      </c>
      <c r="ES152" s="43" t="str">
        <f t="shared" ref="ES152:ES160" si="2527">IF(BM152="","","|n"&amp;ES$2&amp;"+"&amp;BM152&amp;ES$1)</f>
        <v/>
      </c>
      <c r="ET152" s="43" t="str">
        <f t="shared" ref="ET152:ET160" si="2528">IF(BN152="","","|n"&amp;ET$2&amp;"+"&amp;BN152&amp;ET$1)</f>
        <v/>
      </c>
      <c r="EU152" s="43" t="str">
        <f t="shared" ref="EU152:EU160" si="2529">IF(BO152="","","|n"&amp;EU$2&amp;"+"&amp;BO152&amp;EU$1)</f>
        <v/>
      </c>
      <c r="EV152" s="43" t="str">
        <f t="shared" ref="EV152:EV160" si="2530">IF(BP152="","","|n"&amp;EV$2&amp;"+"&amp;BP152&amp;EV$1)</f>
        <v/>
      </c>
      <c r="EW152" s="43" t="str">
        <f t="shared" ref="EW152:EW160" si="2531">IF(BQ152="","","|n"&amp;EW$2&amp;"+"&amp;BQ152&amp;EW$1)</f>
        <v/>
      </c>
      <c r="EX152" s="43" t="str">
        <f t="shared" ref="EX152:EX160" si="2532">IF(BR152="","","|n"&amp;EX$2&amp;"+"&amp;BR152&amp;EX$1)</f>
        <v/>
      </c>
      <c r="EY152" s="43" t="str">
        <f t="shared" ref="EY152:EY160" si="2533">IF(BS152="","","|n"&amp;EY$2&amp;"+"&amp;BS152&amp;EY$1)</f>
        <v/>
      </c>
      <c r="EZ152" s="43" t="str">
        <f t="shared" ref="EZ152:EZ160" si="2534">IF(BT152="","","|n"&amp;EZ$2&amp;"+"&amp;BT152&amp;EZ$1)</f>
        <v/>
      </c>
      <c r="FA152" s="43" t="str">
        <f t="shared" ref="FA152:FA160" si="2535">IF(BU152="","","|n"&amp;FA$2&amp;"+"&amp;BU152&amp;FA$1)</f>
        <v/>
      </c>
      <c r="FB152" s="43" t="str">
        <f t="shared" ref="FB152:FB160" si="2536">IF(BV152="","","|n"&amp;FB$2&amp;"+"&amp;BV152&amp;FB$1)</f>
        <v/>
      </c>
      <c r="FC152" s="43" t="str">
        <f t="shared" ref="FC152:FC160" si="2537">IF(BW152="","","|n"&amp;FC$2&amp;"+"&amp;BW152&amp;FC$1)</f>
        <v/>
      </c>
      <c r="FD152" s="43" t="str">
        <f t="shared" ref="FD152:FD160" si="2538">IF(BX152="","","|n"&amp;FD$2&amp;"+"&amp;BX152&amp;FD$1)</f>
        <v/>
      </c>
      <c r="FE152" s="43" t="str">
        <f t="shared" ref="FE152:FE160" si="2539">IF(BY152="","","|n"&amp;FE$2&amp;"+"&amp;BY152&amp;FE$1)</f>
        <v/>
      </c>
      <c r="FF152" s="43" t="str">
        <f t="shared" ref="FF152:FF160" si="2540">IF(BZ152="","","|n"&amp;FF$2&amp;"+"&amp;BZ152&amp;FF$1)</f>
        <v/>
      </c>
      <c r="FG152" s="43" t="str">
        <f t="shared" ref="FG152:FG160" si="2541">IF(CA152="","","|n"&amp;FG$2&amp;"+"&amp;CA152&amp;FG$1)</f>
        <v/>
      </c>
      <c r="FH152" s="43" t="str">
        <f t="shared" ref="FH152:FH160" si="2542">IF(CB152="","","|n"&amp;FH$2&amp;"+"&amp;CB152&amp;FH$1)</f>
        <v/>
      </c>
      <c r="FI152" s="43" t="str">
        <f t="shared" ref="FI152:FI160" si="2543">IF(CC152="","","|n"&amp;FI$2&amp;"+"&amp;CC152&amp;FI$1)</f>
        <v/>
      </c>
      <c r="FJ152" s="43" t="str">
        <f t="shared" ref="FJ152:FJ160" si="2544">IF(CD152="","","|n"&amp;FJ$2&amp;"+"&amp;CD152&amp;FJ$1)</f>
        <v/>
      </c>
      <c r="FK152" s="43" t="str">
        <f t="shared" ref="FK152:FK160" si="2545">IF(CE152="","","|n"&amp;FK$2&amp;"+"&amp;CE152&amp;FK$1)</f>
        <v/>
      </c>
      <c r="FL152" s="43" t="str">
        <f t="shared" ref="FL152:FL160" si="2546">IF(CF152="","","|n"&amp;FL$2&amp;"+"&amp;CF152&amp;FL$1)</f>
        <v/>
      </c>
      <c r="FM152" s="43" t="str">
        <f t="shared" ref="FM152:FM160" si="2547">IF(CG152="","","|n"&amp;FM$2&amp;"+"&amp;CG152&amp;FM$1)</f>
        <v/>
      </c>
      <c r="FN152" s="43" t="str">
        <f t="shared" ref="FN152:FN160" si="2548">IF(CH152="","","|n"&amp;FN$2&amp;"+"&amp;CH152&amp;FN$1)</f>
        <v/>
      </c>
      <c r="FO152" s="43" t="str">
        <f t="shared" ref="FO152:FO160" si="2549">IF(CI152="","","|n"&amp;FO$2&amp;"+"&amp;CI152&amp;FO$1)</f>
        <v/>
      </c>
      <c r="FP152" s="43" t="str">
        <f t="shared" ref="FP152:FP160" si="2550">IF(CJ152="","","|n"&amp;FP$2&amp;"+"&amp;CJ152&amp;FP$1)</f>
        <v/>
      </c>
      <c r="FQ152" s="43" t="str">
        <f t="shared" ref="FQ152:FQ160" si="2551">IF(CK152="","","|n"&amp;FQ$2&amp;"+"&amp;CK152&amp;FQ$1)</f>
        <v/>
      </c>
      <c r="FR152" s="43" t="str">
        <f t="shared" ref="FR152:FR160" si="2552">IF(CL152="","","|n"&amp;FR$2&amp;"+"&amp;CL152&amp;FR$1)</f>
        <v/>
      </c>
      <c r="FS152" s="43" t="str">
        <f t="shared" ref="FS152:FS160" si="2553">IF(CM152="","","|n"&amp;FS$2&amp;"+"&amp;CM152&amp;FS$1)</f>
        <v/>
      </c>
    </row>
    <row r="153" ht="15" spans="1:175">
      <c r="A153" s="88"/>
      <c r="B153" s="4" t="s">
        <v>519</v>
      </c>
      <c r="C153" s="88" t="s">
        <v>520</v>
      </c>
      <c r="R153" s="37">
        <v>-8089</v>
      </c>
      <c r="S153" s="37">
        <v>-1230</v>
      </c>
      <c r="T153" s="88" t="s">
        <v>521</v>
      </c>
      <c r="U153" s="59" t="str">
        <f t="shared" si="1168"/>
        <v>ReplaceableTextures\\CommandButtons\\BTNIT03.blp</v>
      </c>
      <c r="CN153" s="12" t="str">
        <f t="shared" si="2406"/>
        <v>InitUnitState('IT03',,,,,,,,,,)</v>
      </c>
      <c r="CO153" s="12" t="str">
        <f t="shared" si="2407"/>
        <v>InitUnitNormal('IT03',,,,,,,,,,)</v>
      </c>
      <c r="CP153" s="12" t="str">
        <f t="shared" si="2408"/>
        <v>InitUnitMagic('IT03',,,,,,,,,,)</v>
      </c>
      <c r="CQ153" s="12" t="str">
        <f t="shared" si="2409"/>
        <v>InitUnitAdd('IT03',,,,,,,,,,)</v>
      </c>
      <c r="CR153" s="12" t="str">
        <f t="shared" si="2410"/>
        <v>InitEquipData('IT03',,"",,,,,'','','','','','',"ReplaceableTextures\\CommandButtons\\BTNIT04.blp")</v>
      </c>
      <c r="CU153" s="71" t="str">
        <f t="shared" si="2483"/>
        <v>|n</v>
      </c>
      <c r="CV153" s="5" t="str">
        <f t="shared" ref="CV153:CV160" si="2554">T153</f>
        <v>渡过该劫后可结成|Cff00ff7f高级道果|r。|n|n|Cff00ff7f高级道果：|r|n攻击+2000|n法强+2000|n生命值+4000 |n|Cffffd24d元神力+5|r|n|n|Cff00ff7f战力推荐：|r|n</v>
      </c>
      <c r="CW153" s="6"/>
      <c r="CX153" s="6"/>
      <c r="CY153" s="6"/>
      <c r="CZ153" s="6"/>
      <c r="DA153" s="6"/>
      <c r="DB153" s="43" t="str">
        <f t="shared" si="2484"/>
        <v/>
      </c>
      <c r="DC153" s="43" t="str">
        <f t="shared" si="2485"/>
        <v/>
      </c>
      <c r="DD153" s="43" t="str">
        <f t="shared" si="2486"/>
        <v/>
      </c>
      <c r="DE153" s="43" t="str">
        <f t="shared" si="2487"/>
        <v/>
      </c>
      <c r="DF153" s="43" t="str">
        <f t="shared" si="2488"/>
        <v/>
      </c>
      <c r="DG153" s="43" t="str">
        <f t="shared" si="2489"/>
        <v/>
      </c>
      <c r="DH153" s="43" t="str">
        <f t="shared" si="2490"/>
        <v/>
      </c>
      <c r="DI153" s="43" t="str">
        <f t="shared" si="2491"/>
        <v/>
      </c>
      <c r="DJ153" s="43" t="str">
        <f t="shared" si="2492"/>
        <v/>
      </c>
      <c r="DK153" s="43" t="str">
        <f t="shared" si="2493"/>
        <v/>
      </c>
      <c r="DL153" s="43" t="str">
        <f t="shared" si="2494"/>
        <v/>
      </c>
      <c r="DM153" s="43" t="str">
        <f t="shared" si="2495"/>
        <v/>
      </c>
      <c r="DN153" s="43" t="str">
        <f t="shared" si="2496"/>
        <v/>
      </c>
      <c r="DO153" s="43" t="str">
        <f t="shared" si="2497"/>
        <v/>
      </c>
      <c r="DP153" s="43" t="str">
        <f t="shared" si="2498"/>
        <v/>
      </c>
      <c r="DQ153" s="43" t="str">
        <f t="shared" si="2499"/>
        <v/>
      </c>
      <c r="DR153" s="43" t="str">
        <f t="shared" si="2500"/>
        <v/>
      </c>
      <c r="DS153" s="43" t="str">
        <f t="shared" si="2501"/>
        <v/>
      </c>
      <c r="DT153" s="43" t="str">
        <f t="shared" si="2502"/>
        <v/>
      </c>
      <c r="DU153" s="43" t="str">
        <f t="shared" si="2503"/>
        <v/>
      </c>
      <c r="DV153" s="43" t="str">
        <f t="shared" si="2504"/>
        <v/>
      </c>
      <c r="DW153" s="43" t="str">
        <f t="shared" si="2505"/>
        <v/>
      </c>
      <c r="DX153" s="43" t="str">
        <f t="shared" si="2506"/>
        <v/>
      </c>
      <c r="DY153" s="43" t="str">
        <f t="shared" si="2507"/>
        <v/>
      </c>
      <c r="DZ153" s="43" t="str">
        <f t="shared" si="2508"/>
        <v/>
      </c>
      <c r="EA153" s="43" t="str">
        <f t="shared" si="2509"/>
        <v/>
      </c>
      <c r="EB153" s="43" t="str">
        <f t="shared" si="2510"/>
        <v/>
      </c>
      <c r="EC153" s="43" t="str">
        <f t="shared" si="2511"/>
        <v/>
      </c>
      <c r="ED153" s="43" t="str">
        <f t="shared" si="2512"/>
        <v/>
      </c>
      <c r="EE153" s="43" t="str">
        <f t="shared" si="2513"/>
        <v/>
      </c>
      <c r="EF153" s="43" t="str">
        <f t="shared" si="2514"/>
        <v/>
      </c>
      <c r="EG153" s="43" t="str">
        <f t="shared" si="2515"/>
        <v/>
      </c>
      <c r="EH153" s="43" t="str">
        <f t="shared" si="2516"/>
        <v/>
      </c>
      <c r="EI153" s="43" t="str">
        <f t="shared" si="2517"/>
        <v/>
      </c>
      <c r="EJ153" s="43" t="str">
        <f t="shared" si="2518"/>
        <v/>
      </c>
      <c r="EK153" s="43" t="str">
        <f t="shared" si="2519"/>
        <v/>
      </c>
      <c r="EL153" s="43" t="str">
        <f t="shared" si="2520"/>
        <v/>
      </c>
      <c r="EM153" s="43" t="str">
        <f t="shared" si="2521"/>
        <v/>
      </c>
      <c r="EN153" s="43" t="str">
        <f t="shared" si="2522"/>
        <v/>
      </c>
      <c r="EO153" s="43" t="str">
        <f t="shared" si="2523"/>
        <v/>
      </c>
      <c r="EP153" s="43" t="str">
        <f t="shared" si="2524"/>
        <v/>
      </c>
      <c r="EQ153" s="43" t="str">
        <f t="shared" si="2525"/>
        <v/>
      </c>
      <c r="ER153" s="43" t="str">
        <f t="shared" si="2526"/>
        <v/>
      </c>
      <c r="ES153" s="43" t="str">
        <f t="shared" si="2527"/>
        <v/>
      </c>
      <c r="ET153" s="43" t="str">
        <f t="shared" si="2528"/>
        <v/>
      </c>
      <c r="EU153" s="43" t="str">
        <f t="shared" si="2529"/>
        <v/>
      </c>
      <c r="EV153" s="43" t="str">
        <f t="shared" si="2530"/>
        <v/>
      </c>
      <c r="EW153" s="43" t="str">
        <f t="shared" si="2531"/>
        <v/>
      </c>
      <c r="EX153" s="43" t="str">
        <f t="shared" si="2532"/>
        <v/>
      </c>
      <c r="EY153" s="43" t="str">
        <f t="shared" si="2533"/>
        <v/>
      </c>
      <c r="EZ153" s="43" t="str">
        <f t="shared" si="2534"/>
        <v/>
      </c>
      <c r="FA153" s="43" t="str">
        <f t="shared" si="2535"/>
        <v/>
      </c>
      <c r="FB153" s="43" t="str">
        <f t="shared" si="2536"/>
        <v/>
      </c>
      <c r="FC153" s="43" t="str">
        <f t="shared" si="2537"/>
        <v/>
      </c>
      <c r="FD153" s="43" t="str">
        <f t="shared" si="2538"/>
        <v/>
      </c>
      <c r="FE153" s="43" t="str">
        <f t="shared" si="2539"/>
        <v/>
      </c>
      <c r="FF153" s="43" t="str">
        <f t="shared" si="2540"/>
        <v/>
      </c>
      <c r="FG153" s="43" t="str">
        <f t="shared" si="2541"/>
        <v/>
      </c>
      <c r="FH153" s="43" t="str">
        <f t="shared" si="2542"/>
        <v/>
      </c>
      <c r="FI153" s="43" t="str">
        <f t="shared" si="2543"/>
        <v/>
      </c>
      <c r="FJ153" s="43" t="str">
        <f t="shared" si="2544"/>
        <v/>
      </c>
      <c r="FK153" s="43" t="str">
        <f t="shared" si="2545"/>
        <v/>
      </c>
      <c r="FL153" s="43" t="str">
        <f t="shared" si="2546"/>
        <v/>
      </c>
      <c r="FM153" s="43" t="str">
        <f t="shared" si="2547"/>
        <v/>
      </c>
      <c r="FN153" s="43" t="str">
        <f t="shared" si="2548"/>
        <v/>
      </c>
      <c r="FO153" s="43" t="str">
        <f t="shared" si="2549"/>
        <v/>
      </c>
      <c r="FP153" s="43" t="str">
        <f t="shared" si="2550"/>
        <v/>
      </c>
      <c r="FQ153" s="43" t="str">
        <f t="shared" si="2551"/>
        <v/>
      </c>
      <c r="FR153" s="43" t="str">
        <f t="shared" si="2552"/>
        <v/>
      </c>
      <c r="FS153" s="43" t="str">
        <f t="shared" si="2553"/>
        <v/>
      </c>
    </row>
    <row r="154" ht="15" spans="1:175">
      <c r="A154" s="88"/>
      <c r="B154" s="4" t="s">
        <v>522</v>
      </c>
      <c r="C154" s="88" t="s">
        <v>523</v>
      </c>
      <c r="R154" s="37">
        <v>-7794</v>
      </c>
      <c r="S154" s="37">
        <v>195</v>
      </c>
      <c r="T154" s="88" t="s">
        <v>524</v>
      </c>
      <c r="U154" s="59" t="str">
        <f t="shared" si="1168"/>
        <v>ReplaceableTextures\\CommandButtons\\BTNIT04.blp</v>
      </c>
      <c r="CN154" s="12" t="str">
        <f t="shared" si="2406"/>
        <v>InitUnitState('IT04',,,,,,,,,,)</v>
      </c>
      <c r="CO154" s="12" t="str">
        <f t="shared" si="2407"/>
        <v>InitUnitNormal('IT04',,,,,,,,,,)</v>
      </c>
      <c r="CP154" s="12" t="str">
        <f t="shared" si="2408"/>
        <v>InitUnitMagic('IT04',,,,,,,,,,)</v>
      </c>
      <c r="CQ154" s="12" t="str">
        <f t="shared" si="2409"/>
        <v>InitUnitAdd('IT04',,,,,,,,,,)</v>
      </c>
      <c r="CR154" s="12" t="str">
        <f t="shared" si="2410"/>
        <v>InitEquipData('IT04',,"",,,,,'','','','','','',"ReplaceableTextures\\CommandButtons\\BTNIT05.blp")</v>
      </c>
      <c r="CU154" s="71" t="str">
        <f t="shared" si="2483"/>
        <v>|n</v>
      </c>
      <c r="CV154" s="5" t="str">
        <f t="shared" si="2554"/>
        <v>渡过该劫后可结成|Cff00ff7f黄级道果|r。|n|n|Cff00ff7f黄级道果：|r|n攻击+2500|n法强+2500|n生命值+5000|n|Cffffd24d元神力+6|r|n|n|Cff00ff7f战力推荐：|r|n</v>
      </c>
      <c r="CW154" s="6"/>
      <c r="CX154" s="6"/>
      <c r="CY154" s="6"/>
      <c r="CZ154" s="6"/>
      <c r="DA154" s="6"/>
      <c r="DB154" s="43" t="str">
        <f t="shared" si="2484"/>
        <v/>
      </c>
      <c r="DC154" s="43" t="str">
        <f t="shared" si="2485"/>
        <v/>
      </c>
      <c r="DD154" s="43" t="str">
        <f t="shared" si="2486"/>
        <v/>
      </c>
      <c r="DE154" s="43" t="str">
        <f t="shared" si="2487"/>
        <v/>
      </c>
      <c r="DF154" s="43" t="str">
        <f t="shared" si="2488"/>
        <v/>
      </c>
      <c r="DG154" s="43" t="str">
        <f t="shared" si="2489"/>
        <v/>
      </c>
      <c r="DH154" s="43" t="str">
        <f t="shared" si="2490"/>
        <v/>
      </c>
      <c r="DI154" s="43" t="str">
        <f t="shared" si="2491"/>
        <v/>
      </c>
      <c r="DJ154" s="43" t="str">
        <f t="shared" si="2492"/>
        <v/>
      </c>
      <c r="DK154" s="43" t="str">
        <f t="shared" si="2493"/>
        <v/>
      </c>
      <c r="DL154" s="43" t="str">
        <f t="shared" si="2494"/>
        <v/>
      </c>
      <c r="DM154" s="43" t="str">
        <f t="shared" si="2495"/>
        <v/>
      </c>
      <c r="DN154" s="43" t="str">
        <f t="shared" si="2496"/>
        <v/>
      </c>
      <c r="DO154" s="43" t="str">
        <f t="shared" si="2497"/>
        <v/>
      </c>
      <c r="DP154" s="43" t="str">
        <f t="shared" si="2498"/>
        <v/>
      </c>
      <c r="DQ154" s="43" t="str">
        <f t="shared" si="2499"/>
        <v/>
      </c>
      <c r="DR154" s="43" t="str">
        <f t="shared" si="2500"/>
        <v/>
      </c>
      <c r="DS154" s="43" t="str">
        <f t="shared" si="2501"/>
        <v/>
      </c>
      <c r="DT154" s="43" t="str">
        <f t="shared" si="2502"/>
        <v/>
      </c>
      <c r="DU154" s="43" t="str">
        <f t="shared" si="2503"/>
        <v/>
      </c>
      <c r="DV154" s="43" t="str">
        <f t="shared" si="2504"/>
        <v/>
      </c>
      <c r="DW154" s="43" t="str">
        <f t="shared" si="2505"/>
        <v/>
      </c>
      <c r="DX154" s="43" t="str">
        <f t="shared" si="2506"/>
        <v/>
      </c>
      <c r="DY154" s="43" t="str">
        <f t="shared" si="2507"/>
        <v/>
      </c>
      <c r="DZ154" s="43" t="str">
        <f t="shared" si="2508"/>
        <v/>
      </c>
      <c r="EA154" s="43" t="str">
        <f t="shared" si="2509"/>
        <v/>
      </c>
      <c r="EB154" s="43" t="str">
        <f t="shared" si="2510"/>
        <v/>
      </c>
      <c r="EC154" s="43" t="str">
        <f t="shared" si="2511"/>
        <v/>
      </c>
      <c r="ED154" s="43" t="str">
        <f t="shared" si="2512"/>
        <v/>
      </c>
      <c r="EE154" s="43" t="str">
        <f t="shared" si="2513"/>
        <v/>
      </c>
      <c r="EF154" s="43" t="str">
        <f t="shared" si="2514"/>
        <v/>
      </c>
      <c r="EG154" s="43" t="str">
        <f t="shared" si="2515"/>
        <v/>
      </c>
      <c r="EH154" s="43" t="str">
        <f t="shared" si="2516"/>
        <v/>
      </c>
      <c r="EI154" s="43" t="str">
        <f t="shared" si="2517"/>
        <v/>
      </c>
      <c r="EJ154" s="43" t="str">
        <f t="shared" si="2518"/>
        <v/>
      </c>
      <c r="EK154" s="43" t="str">
        <f t="shared" si="2519"/>
        <v/>
      </c>
      <c r="EL154" s="43" t="str">
        <f t="shared" si="2520"/>
        <v/>
      </c>
      <c r="EM154" s="43" t="str">
        <f t="shared" si="2521"/>
        <v/>
      </c>
      <c r="EN154" s="43" t="str">
        <f t="shared" si="2522"/>
        <v/>
      </c>
      <c r="EO154" s="43" t="str">
        <f t="shared" si="2523"/>
        <v/>
      </c>
      <c r="EP154" s="43" t="str">
        <f t="shared" si="2524"/>
        <v/>
      </c>
      <c r="EQ154" s="43" t="str">
        <f t="shared" si="2525"/>
        <v/>
      </c>
      <c r="ER154" s="43" t="str">
        <f t="shared" si="2526"/>
        <v/>
      </c>
      <c r="ES154" s="43" t="str">
        <f t="shared" si="2527"/>
        <v/>
      </c>
      <c r="ET154" s="43" t="str">
        <f t="shared" si="2528"/>
        <v/>
      </c>
      <c r="EU154" s="43" t="str">
        <f t="shared" si="2529"/>
        <v/>
      </c>
      <c r="EV154" s="43" t="str">
        <f t="shared" si="2530"/>
        <v/>
      </c>
      <c r="EW154" s="43" t="str">
        <f t="shared" si="2531"/>
        <v/>
      </c>
      <c r="EX154" s="43" t="str">
        <f t="shared" si="2532"/>
        <v/>
      </c>
      <c r="EY154" s="43" t="str">
        <f t="shared" si="2533"/>
        <v/>
      </c>
      <c r="EZ154" s="43" t="str">
        <f t="shared" si="2534"/>
        <v/>
      </c>
      <c r="FA154" s="43" t="str">
        <f t="shared" si="2535"/>
        <v/>
      </c>
      <c r="FB154" s="43" t="str">
        <f t="shared" si="2536"/>
        <v/>
      </c>
      <c r="FC154" s="43" t="str">
        <f t="shared" si="2537"/>
        <v/>
      </c>
      <c r="FD154" s="43" t="str">
        <f t="shared" si="2538"/>
        <v/>
      </c>
      <c r="FE154" s="43" t="str">
        <f t="shared" si="2539"/>
        <v/>
      </c>
      <c r="FF154" s="43" t="str">
        <f t="shared" si="2540"/>
        <v/>
      </c>
      <c r="FG154" s="43" t="str">
        <f t="shared" si="2541"/>
        <v/>
      </c>
      <c r="FH154" s="43" t="str">
        <f t="shared" si="2542"/>
        <v/>
      </c>
      <c r="FI154" s="43" t="str">
        <f t="shared" si="2543"/>
        <v/>
      </c>
      <c r="FJ154" s="43" t="str">
        <f t="shared" si="2544"/>
        <v/>
      </c>
      <c r="FK154" s="43" t="str">
        <f t="shared" si="2545"/>
        <v/>
      </c>
      <c r="FL154" s="43" t="str">
        <f t="shared" si="2546"/>
        <v/>
      </c>
      <c r="FM154" s="43" t="str">
        <f t="shared" si="2547"/>
        <v/>
      </c>
      <c r="FN154" s="43" t="str">
        <f t="shared" si="2548"/>
        <v/>
      </c>
      <c r="FO154" s="43" t="str">
        <f t="shared" si="2549"/>
        <v/>
      </c>
      <c r="FP154" s="43" t="str">
        <f t="shared" si="2550"/>
        <v/>
      </c>
      <c r="FQ154" s="43" t="str">
        <f t="shared" si="2551"/>
        <v/>
      </c>
      <c r="FR154" s="43" t="str">
        <f t="shared" si="2552"/>
        <v/>
      </c>
      <c r="FS154" s="43" t="str">
        <f t="shared" si="2553"/>
        <v/>
      </c>
    </row>
    <row r="155" ht="15" spans="1:175">
      <c r="A155" s="88"/>
      <c r="B155" s="4" t="s">
        <v>525</v>
      </c>
      <c r="C155" s="88" t="s">
        <v>526</v>
      </c>
      <c r="R155" s="37">
        <v>-8110</v>
      </c>
      <c r="S155" s="37">
        <v>1810</v>
      </c>
      <c r="T155" s="88" t="s">
        <v>527</v>
      </c>
      <c r="U155" s="59" t="str">
        <f t="shared" si="1168"/>
        <v>ReplaceableTextures\\CommandButtons\\BTNIT05.blp</v>
      </c>
      <c r="CN155" s="12" t="str">
        <f t="shared" si="2406"/>
        <v>InitUnitState('IT05',,,,,,,,,,)</v>
      </c>
      <c r="CO155" s="12" t="str">
        <f t="shared" si="2407"/>
        <v>InitUnitNormal('IT05',,,,,,,,,,)</v>
      </c>
      <c r="CP155" s="12" t="str">
        <f t="shared" si="2408"/>
        <v>InitUnitMagic('IT05',,,,,,,,,,)</v>
      </c>
      <c r="CQ155" s="12" t="str">
        <f t="shared" si="2409"/>
        <v>InitUnitAdd('IT05',,,,,,,,,,)</v>
      </c>
      <c r="CR155" s="12" t="str">
        <f t="shared" si="2410"/>
        <v>InitEquipData('IT05',,"",,,,,'','','','','','',"ReplaceableTextures\\CommandButtons\\BTNIT06.blp")</v>
      </c>
      <c r="CU155" s="71" t="str">
        <f t="shared" si="2483"/>
        <v>|n</v>
      </c>
      <c r="CV155" s="5" t="str">
        <f t="shared" si="2554"/>
        <v>渡过该劫后可结成|Cff00bfff玄级道果|r。|n|n|Cff00bfff玄级道果：|r|n攻击+3000|n法强+3000|n生命值+6000|n|Cffffd24d元神力+7|r|n|n|Cff00ff7f战力推荐：|r|n</v>
      </c>
      <c r="CW155" s="6"/>
      <c r="CX155" s="6"/>
      <c r="CY155" s="6"/>
      <c r="CZ155" s="6"/>
      <c r="DA155" s="6"/>
      <c r="DB155" s="43" t="str">
        <f t="shared" si="2484"/>
        <v/>
      </c>
      <c r="DC155" s="43" t="str">
        <f t="shared" si="2485"/>
        <v/>
      </c>
      <c r="DD155" s="43" t="str">
        <f t="shared" si="2486"/>
        <v/>
      </c>
      <c r="DE155" s="43" t="str">
        <f t="shared" si="2487"/>
        <v/>
      </c>
      <c r="DF155" s="43" t="str">
        <f t="shared" si="2488"/>
        <v/>
      </c>
      <c r="DG155" s="43" t="str">
        <f t="shared" si="2489"/>
        <v/>
      </c>
      <c r="DH155" s="43" t="str">
        <f t="shared" si="2490"/>
        <v/>
      </c>
      <c r="DI155" s="43" t="str">
        <f t="shared" si="2491"/>
        <v/>
      </c>
      <c r="DJ155" s="43" t="str">
        <f t="shared" si="2492"/>
        <v/>
      </c>
      <c r="DK155" s="43" t="str">
        <f t="shared" si="2493"/>
        <v/>
      </c>
      <c r="DL155" s="43" t="str">
        <f t="shared" si="2494"/>
        <v/>
      </c>
      <c r="DM155" s="43" t="str">
        <f t="shared" si="2495"/>
        <v/>
      </c>
      <c r="DN155" s="43" t="str">
        <f t="shared" si="2496"/>
        <v/>
      </c>
      <c r="DO155" s="43" t="str">
        <f t="shared" si="2497"/>
        <v/>
      </c>
      <c r="DP155" s="43" t="str">
        <f t="shared" si="2498"/>
        <v/>
      </c>
      <c r="DQ155" s="43" t="str">
        <f t="shared" si="2499"/>
        <v/>
      </c>
      <c r="DR155" s="43" t="str">
        <f t="shared" si="2500"/>
        <v/>
      </c>
      <c r="DS155" s="43" t="str">
        <f t="shared" si="2501"/>
        <v/>
      </c>
      <c r="DT155" s="43" t="str">
        <f t="shared" si="2502"/>
        <v/>
      </c>
      <c r="DU155" s="43" t="str">
        <f t="shared" si="2503"/>
        <v/>
      </c>
      <c r="DV155" s="43" t="str">
        <f t="shared" si="2504"/>
        <v/>
      </c>
      <c r="DW155" s="43" t="str">
        <f t="shared" si="2505"/>
        <v/>
      </c>
      <c r="DX155" s="43" t="str">
        <f t="shared" si="2506"/>
        <v/>
      </c>
      <c r="DY155" s="43" t="str">
        <f t="shared" si="2507"/>
        <v/>
      </c>
      <c r="DZ155" s="43" t="str">
        <f t="shared" si="2508"/>
        <v/>
      </c>
      <c r="EA155" s="43" t="str">
        <f t="shared" si="2509"/>
        <v/>
      </c>
      <c r="EB155" s="43" t="str">
        <f t="shared" si="2510"/>
        <v/>
      </c>
      <c r="EC155" s="43" t="str">
        <f t="shared" si="2511"/>
        <v/>
      </c>
      <c r="ED155" s="43" t="str">
        <f t="shared" si="2512"/>
        <v/>
      </c>
      <c r="EE155" s="43" t="str">
        <f t="shared" si="2513"/>
        <v/>
      </c>
      <c r="EF155" s="43" t="str">
        <f t="shared" si="2514"/>
        <v/>
      </c>
      <c r="EG155" s="43" t="str">
        <f t="shared" si="2515"/>
        <v/>
      </c>
      <c r="EH155" s="43" t="str">
        <f t="shared" si="2516"/>
        <v/>
      </c>
      <c r="EI155" s="43" t="str">
        <f t="shared" si="2517"/>
        <v/>
      </c>
      <c r="EJ155" s="43" t="str">
        <f t="shared" si="2518"/>
        <v/>
      </c>
      <c r="EK155" s="43" t="str">
        <f t="shared" si="2519"/>
        <v/>
      </c>
      <c r="EL155" s="43" t="str">
        <f t="shared" si="2520"/>
        <v/>
      </c>
      <c r="EM155" s="43" t="str">
        <f t="shared" si="2521"/>
        <v/>
      </c>
      <c r="EN155" s="43" t="str">
        <f t="shared" si="2522"/>
        <v/>
      </c>
      <c r="EO155" s="43" t="str">
        <f t="shared" si="2523"/>
        <v/>
      </c>
      <c r="EP155" s="43" t="str">
        <f t="shared" si="2524"/>
        <v/>
      </c>
      <c r="EQ155" s="43" t="str">
        <f t="shared" si="2525"/>
        <v/>
      </c>
      <c r="ER155" s="43" t="str">
        <f t="shared" si="2526"/>
        <v/>
      </c>
      <c r="ES155" s="43" t="str">
        <f t="shared" si="2527"/>
        <v/>
      </c>
      <c r="ET155" s="43" t="str">
        <f t="shared" si="2528"/>
        <v/>
      </c>
      <c r="EU155" s="43" t="str">
        <f t="shared" si="2529"/>
        <v/>
      </c>
      <c r="EV155" s="43" t="str">
        <f t="shared" si="2530"/>
        <v/>
      </c>
      <c r="EW155" s="43" t="str">
        <f t="shared" si="2531"/>
        <v/>
      </c>
      <c r="EX155" s="43" t="str">
        <f t="shared" si="2532"/>
        <v/>
      </c>
      <c r="EY155" s="43" t="str">
        <f t="shared" si="2533"/>
        <v/>
      </c>
      <c r="EZ155" s="43" t="str">
        <f t="shared" si="2534"/>
        <v/>
      </c>
      <c r="FA155" s="43" t="str">
        <f t="shared" si="2535"/>
        <v/>
      </c>
      <c r="FB155" s="43" t="str">
        <f t="shared" si="2536"/>
        <v/>
      </c>
      <c r="FC155" s="43" t="str">
        <f t="shared" si="2537"/>
        <v/>
      </c>
      <c r="FD155" s="43" t="str">
        <f t="shared" si="2538"/>
        <v/>
      </c>
      <c r="FE155" s="43" t="str">
        <f t="shared" si="2539"/>
        <v/>
      </c>
      <c r="FF155" s="43" t="str">
        <f t="shared" si="2540"/>
        <v/>
      </c>
      <c r="FG155" s="43" t="str">
        <f t="shared" si="2541"/>
        <v/>
      </c>
      <c r="FH155" s="43" t="str">
        <f t="shared" si="2542"/>
        <v/>
      </c>
      <c r="FI155" s="43" t="str">
        <f t="shared" si="2543"/>
        <v/>
      </c>
      <c r="FJ155" s="43" t="str">
        <f t="shared" si="2544"/>
        <v/>
      </c>
      <c r="FK155" s="43" t="str">
        <f t="shared" si="2545"/>
        <v/>
      </c>
      <c r="FL155" s="43" t="str">
        <f t="shared" si="2546"/>
        <v/>
      </c>
      <c r="FM155" s="43" t="str">
        <f t="shared" si="2547"/>
        <v/>
      </c>
      <c r="FN155" s="43" t="str">
        <f t="shared" si="2548"/>
        <v/>
      </c>
      <c r="FO155" s="43" t="str">
        <f t="shared" si="2549"/>
        <v/>
      </c>
      <c r="FP155" s="43" t="str">
        <f t="shared" si="2550"/>
        <v/>
      </c>
      <c r="FQ155" s="43" t="str">
        <f t="shared" si="2551"/>
        <v/>
      </c>
      <c r="FR155" s="43" t="str">
        <f t="shared" si="2552"/>
        <v/>
      </c>
      <c r="FS155" s="43" t="str">
        <f t="shared" si="2553"/>
        <v/>
      </c>
    </row>
    <row r="156" ht="15" spans="1:175">
      <c r="A156" s="88"/>
      <c r="B156" s="4" t="s">
        <v>528</v>
      </c>
      <c r="C156" s="88" t="s">
        <v>529</v>
      </c>
      <c r="R156" s="37">
        <v>-7896</v>
      </c>
      <c r="S156" s="37">
        <v>3839</v>
      </c>
      <c r="T156" s="88" t="s">
        <v>530</v>
      </c>
      <c r="U156" s="59" t="str">
        <f t="shared" si="1168"/>
        <v>ReplaceableTextures\\CommandButtons\\BTNIT06.blp</v>
      </c>
      <c r="CN156" s="12" t="str">
        <f t="shared" si="2406"/>
        <v>InitUnitState('IT06',,,,,,,,,,)</v>
      </c>
      <c r="CO156" s="12" t="str">
        <f t="shared" si="2407"/>
        <v>InitUnitNormal('IT06',,,,,,,,,,)</v>
      </c>
      <c r="CP156" s="12" t="str">
        <f t="shared" si="2408"/>
        <v>InitUnitMagic('IT06',,,,,,,,,,)</v>
      </c>
      <c r="CQ156" s="12" t="str">
        <f t="shared" si="2409"/>
        <v>InitUnitAdd('IT06',,,,,,,,,,)</v>
      </c>
      <c r="CR156" s="12" t="str">
        <f t="shared" si="2410"/>
        <v>InitEquipData('IT06',,"",,,,,'','','','','','',"ReplaceableTextures\\CommandButtons\\BTNIT07.blp")</v>
      </c>
      <c r="CU156" s="71" t="str">
        <f t="shared" si="2483"/>
        <v>|n</v>
      </c>
      <c r="CV156" s="5" t="str">
        <f t="shared" si="2554"/>
        <v>渡过该劫后可结成|Cff00bfff地级道果|r。|n|n|Cff00bfff地级道果：|r|n攻击+4000|n法强+4000|n生命值+8000|n|Cffffd24d元神力+9|r|n|n|n|Cff00ff7f战力推荐：|r|n</v>
      </c>
      <c r="CW156" s="6"/>
      <c r="CX156" s="6"/>
      <c r="CY156" s="6"/>
      <c r="CZ156" s="6"/>
      <c r="DA156" s="6"/>
      <c r="DB156" s="43" t="str">
        <f t="shared" si="2484"/>
        <v/>
      </c>
      <c r="DC156" s="43" t="str">
        <f t="shared" si="2485"/>
        <v/>
      </c>
      <c r="DD156" s="43" t="str">
        <f t="shared" si="2486"/>
        <v/>
      </c>
      <c r="DE156" s="43" t="str">
        <f t="shared" si="2487"/>
        <v/>
      </c>
      <c r="DF156" s="43" t="str">
        <f t="shared" si="2488"/>
        <v/>
      </c>
      <c r="DG156" s="43" t="str">
        <f t="shared" si="2489"/>
        <v/>
      </c>
      <c r="DH156" s="43" t="str">
        <f t="shared" si="2490"/>
        <v/>
      </c>
      <c r="DI156" s="43" t="str">
        <f t="shared" si="2491"/>
        <v/>
      </c>
      <c r="DJ156" s="43" t="str">
        <f t="shared" si="2492"/>
        <v/>
      </c>
      <c r="DK156" s="43" t="str">
        <f t="shared" si="2493"/>
        <v/>
      </c>
      <c r="DL156" s="43" t="str">
        <f t="shared" si="2494"/>
        <v/>
      </c>
      <c r="DM156" s="43" t="str">
        <f t="shared" si="2495"/>
        <v/>
      </c>
      <c r="DN156" s="43" t="str">
        <f t="shared" si="2496"/>
        <v/>
      </c>
      <c r="DO156" s="43" t="str">
        <f t="shared" si="2497"/>
        <v/>
      </c>
      <c r="DP156" s="43" t="str">
        <f t="shared" si="2498"/>
        <v/>
      </c>
      <c r="DQ156" s="43" t="str">
        <f t="shared" si="2499"/>
        <v/>
      </c>
      <c r="DR156" s="43" t="str">
        <f t="shared" si="2500"/>
        <v/>
      </c>
      <c r="DS156" s="43" t="str">
        <f t="shared" si="2501"/>
        <v/>
      </c>
      <c r="DT156" s="43" t="str">
        <f t="shared" si="2502"/>
        <v/>
      </c>
      <c r="DU156" s="43" t="str">
        <f t="shared" si="2503"/>
        <v/>
      </c>
      <c r="DV156" s="43" t="str">
        <f t="shared" si="2504"/>
        <v/>
      </c>
      <c r="DW156" s="43" t="str">
        <f t="shared" si="2505"/>
        <v/>
      </c>
      <c r="DX156" s="43" t="str">
        <f t="shared" si="2506"/>
        <v/>
      </c>
      <c r="DY156" s="43" t="str">
        <f t="shared" si="2507"/>
        <v/>
      </c>
      <c r="DZ156" s="43" t="str">
        <f t="shared" si="2508"/>
        <v/>
      </c>
      <c r="EA156" s="43" t="str">
        <f t="shared" si="2509"/>
        <v/>
      </c>
      <c r="EB156" s="43" t="str">
        <f t="shared" si="2510"/>
        <v/>
      </c>
      <c r="EC156" s="43" t="str">
        <f t="shared" si="2511"/>
        <v/>
      </c>
      <c r="ED156" s="43" t="str">
        <f t="shared" si="2512"/>
        <v/>
      </c>
      <c r="EE156" s="43" t="str">
        <f t="shared" si="2513"/>
        <v/>
      </c>
      <c r="EF156" s="43" t="str">
        <f t="shared" si="2514"/>
        <v/>
      </c>
      <c r="EG156" s="43" t="str">
        <f t="shared" si="2515"/>
        <v/>
      </c>
      <c r="EH156" s="43" t="str">
        <f t="shared" si="2516"/>
        <v/>
      </c>
      <c r="EI156" s="43" t="str">
        <f t="shared" si="2517"/>
        <v/>
      </c>
      <c r="EJ156" s="43" t="str">
        <f t="shared" si="2518"/>
        <v/>
      </c>
      <c r="EK156" s="43" t="str">
        <f t="shared" si="2519"/>
        <v/>
      </c>
      <c r="EL156" s="43" t="str">
        <f t="shared" si="2520"/>
        <v/>
      </c>
      <c r="EM156" s="43" t="str">
        <f t="shared" si="2521"/>
        <v/>
      </c>
      <c r="EN156" s="43" t="str">
        <f t="shared" si="2522"/>
        <v/>
      </c>
      <c r="EO156" s="43" t="str">
        <f t="shared" si="2523"/>
        <v/>
      </c>
      <c r="EP156" s="43" t="str">
        <f t="shared" si="2524"/>
        <v/>
      </c>
      <c r="EQ156" s="43" t="str">
        <f t="shared" si="2525"/>
        <v/>
      </c>
      <c r="ER156" s="43" t="str">
        <f t="shared" si="2526"/>
        <v/>
      </c>
      <c r="ES156" s="43" t="str">
        <f t="shared" si="2527"/>
        <v/>
      </c>
      <c r="ET156" s="43" t="str">
        <f t="shared" si="2528"/>
        <v/>
      </c>
      <c r="EU156" s="43" t="str">
        <f t="shared" si="2529"/>
        <v/>
      </c>
      <c r="EV156" s="43" t="str">
        <f t="shared" si="2530"/>
        <v/>
      </c>
      <c r="EW156" s="43" t="str">
        <f t="shared" si="2531"/>
        <v/>
      </c>
      <c r="EX156" s="43" t="str">
        <f t="shared" si="2532"/>
        <v/>
      </c>
      <c r="EY156" s="43" t="str">
        <f t="shared" si="2533"/>
        <v/>
      </c>
      <c r="EZ156" s="43" t="str">
        <f t="shared" si="2534"/>
        <v/>
      </c>
      <c r="FA156" s="43" t="str">
        <f t="shared" si="2535"/>
        <v/>
      </c>
      <c r="FB156" s="43" t="str">
        <f t="shared" si="2536"/>
        <v/>
      </c>
      <c r="FC156" s="43" t="str">
        <f t="shared" si="2537"/>
        <v/>
      </c>
      <c r="FD156" s="43" t="str">
        <f t="shared" si="2538"/>
        <v/>
      </c>
      <c r="FE156" s="43" t="str">
        <f t="shared" si="2539"/>
        <v/>
      </c>
      <c r="FF156" s="43" t="str">
        <f t="shared" si="2540"/>
        <v/>
      </c>
      <c r="FG156" s="43" t="str">
        <f t="shared" si="2541"/>
        <v/>
      </c>
      <c r="FH156" s="43" t="str">
        <f t="shared" si="2542"/>
        <v/>
      </c>
      <c r="FI156" s="43" t="str">
        <f t="shared" si="2543"/>
        <v/>
      </c>
      <c r="FJ156" s="43" t="str">
        <f t="shared" si="2544"/>
        <v/>
      </c>
      <c r="FK156" s="43" t="str">
        <f t="shared" si="2545"/>
        <v/>
      </c>
      <c r="FL156" s="43" t="str">
        <f t="shared" si="2546"/>
        <v/>
      </c>
      <c r="FM156" s="43" t="str">
        <f t="shared" si="2547"/>
        <v/>
      </c>
      <c r="FN156" s="43" t="str">
        <f t="shared" si="2548"/>
        <v/>
      </c>
      <c r="FO156" s="43" t="str">
        <f t="shared" si="2549"/>
        <v/>
      </c>
      <c r="FP156" s="43" t="str">
        <f t="shared" si="2550"/>
        <v/>
      </c>
      <c r="FQ156" s="43" t="str">
        <f t="shared" si="2551"/>
        <v/>
      </c>
      <c r="FR156" s="43" t="str">
        <f t="shared" si="2552"/>
        <v/>
      </c>
      <c r="FS156" s="43" t="str">
        <f t="shared" si="2553"/>
        <v/>
      </c>
    </row>
    <row r="157" ht="15" spans="1:175">
      <c r="A157" s="88"/>
      <c r="B157" s="4" t="s">
        <v>531</v>
      </c>
      <c r="C157" s="88" t="s">
        <v>532</v>
      </c>
      <c r="R157" s="37">
        <v>-7896</v>
      </c>
      <c r="S157" s="37">
        <v>5906</v>
      </c>
      <c r="T157" s="88" t="s">
        <v>533</v>
      </c>
      <c r="U157" s="59" t="str">
        <f t="shared" si="1168"/>
        <v>ReplaceableTextures\\CommandButtons\\BTNIT07.blp</v>
      </c>
      <c r="CN157" s="12" t="str">
        <f t="shared" si="2406"/>
        <v>InitUnitState('IT07',,,,,,,,,,)</v>
      </c>
      <c r="CO157" s="12" t="str">
        <f t="shared" si="2407"/>
        <v>InitUnitNormal('IT07',,,,,,,,,,)</v>
      </c>
      <c r="CP157" s="12" t="str">
        <f t="shared" si="2408"/>
        <v>InitUnitMagic('IT07',,,,,,,,,,)</v>
      </c>
      <c r="CQ157" s="12" t="str">
        <f t="shared" si="2409"/>
        <v>InitUnitAdd('IT07',,,,,,,,,,)</v>
      </c>
      <c r="CR157" s="12" t="str">
        <f t="shared" si="2410"/>
        <v>InitEquipData('IT07',,"",,,,,'','','','','','',"ReplaceableTextures\\CommandButtons\\BTNIT08.blp")</v>
      </c>
      <c r="CU157" s="71" t="str">
        <f t="shared" si="2483"/>
        <v>|n</v>
      </c>
      <c r="CV157" s="5" t="str">
        <f t="shared" si="2554"/>
        <v>渡过该劫后可结成|Cffffc926天级道果|r。|n|n|Cffffc926天级道果：|r|n攻击+5000|n法强+5000|n生命值+10000|n|Cffffd24d元神力+11|r|n|n|Cff00ff7f战力推荐：|r|n</v>
      </c>
      <c r="CW157" s="6"/>
      <c r="CX157" s="6"/>
      <c r="CY157" s="6"/>
      <c r="CZ157" s="6"/>
      <c r="DA157" s="6"/>
      <c r="DB157" s="43" t="str">
        <f t="shared" si="2484"/>
        <v/>
      </c>
      <c r="DC157" s="43" t="str">
        <f t="shared" si="2485"/>
        <v/>
      </c>
      <c r="DD157" s="43" t="str">
        <f t="shared" si="2486"/>
        <v/>
      </c>
      <c r="DE157" s="43" t="str">
        <f t="shared" si="2487"/>
        <v/>
      </c>
      <c r="DF157" s="43" t="str">
        <f t="shared" si="2488"/>
        <v/>
      </c>
      <c r="DG157" s="43" t="str">
        <f t="shared" si="2489"/>
        <v/>
      </c>
      <c r="DH157" s="43" t="str">
        <f t="shared" si="2490"/>
        <v/>
      </c>
      <c r="DI157" s="43" t="str">
        <f t="shared" si="2491"/>
        <v/>
      </c>
      <c r="DJ157" s="43" t="str">
        <f t="shared" si="2492"/>
        <v/>
      </c>
      <c r="DK157" s="43" t="str">
        <f t="shared" si="2493"/>
        <v/>
      </c>
      <c r="DL157" s="43" t="str">
        <f t="shared" si="2494"/>
        <v/>
      </c>
      <c r="DM157" s="43" t="str">
        <f t="shared" si="2495"/>
        <v/>
      </c>
      <c r="DN157" s="43" t="str">
        <f t="shared" si="2496"/>
        <v/>
      </c>
      <c r="DO157" s="43" t="str">
        <f t="shared" si="2497"/>
        <v/>
      </c>
      <c r="DP157" s="43" t="str">
        <f t="shared" si="2498"/>
        <v/>
      </c>
      <c r="DQ157" s="43" t="str">
        <f t="shared" si="2499"/>
        <v/>
      </c>
      <c r="DR157" s="43" t="str">
        <f t="shared" si="2500"/>
        <v/>
      </c>
      <c r="DS157" s="43" t="str">
        <f t="shared" si="2501"/>
        <v/>
      </c>
      <c r="DT157" s="43" t="str">
        <f t="shared" si="2502"/>
        <v/>
      </c>
      <c r="DU157" s="43" t="str">
        <f t="shared" si="2503"/>
        <v/>
      </c>
      <c r="DV157" s="43" t="str">
        <f t="shared" si="2504"/>
        <v/>
      </c>
      <c r="DW157" s="43" t="str">
        <f t="shared" si="2505"/>
        <v/>
      </c>
      <c r="DX157" s="43" t="str">
        <f t="shared" si="2506"/>
        <v/>
      </c>
      <c r="DY157" s="43" t="str">
        <f t="shared" si="2507"/>
        <v/>
      </c>
      <c r="DZ157" s="43" t="str">
        <f t="shared" si="2508"/>
        <v/>
      </c>
      <c r="EA157" s="43" t="str">
        <f t="shared" si="2509"/>
        <v/>
      </c>
      <c r="EB157" s="43" t="str">
        <f t="shared" si="2510"/>
        <v/>
      </c>
      <c r="EC157" s="43" t="str">
        <f t="shared" si="2511"/>
        <v/>
      </c>
      <c r="ED157" s="43" t="str">
        <f t="shared" si="2512"/>
        <v/>
      </c>
      <c r="EE157" s="43" t="str">
        <f t="shared" si="2513"/>
        <v/>
      </c>
      <c r="EF157" s="43" t="str">
        <f t="shared" si="2514"/>
        <v/>
      </c>
      <c r="EG157" s="43" t="str">
        <f t="shared" si="2515"/>
        <v/>
      </c>
      <c r="EH157" s="43" t="str">
        <f t="shared" si="2516"/>
        <v/>
      </c>
      <c r="EI157" s="43" t="str">
        <f t="shared" si="2517"/>
        <v/>
      </c>
      <c r="EJ157" s="43" t="str">
        <f t="shared" si="2518"/>
        <v/>
      </c>
      <c r="EK157" s="43" t="str">
        <f t="shared" si="2519"/>
        <v/>
      </c>
      <c r="EL157" s="43" t="str">
        <f t="shared" si="2520"/>
        <v/>
      </c>
      <c r="EM157" s="43" t="str">
        <f t="shared" si="2521"/>
        <v/>
      </c>
      <c r="EN157" s="43" t="str">
        <f t="shared" si="2522"/>
        <v/>
      </c>
      <c r="EO157" s="43" t="str">
        <f t="shared" si="2523"/>
        <v/>
      </c>
      <c r="EP157" s="43" t="str">
        <f t="shared" si="2524"/>
        <v/>
      </c>
      <c r="EQ157" s="43" t="str">
        <f t="shared" si="2525"/>
        <v/>
      </c>
      <c r="ER157" s="43" t="str">
        <f t="shared" si="2526"/>
        <v/>
      </c>
      <c r="ES157" s="43" t="str">
        <f t="shared" si="2527"/>
        <v/>
      </c>
      <c r="ET157" s="43" t="str">
        <f t="shared" si="2528"/>
        <v/>
      </c>
      <c r="EU157" s="43" t="str">
        <f t="shared" si="2529"/>
        <v/>
      </c>
      <c r="EV157" s="43" t="str">
        <f t="shared" si="2530"/>
        <v/>
      </c>
      <c r="EW157" s="43" t="str">
        <f t="shared" si="2531"/>
        <v/>
      </c>
      <c r="EX157" s="43" t="str">
        <f t="shared" si="2532"/>
        <v/>
      </c>
      <c r="EY157" s="43" t="str">
        <f t="shared" si="2533"/>
        <v/>
      </c>
      <c r="EZ157" s="43" t="str">
        <f t="shared" si="2534"/>
        <v/>
      </c>
      <c r="FA157" s="43" t="str">
        <f t="shared" si="2535"/>
        <v/>
      </c>
      <c r="FB157" s="43" t="str">
        <f t="shared" si="2536"/>
        <v/>
      </c>
      <c r="FC157" s="43" t="str">
        <f t="shared" si="2537"/>
        <v/>
      </c>
      <c r="FD157" s="43" t="str">
        <f t="shared" si="2538"/>
        <v/>
      </c>
      <c r="FE157" s="43" t="str">
        <f t="shared" si="2539"/>
        <v/>
      </c>
      <c r="FF157" s="43" t="str">
        <f t="shared" si="2540"/>
        <v/>
      </c>
      <c r="FG157" s="43" t="str">
        <f t="shared" si="2541"/>
        <v/>
      </c>
      <c r="FH157" s="43" t="str">
        <f t="shared" si="2542"/>
        <v/>
      </c>
      <c r="FI157" s="43" t="str">
        <f t="shared" si="2543"/>
        <v/>
      </c>
      <c r="FJ157" s="43" t="str">
        <f t="shared" si="2544"/>
        <v/>
      </c>
      <c r="FK157" s="43" t="str">
        <f t="shared" si="2545"/>
        <v/>
      </c>
      <c r="FL157" s="43" t="str">
        <f t="shared" si="2546"/>
        <v/>
      </c>
      <c r="FM157" s="43" t="str">
        <f t="shared" si="2547"/>
        <v/>
      </c>
      <c r="FN157" s="43" t="str">
        <f t="shared" si="2548"/>
        <v/>
      </c>
      <c r="FO157" s="43" t="str">
        <f t="shared" si="2549"/>
        <v/>
      </c>
      <c r="FP157" s="43" t="str">
        <f t="shared" si="2550"/>
        <v/>
      </c>
      <c r="FQ157" s="43" t="str">
        <f t="shared" si="2551"/>
        <v/>
      </c>
      <c r="FR157" s="43" t="str">
        <f t="shared" si="2552"/>
        <v/>
      </c>
      <c r="FS157" s="43" t="str">
        <f t="shared" si="2553"/>
        <v/>
      </c>
    </row>
    <row r="158" ht="15" spans="1:175">
      <c r="A158" s="88" t="s">
        <v>534</v>
      </c>
      <c r="B158" s="4" t="s">
        <v>535</v>
      </c>
      <c r="C158" s="88" t="s">
        <v>536</v>
      </c>
      <c r="R158" s="37">
        <v>-7970</v>
      </c>
      <c r="S158" s="37">
        <v>7965</v>
      </c>
      <c r="T158" s="88" t="s">
        <v>537</v>
      </c>
      <c r="U158" s="59" t="str">
        <f t="shared" si="1168"/>
        <v>ReplaceableTextures\\CommandButtons\\BTNIT08.blp</v>
      </c>
      <c r="CN158" s="12" t="str">
        <f t="shared" si="2406"/>
        <v>InitUnitState('IT08',,,,,,,,,,)</v>
      </c>
      <c r="CO158" s="12" t="str">
        <f t="shared" si="2407"/>
        <v>InitUnitNormal('IT08',,,,,,,,,,)</v>
      </c>
      <c r="CP158" s="12" t="str">
        <f t="shared" si="2408"/>
        <v>InitUnitMagic('IT08',,,,,,,,,,)</v>
      </c>
      <c r="CQ158" s="12" t="str">
        <f t="shared" si="2409"/>
        <v>InitUnitAdd('IT08',,,,,,,,,,)</v>
      </c>
      <c r="CR158" s="12" t="str">
        <f t="shared" si="2410"/>
        <v>InitEquipData('IT08',,".",,,,,'','','','','','',"ReplaceableTextures\\CommandButtons\\BTNIT09.blp")</v>
      </c>
      <c r="CU158" s="71" t="str">
        <f t="shared" si="2483"/>
        <v>|n</v>
      </c>
      <c r="CV158" s="5" t="str">
        <f t="shared" si="2554"/>
        <v>渡过该劫后可结成|Cffffc926仙品道果|r。|n|n|Cffffc926仙品道果：|r|n攻击+6500|n法强+6500|n生命值+13000|n|Cffffd24d元神力+13|r|n|n|Cff00ff7f战力推荐：|r</v>
      </c>
      <c r="CW158" s="6"/>
      <c r="CX158" s="6"/>
      <c r="CY158" s="6"/>
      <c r="CZ158" s="6"/>
      <c r="DA158" s="6"/>
      <c r="DB158" s="43" t="str">
        <f t="shared" si="2484"/>
        <v/>
      </c>
      <c r="DC158" s="43" t="str">
        <f t="shared" si="2485"/>
        <v/>
      </c>
      <c r="DD158" s="43" t="str">
        <f t="shared" si="2486"/>
        <v/>
      </c>
      <c r="DE158" s="43" t="str">
        <f t="shared" si="2487"/>
        <v/>
      </c>
      <c r="DF158" s="43" t="str">
        <f t="shared" si="2488"/>
        <v/>
      </c>
      <c r="DG158" s="43" t="str">
        <f t="shared" si="2489"/>
        <v/>
      </c>
      <c r="DH158" s="43" t="str">
        <f t="shared" si="2490"/>
        <v/>
      </c>
      <c r="DI158" s="43" t="str">
        <f t="shared" si="2491"/>
        <v/>
      </c>
      <c r="DJ158" s="43" t="str">
        <f t="shared" si="2492"/>
        <v/>
      </c>
      <c r="DK158" s="43" t="str">
        <f t="shared" si="2493"/>
        <v/>
      </c>
      <c r="DL158" s="43" t="str">
        <f t="shared" si="2494"/>
        <v/>
      </c>
      <c r="DM158" s="43" t="str">
        <f t="shared" si="2495"/>
        <v/>
      </c>
      <c r="DN158" s="43" t="str">
        <f t="shared" si="2496"/>
        <v/>
      </c>
      <c r="DO158" s="43" t="str">
        <f t="shared" si="2497"/>
        <v/>
      </c>
      <c r="DP158" s="43" t="str">
        <f t="shared" si="2498"/>
        <v/>
      </c>
      <c r="DQ158" s="43" t="str">
        <f t="shared" si="2499"/>
        <v/>
      </c>
      <c r="DR158" s="43" t="str">
        <f t="shared" si="2500"/>
        <v/>
      </c>
      <c r="DS158" s="43" t="str">
        <f t="shared" si="2501"/>
        <v/>
      </c>
      <c r="DT158" s="43" t="str">
        <f t="shared" si="2502"/>
        <v/>
      </c>
      <c r="DU158" s="43" t="str">
        <f t="shared" si="2503"/>
        <v/>
      </c>
      <c r="DV158" s="43" t="str">
        <f t="shared" si="2504"/>
        <v/>
      </c>
      <c r="DW158" s="43" t="str">
        <f t="shared" si="2505"/>
        <v/>
      </c>
      <c r="DX158" s="43" t="str">
        <f t="shared" si="2506"/>
        <v/>
      </c>
      <c r="DY158" s="43" t="str">
        <f t="shared" si="2507"/>
        <v/>
      </c>
      <c r="DZ158" s="43" t="str">
        <f t="shared" si="2508"/>
        <v/>
      </c>
      <c r="EA158" s="43" t="str">
        <f t="shared" si="2509"/>
        <v/>
      </c>
      <c r="EB158" s="43" t="str">
        <f t="shared" si="2510"/>
        <v/>
      </c>
      <c r="EC158" s="43" t="str">
        <f t="shared" si="2511"/>
        <v/>
      </c>
      <c r="ED158" s="43" t="str">
        <f t="shared" si="2512"/>
        <v/>
      </c>
      <c r="EE158" s="43" t="str">
        <f t="shared" si="2513"/>
        <v/>
      </c>
      <c r="EF158" s="43" t="str">
        <f t="shared" si="2514"/>
        <v/>
      </c>
      <c r="EG158" s="43" t="str">
        <f t="shared" si="2515"/>
        <v/>
      </c>
      <c r="EH158" s="43" t="str">
        <f t="shared" si="2516"/>
        <v/>
      </c>
      <c r="EI158" s="43" t="str">
        <f t="shared" si="2517"/>
        <v/>
      </c>
      <c r="EJ158" s="43" t="str">
        <f t="shared" si="2518"/>
        <v/>
      </c>
      <c r="EK158" s="43" t="str">
        <f t="shared" si="2519"/>
        <v/>
      </c>
      <c r="EL158" s="43" t="str">
        <f t="shared" si="2520"/>
        <v/>
      </c>
      <c r="EM158" s="43" t="str">
        <f t="shared" si="2521"/>
        <v/>
      </c>
      <c r="EN158" s="43" t="str">
        <f t="shared" si="2522"/>
        <v/>
      </c>
      <c r="EO158" s="43" t="str">
        <f t="shared" si="2523"/>
        <v/>
      </c>
      <c r="EP158" s="43" t="str">
        <f t="shared" si="2524"/>
        <v/>
      </c>
      <c r="EQ158" s="43" t="str">
        <f t="shared" si="2525"/>
        <v/>
      </c>
      <c r="ER158" s="43" t="str">
        <f t="shared" si="2526"/>
        <v/>
      </c>
      <c r="ES158" s="43" t="str">
        <f t="shared" si="2527"/>
        <v/>
      </c>
      <c r="ET158" s="43" t="str">
        <f t="shared" si="2528"/>
        <v/>
      </c>
      <c r="EU158" s="43" t="str">
        <f t="shared" si="2529"/>
        <v/>
      </c>
      <c r="EV158" s="43" t="str">
        <f t="shared" si="2530"/>
        <v/>
      </c>
      <c r="EW158" s="43" t="str">
        <f t="shared" si="2531"/>
        <v/>
      </c>
      <c r="EX158" s="43" t="str">
        <f t="shared" si="2532"/>
        <v/>
      </c>
      <c r="EY158" s="43" t="str">
        <f t="shared" si="2533"/>
        <v/>
      </c>
      <c r="EZ158" s="43" t="str">
        <f t="shared" si="2534"/>
        <v/>
      </c>
      <c r="FA158" s="43" t="str">
        <f t="shared" si="2535"/>
        <v/>
      </c>
      <c r="FB158" s="43" t="str">
        <f t="shared" si="2536"/>
        <v/>
      </c>
      <c r="FC158" s="43" t="str">
        <f t="shared" si="2537"/>
        <v/>
      </c>
      <c r="FD158" s="43" t="str">
        <f t="shared" si="2538"/>
        <v/>
      </c>
      <c r="FE158" s="43" t="str">
        <f t="shared" si="2539"/>
        <v/>
      </c>
      <c r="FF158" s="43" t="str">
        <f t="shared" si="2540"/>
        <v/>
      </c>
      <c r="FG158" s="43" t="str">
        <f t="shared" si="2541"/>
        <v/>
      </c>
      <c r="FH158" s="43" t="str">
        <f t="shared" si="2542"/>
        <v/>
      </c>
      <c r="FI158" s="43" t="str">
        <f t="shared" si="2543"/>
        <v/>
      </c>
      <c r="FJ158" s="43" t="str">
        <f t="shared" si="2544"/>
        <v/>
      </c>
      <c r="FK158" s="43" t="str">
        <f t="shared" si="2545"/>
        <v/>
      </c>
      <c r="FL158" s="43" t="str">
        <f t="shared" si="2546"/>
        <v/>
      </c>
      <c r="FM158" s="43" t="str">
        <f t="shared" si="2547"/>
        <v/>
      </c>
      <c r="FN158" s="43" t="str">
        <f t="shared" si="2548"/>
        <v/>
      </c>
      <c r="FO158" s="43" t="str">
        <f t="shared" si="2549"/>
        <v/>
      </c>
      <c r="FP158" s="43" t="str">
        <f t="shared" si="2550"/>
        <v/>
      </c>
      <c r="FQ158" s="43" t="str">
        <f t="shared" si="2551"/>
        <v/>
      </c>
      <c r="FR158" s="43" t="str">
        <f t="shared" si="2552"/>
        <v/>
      </c>
      <c r="FS158" s="43" t="str">
        <f t="shared" si="2553"/>
        <v/>
      </c>
    </row>
    <row r="159" ht="15" spans="1:175">
      <c r="A159" s="88"/>
      <c r="B159" s="4" t="s">
        <v>538</v>
      </c>
      <c r="C159" s="88" t="s">
        <v>539</v>
      </c>
      <c r="R159" s="37">
        <v>2100</v>
      </c>
      <c r="S159" s="37">
        <v>-5120</v>
      </c>
      <c r="T159" s="88" t="s">
        <v>540</v>
      </c>
      <c r="U159" s="59" t="str">
        <f t="shared" si="1168"/>
        <v>ReplaceableTextures\\CommandButtons\\BTNIT09.blp</v>
      </c>
      <c r="CN159" s="12" t="str">
        <f t="shared" si="2406"/>
        <v>InitUnitState('IT09',,,,,,,,,,)</v>
      </c>
      <c r="CO159" s="12" t="str">
        <f t="shared" si="2407"/>
        <v>InitUnitNormal('IT09',,,,,,,,,,)</v>
      </c>
      <c r="CP159" s="12" t="str">
        <f t="shared" si="2408"/>
        <v>InitUnitMagic('IT09',,,,,,,,,,)</v>
      </c>
      <c r="CQ159" s="12" t="str">
        <f t="shared" si="2409"/>
        <v>InitUnitAdd('IT09',,,,,,,,,,)</v>
      </c>
      <c r="CR159" s="12" t="str">
        <f t="shared" si="2410"/>
        <v>InitEquipData('IT09',,"",,,,,'','','','','','',"ReplaceableTextures\\CommandButtons\\BTNIT10.blp")</v>
      </c>
      <c r="CU159" s="71" t="str">
        <f t="shared" si="2483"/>
        <v>|n</v>
      </c>
      <c r="CV159" s="5" t="str">
        <f t="shared" si="2554"/>
        <v>渡过该劫后可结成|Cffff0000至圣道果|r。|n|n|Cffff0000至圣道果：|r|n攻击+8000|n法强+8000|n生命值+16000|n|Cffffd24d元神力+16|r|n|n|Cff00ff7f战力推荐：|r</v>
      </c>
      <c r="CW159" s="6"/>
      <c r="CX159" s="6"/>
      <c r="CY159" s="6"/>
      <c r="CZ159" s="6"/>
      <c r="DA159" s="6"/>
      <c r="DB159" s="43" t="str">
        <f t="shared" si="2484"/>
        <v/>
      </c>
      <c r="DC159" s="43" t="str">
        <f t="shared" si="2485"/>
        <v/>
      </c>
      <c r="DD159" s="43" t="str">
        <f t="shared" si="2486"/>
        <v/>
      </c>
      <c r="DE159" s="43" t="str">
        <f t="shared" si="2487"/>
        <v/>
      </c>
      <c r="DF159" s="43" t="str">
        <f t="shared" si="2488"/>
        <v/>
      </c>
      <c r="DG159" s="43" t="str">
        <f t="shared" si="2489"/>
        <v/>
      </c>
      <c r="DH159" s="43" t="str">
        <f t="shared" si="2490"/>
        <v/>
      </c>
      <c r="DI159" s="43" t="str">
        <f t="shared" si="2491"/>
        <v/>
      </c>
      <c r="DJ159" s="43" t="str">
        <f t="shared" si="2492"/>
        <v/>
      </c>
      <c r="DK159" s="43" t="str">
        <f t="shared" si="2493"/>
        <v/>
      </c>
      <c r="DL159" s="43" t="str">
        <f t="shared" si="2494"/>
        <v/>
      </c>
      <c r="DM159" s="43" t="str">
        <f t="shared" si="2495"/>
        <v/>
      </c>
      <c r="DN159" s="43" t="str">
        <f t="shared" si="2496"/>
        <v/>
      </c>
      <c r="DO159" s="43" t="str">
        <f t="shared" si="2497"/>
        <v/>
      </c>
      <c r="DP159" s="43" t="str">
        <f t="shared" si="2498"/>
        <v/>
      </c>
      <c r="DQ159" s="43" t="str">
        <f t="shared" si="2499"/>
        <v/>
      </c>
      <c r="DR159" s="43" t="str">
        <f t="shared" si="2500"/>
        <v/>
      </c>
      <c r="DS159" s="43" t="str">
        <f t="shared" si="2501"/>
        <v/>
      </c>
      <c r="DT159" s="43" t="str">
        <f t="shared" si="2502"/>
        <v/>
      </c>
      <c r="DU159" s="43" t="str">
        <f t="shared" si="2503"/>
        <v/>
      </c>
      <c r="DV159" s="43" t="str">
        <f t="shared" si="2504"/>
        <v/>
      </c>
      <c r="DW159" s="43" t="str">
        <f t="shared" si="2505"/>
        <v/>
      </c>
      <c r="DX159" s="43" t="str">
        <f t="shared" si="2506"/>
        <v/>
      </c>
      <c r="DY159" s="43" t="str">
        <f t="shared" si="2507"/>
        <v/>
      </c>
      <c r="DZ159" s="43" t="str">
        <f t="shared" si="2508"/>
        <v/>
      </c>
      <c r="EA159" s="43" t="str">
        <f t="shared" si="2509"/>
        <v/>
      </c>
      <c r="EB159" s="43" t="str">
        <f t="shared" si="2510"/>
        <v/>
      </c>
      <c r="EC159" s="43" t="str">
        <f t="shared" si="2511"/>
        <v/>
      </c>
      <c r="ED159" s="43" t="str">
        <f t="shared" si="2512"/>
        <v/>
      </c>
      <c r="EE159" s="43" t="str">
        <f t="shared" si="2513"/>
        <v/>
      </c>
      <c r="EF159" s="43" t="str">
        <f t="shared" si="2514"/>
        <v/>
      </c>
      <c r="EG159" s="43" t="str">
        <f t="shared" si="2515"/>
        <v/>
      </c>
      <c r="EH159" s="43" t="str">
        <f t="shared" si="2516"/>
        <v/>
      </c>
      <c r="EI159" s="43" t="str">
        <f t="shared" si="2517"/>
        <v/>
      </c>
      <c r="EJ159" s="43" t="str">
        <f t="shared" si="2518"/>
        <v/>
      </c>
      <c r="EK159" s="43" t="str">
        <f t="shared" si="2519"/>
        <v/>
      </c>
      <c r="EL159" s="43" t="str">
        <f t="shared" si="2520"/>
        <v/>
      </c>
      <c r="EM159" s="43" t="str">
        <f t="shared" si="2521"/>
        <v/>
      </c>
      <c r="EN159" s="43" t="str">
        <f t="shared" si="2522"/>
        <v/>
      </c>
      <c r="EO159" s="43" t="str">
        <f t="shared" si="2523"/>
        <v/>
      </c>
      <c r="EP159" s="43" t="str">
        <f t="shared" si="2524"/>
        <v/>
      </c>
      <c r="EQ159" s="43" t="str">
        <f t="shared" si="2525"/>
        <v/>
      </c>
      <c r="ER159" s="43" t="str">
        <f t="shared" si="2526"/>
        <v/>
      </c>
      <c r="ES159" s="43" t="str">
        <f t="shared" si="2527"/>
        <v/>
      </c>
      <c r="ET159" s="43" t="str">
        <f t="shared" si="2528"/>
        <v/>
      </c>
      <c r="EU159" s="43" t="str">
        <f t="shared" si="2529"/>
        <v/>
      </c>
      <c r="EV159" s="43" t="str">
        <f t="shared" si="2530"/>
        <v/>
      </c>
      <c r="EW159" s="43" t="str">
        <f t="shared" si="2531"/>
        <v/>
      </c>
      <c r="EX159" s="43" t="str">
        <f t="shared" si="2532"/>
        <v/>
      </c>
      <c r="EY159" s="43" t="str">
        <f t="shared" si="2533"/>
        <v/>
      </c>
      <c r="EZ159" s="43" t="str">
        <f t="shared" si="2534"/>
        <v/>
      </c>
      <c r="FA159" s="43" t="str">
        <f t="shared" si="2535"/>
        <v/>
      </c>
      <c r="FB159" s="43" t="str">
        <f t="shared" si="2536"/>
        <v/>
      </c>
      <c r="FC159" s="43" t="str">
        <f t="shared" si="2537"/>
        <v/>
      </c>
      <c r="FD159" s="43" t="str">
        <f t="shared" si="2538"/>
        <v/>
      </c>
      <c r="FE159" s="43" t="str">
        <f t="shared" si="2539"/>
        <v/>
      </c>
      <c r="FF159" s="43" t="str">
        <f t="shared" si="2540"/>
        <v/>
      </c>
      <c r="FG159" s="43" t="str">
        <f t="shared" si="2541"/>
        <v/>
      </c>
      <c r="FH159" s="43" t="str">
        <f t="shared" si="2542"/>
        <v/>
      </c>
      <c r="FI159" s="43" t="str">
        <f t="shared" si="2543"/>
        <v/>
      </c>
      <c r="FJ159" s="43" t="str">
        <f t="shared" si="2544"/>
        <v/>
      </c>
      <c r="FK159" s="43" t="str">
        <f t="shared" si="2545"/>
        <v/>
      </c>
      <c r="FL159" s="43" t="str">
        <f t="shared" si="2546"/>
        <v/>
      </c>
      <c r="FM159" s="43" t="str">
        <f t="shared" si="2547"/>
        <v/>
      </c>
      <c r="FN159" s="43" t="str">
        <f t="shared" si="2548"/>
        <v/>
      </c>
      <c r="FO159" s="43" t="str">
        <f t="shared" si="2549"/>
        <v/>
      </c>
      <c r="FP159" s="43" t="str">
        <f t="shared" si="2550"/>
        <v/>
      </c>
      <c r="FQ159" s="43" t="str">
        <f t="shared" si="2551"/>
        <v/>
      </c>
      <c r="FR159" s="43" t="str">
        <f t="shared" si="2552"/>
        <v/>
      </c>
      <c r="FS159" s="43" t="str">
        <f t="shared" si="2553"/>
        <v/>
      </c>
    </row>
    <row r="160" ht="15" spans="1:175">
      <c r="A160" s="88"/>
      <c r="B160" s="4" t="s">
        <v>541</v>
      </c>
      <c r="C160" s="88" t="s">
        <v>542</v>
      </c>
      <c r="R160" s="37">
        <v>2268</v>
      </c>
      <c r="S160" s="37">
        <v>-8065</v>
      </c>
      <c r="T160" s="88" t="s">
        <v>543</v>
      </c>
      <c r="U160" s="59" t="str">
        <f t="shared" si="1168"/>
        <v>ReplaceableTextures\\CommandButtons\\BTNIT10.blp</v>
      </c>
      <c r="CN160" s="12" t="str">
        <f t="shared" si="2406"/>
        <v>InitUnitState('IT10',,,,,,,,,,)</v>
      </c>
      <c r="CO160" s="12" t="str">
        <f t="shared" si="2407"/>
        <v>InitUnitNormal('IT10',,,,,,,,,,)</v>
      </c>
      <c r="CP160" s="12" t="str">
        <f t="shared" si="2408"/>
        <v>InitUnitMagic('IT10',,,,,,,,,,)</v>
      </c>
      <c r="CQ160" s="12" t="str">
        <f t="shared" si="2409"/>
        <v>InitUnitAdd('IT10',,,,,,,,,,)</v>
      </c>
      <c r="CR160" s="12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InitEquipData('IT10',,"",,,,,'','','','','','',"ReplaceableTextures\\CommandButtons\\BTN002.blp")</v>
      </c>
      <c r="CU160" s="71" t="str">
        <f t="shared" si="2483"/>
        <v>|n</v>
      </c>
      <c r="CV160" s="5" t="str">
        <f t="shared" si="2554"/>
        <v>渡过该劫后可结成|Cffff0000混沌道果|r。|n|n|Cffff0000混沌道果：|r|n攻击+10000|n法强+10000|n生命值+20000|n|Cffffd24d元神力+20|r|n|n|Cff00ff7f战力推荐：|r</v>
      </c>
      <c r="CW160" s="6"/>
      <c r="CX160" s="6"/>
      <c r="CY160" s="6"/>
      <c r="CZ160" s="6"/>
      <c r="DA160" s="6"/>
      <c r="DB160" s="43" t="str">
        <f t="shared" si="2484"/>
        <v/>
      </c>
      <c r="DC160" s="43" t="str">
        <f t="shared" si="2485"/>
        <v/>
      </c>
      <c r="DD160" s="43" t="str">
        <f t="shared" si="2486"/>
        <v/>
      </c>
      <c r="DE160" s="43" t="str">
        <f t="shared" si="2487"/>
        <v/>
      </c>
      <c r="DF160" s="43" t="str">
        <f t="shared" si="2488"/>
        <v/>
      </c>
      <c r="DG160" s="43" t="str">
        <f t="shared" si="2489"/>
        <v/>
      </c>
      <c r="DH160" s="43" t="str">
        <f t="shared" si="2490"/>
        <v/>
      </c>
      <c r="DI160" s="43" t="str">
        <f t="shared" si="2491"/>
        <v/>
      </c>
      <c r="DJ160" s="43" t="str">
        <f t="shared" si="2492"/>
        <v/>
      </c>
      <c r="DK160" s="43" t="str">
        <f t="shared" si="2493"/>
        <v/>
      </c>
      <c r="DL160" s="43" t="str">
        <f t="shared" si="2494"/>
        <v/>
      </c>
      <c r="DM160" s="43" t="str">
        <f t="shared" si="2495"/>
        <v/>
      </c>
      <c r="DN160" s="43" t="str">
        <f t="shared" si="2496"/>
        <v/>
      </c>
      <c r="DO160" s="43" t="str">
        <f t="shared" si="2497"/>
        <v/>
      </c>
      <c r="DP160" s="43" t="str">
        <f t="shared" si="2498"/>
        <v/>
      </c>
      <c r="DQ160" s="43" t="str">
        <f t="shared" si="2499"/>
        <v/>
      </c>
      <c r="DR160" s="43" t="str">
        <f t="shared" si="2500"/>
        <v/>
      </c>
      <c r="DS160" s="43" t="str">
        <f t="shared" si="2501"/>
        <v/>
      </c>
      <c r="DT160" s="43" t="str">
        <f t="shared" si="2502"/>
        <v/>
      </c>
      <c r="DU160" s="43" t="str">
        <f t="shared" si="2503"/>
        <v/>
      </c>
      <c r="DV160" s="43" t="str">
        <f t="shared" si="2504"/>
        <v/>
      </c>
      <c r="DW160" s="43" t="str">
        <f t="shared" si="2505"/>
        <v/>
      </c>
      <c r="DX160" s="43" t="str">
        <f t="shared" si="2506"/>
        <v/>
      </c>
      <c r="DY160" s="43" t="str">
        <f t="shared" si="2507"/>
        <v/>
      </c>
      <c r="DZ160" s="43" t="str">
        <f t="shared" si="2508"/>
        <v/>
      </c>
      <c r="EA160" s="43" t="str">
        <f t="shared" si="2509"/>
        <v/>
      </c>
      <c r="EB160" s="43" t="str">
        <f t="shared" si="2510"/>
        <v/>
      </c>
      <c r="EC160" s="43" t="str">
        <f t="shared" si="2511"/>
        <v/>
      </c>
      <c r="ED160" s="43" t="str">
        <f t="shared" si="2512"/>
        <v/>
      </c>
      <c r="EE160" s="43" t="str">
        <f t="shared" si="2513"/>
        <v/>
      </c>
      <c r="EF160" s="43" t="str">
        <f t="shared" si="2514"/>
        <v/>
      </c>
      <c r="EG160" s="43" t="str">
        <f t="shared" si="2515"/>
        <v/>
      </c>
      <c r="EH160" s="43" t="str">
        <f t="shared" si="2516"/>
        <v/>
      </c>
      <c r="EI160" s="43" t="str">
        <f t="shared" si="2517"/>
        <v/>
      </c>
      <c r="EJ160" s="43" t="str">
        <f t="shared" si="2518"/>
        <v/>
      </c>
      <c r="EK160" s="43" t="str">
        <f t="shared" si="2519"/>
        <v/>
      </c>
      <c r="EL160" s="43" t="str">
        <f t="shared" si="2520"/>
        <v/>
      </c>
      <c r="EM160" s="43" t="str">
        <f t="shared" si="2521"/>
        <v/>
      </c>
      <c r="EN160" s="43" t="str">
        <f t="shared" si="2522"/>
        <v/>
      </c>
      <c r="EO160" s="43" t="str">
        <f t="shared" si="2523"/>
        <v/>
      </c>
      <c r="EP160" s="43" t="str">
        <f t="shared" si="2524"/>
        <v/>
      </c>
      <c r="EQ160" s="43" t="str">
        <f t="shared" si="2525"/>
        <v/>
      </c>
      <c r="ER160" s="43" t="str">
        <f t="shared" si="2526"/>
        <v/>
      </c>
      <c r="ES160" s="43" t="str">
        <f t="shared" si="2527"/>
        <v/>
      </c>
      <c r="ET160" s="43" t="str">
        <f t="shared" si="2528"/>
        <v/>
      </c>
      <c r="EU160" s="43" t="str">
        <f t="shared" si="2529"/>
        <v/>
      </c>
      <c r="EV160" s="43" t="str">
        <f t="shared" si="2530"/>
        <v/>
      </c>
      <c r="EW160" s="43" t="str">
        <f t="shared" si="2531"/>
        <v/>
      </c>
      <c r="EX160" s="43" t="str">
        <f t="shared" si="2532"/>
        <v/>
      </c>
      <c r="EY160" s="43" t="str">
        <f t="shared" si="2533"/>
        <v/>
      </c>
      <c r="EZ160" s="43" t="str">
        <f t="shared" si="2534"/>
        <v/>
      </c>
      <c r="FA160" s="43" t="str">
        <f t="shared" si="2535"/>
        <v/>
      </c>
      <c r="FB160" s="43" t="str">
        <f t="shared" si="2536"/>
        <v/>
      </c>
      <c r="FC160" s="43" t="str">
        <f t="shared" si="2537"/>
        <v/>
      </c>
      <c r="FD160" s="43" t="str">
        <f t="shared" si="2538"/>
        <v/>
      </c>
      <c r="FE160" s="43" t="str">
        <f t="shared" si="2539"/>
        <v/>
      </c>
      <c r="FF160" s="43" t="str">
        <f t="shared" si="2540"/>
        <v/>
      </c>
      <c r="FG160" s="43" t="str">
        <f t="shared" si="2541"/>
        <v/>
      </c>
      <c r="FH160" s="43" t="str">
        <f t="shared" si="2542"/>
        <v/>
      </c>
      <c r="FI160" s="43" t="str">
        <f t="shared" si="2543"/>
        <v/>
      </c>
      <c r="FJ160" s="43" t="str">
        <f t="shared" si="2544"/>
        <v/>
      </c>
      <c r="FK160" s="43" t="str">
        <f t="shared" si="2545"/>
        <v/>
      </c>
      <c r="FL160" s="43" t="str">
        <f t="shared" si="2546"/>
        <v/>
      </c>
      <c r="FM160" s="43" t="str">
        <f t="shared" si="2547"/>
        <v/>
      </c>
      <c r="FN160" s="43" t="str">
        <f t="shared" si="2548"/>
        <v/>
      </c>
      <c r="FO160" s="43" t="str">
        <f t="shared" si="2549"/>
        <v/>
      </c>
      <c r="FP160" s="43" t="str">
        <f t="shared" si="2550"/>
        <v/>
      </c>
      <c r="FQ160" s="43" t="str">
        <f t="shared" si="2551"/>
        <v/>
      </c>
      <c r="FR160" s="43" t="str">
        <f t="shared" si="2552"/>
        <v/>
      </c>
      <c r="FS160" s="43" t="str">
        <f t="shared" si="2553"/>
        <v/>
      </c>
    </row>
    <row r="161" ht="15" spans="1:175">
      <c r="A161" s="88" t="s">
        <v>534</v>
      </c>
      <c r="B161" s="4" t="s">
        <v>544</v>
      </c>
      <c r="C161" s="88" t="s">
        <v>545</v>
      </c>
      <c r="T161" s="88" t="s">
        <v>546</v>
      </c>
      <c r="U161" s="59" t="str">
        <f t="shared" si="1168"/>
        <v>ReplaceableTextures\\CommandButtons\\BTNIT11.blp</v>
      </c>
      <c r="CN161" s="12" t="str">
        <f t="shared" si="2406"/>
        <v>InitUnitState('IT11',,,,,,,,,,)</v>
      </c>
      <c r="CO161" s="12" t="str">
        <f t="shared" si="2407"/>
        <v>InitUnitNormal('IT11',,,,,,,,,,)</v>
      </c>
      <c r="CP161" s="12" t="str">
        <f t="shared" si="2408"/>
        <v>InitUnitMagic('IT11',,,,,,,,,,)</v>
      </c>
      <c r="CQ161" s="12" t="str">
        <f t="shared" si="2409"/>
        <v>InitUnitAdd('IT11',,,,,,,,,,)</v>
      </c>
      <c r="CR161" s="12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InitEquipData('IT11',,".",,,,,'','','','','','',"ReplaceableTextures\\CommandButtons\\BTNIT12.blp")</v>
      </c>
      <c r="CU161" s="71" t="str">
        <f t="shared" ref="CU161:CU167" si="2555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5" t="str">
        <f t="shared" ref="CV161:CV167" si="2556">T161</f>
        <v>境界挑战11</v>
      </c>
      <c r="CW161" s="6"/>
      <c r="CX161" s="6"/>
      <c r="CY161" s="6"/>
      <c r="CZ161" s="6"/>
      <c r="DA161" s="6"/>
      <c r="DB161" s="43" t="str">
        <f t="shared" ref="DB161:DB163" si="2557">IF(V161="","","|n"&amp;DB$2&amp;"+"&amp;V161&amp;DB$1)</f>
        <v/>
      </c>
      <c r="DC161" s="43" t="str">
        <f t="shared" ref="DC161:DC163" si="2558">IF(W161="","","|n"&amp;DC$2&amp;"+"&amp;W161&amp;DC$1)</f>
        <v/>
      </c>
      <c r="DD161" s="43" t="str">
        <f t="shared" ref="DD161:DD163" si="2559">IF(X161="","","|n"&amp;DD$2&amp;"+"&amp;X161&amp;DD$1)</f>
        <v/>
      </c>
      <c r="DE161" s="43" t="str">
        <f t="shared" ref="DE161:DE163" si="2560">IF(Y161="","","|n"&amp;DE$2&amp;"+"&amp;Y161&amp;DE$1)</f>
        <v/>
      </c>
      <c r="DF161" s="43" t="str">
        <f t="shared" ref="DF161:DF163" si="2561">IF(Z161="","","|n"&amp;DF$2&amp;"+"&amp;Z161&amp;DF$1)</f>
        <v/>
      </c>
      <c r="DG161" s="43" t="str">
        <f t="shared" ref="DG161:DG163" si="2562">IF(AA161="","","|n"&amp;DG$2&amp;"+"&amp;AA161&amp;DG$1)</f>
        <v/>
      </c>
      <c r="DH161" s="43" t="str">
        <f t="shared" ref="DH161:DH163" si="2563">IF(AB161="","","|n"&amp;DH$2&amp;"+"&amp;AB161&amp;DH$1)</f>
        <v/>
      </c>
      <c r="DI161" s="43" t="str">
        <f t="shared" ref="DI161:DI163" si="2564">IF(AC161="","","|n"&amp;DI$2&amp;"+"&amp;AC161&amp;DI$1)</f>
        <v/>
      </c>
      <c r="DJ161" s="43" t="str">
        <f t="shared" ref="DJ161:DJ163" si="2565">IF(AD161="","","|n"&amp;DJ$2&amp;"+"&amp;AD161&amp;DJ$1)</f>
        <v/>
      </c>
      <c r="DK161" s="43" t="str">
        <f t="shared" ref="DK161:DK163" si="2566">IF(AE161="","","|n"&amp;DK$2&amp;"+"&amp;AE161&amp;DK$1)</f>
        <v/>
      </c>
      <c r="DL161" s="43" t="str">
        <f t="shared" ref="DL161:DL163" si="2567">IF(AF161="","","|n"&amp;DL$2&amp;"+"&amp;AF161&amp;DL$1)</f>
        <v/>
      </c>
      <c r="DM161" s="43" t="str">
        <f t="shared" ref="DM161:DM163" si="2568">IF(AG161="","","|n"&amp;DM$2&amp;"+"&amp;AG161&amp;DM$1)</f>
        <v/>
      </c>
      <c r="DN161" s="43" t="str">
        <f t="shared" ref="DN161:DN163" si="2569">IF(AH161="","","|n"&amp;DN$2&amp;"+"&amp;AH161&amp;DN$1)</f>
        <v/>
      </c>
      <c r="DO161" s="43" t="str">
        <f t="shared" ref="DO161:DO163" si="2570">IF(AI161="","","|n"&amp;DO$2&amp;"+"&amp;AI161&amp;DO$1)</f>
        <v/>
      </c>
      <c r="DP161" s="43" t="str">
        <f t="shared" ref="DP161:DP163" si="2571">IF(AJ161="","","|n"&amp;DP$2&amp;"+"&amp;AJ161&amp;DP$1)</f>
        <v/>
      </c>
      <c r="DQ161" s="43" t="str">
        <f t="shared" ref="DQ161:DQ163" si="2572">IF(AK161="","","|n"&amp;DQ$2&amp;"+"&amp;AK161&amp;DQ$1)</f>
        <v/>
      </c>
      <c r="DR161" s="43" t="str">
        <f t="shared" ref="DR161:DR163" si="2573">IF(AL161="","","|n"&amp;DR$2&amp;"+"&amp;AL161&amp;DR$1)</f>
        <v/>
      </c>
      <c r="DS161" s="43" t="str">
        <f t="shared" ref="DS161:DS163" si="2574">IF(AM161="","","|n"&amp;DS$2&amp;"+"&amp;AM161&amp;DS$1)</f>
        <v/>
      </c>
      <c r="DT161" s="43" t="str">
        <f t="shared" ref="DT161:DT163" si="2575">IF(AN161="","","|n"&amp;DT$2&amp;"+"&amp;AN161&amp;DT$1)</f>
        <v/>
      </c>
      <c r="DU161" s="43" t="str">
        <f t="shared" ref="DU161:DU163" si="2576">IF(AO161="","","|n"&amp;DU$2&amp;"+"&amp;AO161&amp;DU$1)</f>
        <v/>
      </c>
      <c r="DV161" s="43" t="str">
        <f t="shared" ref="DV161:DV163" si="2577">IF(AP161="","","|n"&amp;DV$2&amp;"+"&amp;AP161&amp;DV$1)</f>
        <v/>
      </c>
      <c r="DW161" s="43" t="str">
        <f t="shared" ref="DW161:DW163" si="2578">IF(AQ161="","","|n"&amp;DW$2&amp;"+"&amp;AQ161&amp;DW$1)</f>
        <v/>
      </c>
      <c r="DX161" s="43" t="str">
        <f t="shared" ref="DX161:DX163" si="2579">IF(AR161="","","|n"&amp;DX$2&amp;"+"&amp;AR161&amp;DX$1)</f>
        <v/>
      </c>
      <c r="DY161" s="43" t="str">
        <f t="shared" ref="DY161:DY163" si="2580">IF(AS161="","","|n"&amp;DY$2&amp;"+"&amp;AS161&amp;DY$1)</f>
        <v/>
      </c>
      <c r="DZ161" s="43" t="str">
        <f t="shared" ref="DZ161:DZ163" si="2581">IF(AT161="","","|n"&amp;DZ$2&amp;"+"&amp;AT161&amp;DZ$1)</f>
        <v/>
      </c>
      <c r="EA161" s="43" t="str">
        <f t="shared" ref="EA161:EA163" si="2582">IF(AU161="","","|n"&amp;EA$2&amp;"+"&amp;AU161&amp;EA$1)</f>
        <v/>
      </c>
      <c r="EB161" s="43" t="str">
        <f t="shared" ref="EB161:EB163" si="2583">IF(AV161="","","|n"&amp;EB$2&amp;"+"&amp;AV161&amp;EB$1)</f>
        <v/>
      </c>
      <c r="EC161" s="43" t="str">
        <f t="shared" ref="EC161:EC163" si="2584">IF(AW161="","","|n"&amp;EC$2&amp;"+"&amp;AW161&amp;EC$1)</f>
        <v/>
      </c>
      <c r="ED161" s="43" t="str">
        <f t="shared" ref="ED161:ED163" si="2585">IF(AX161="","","|n"&amp;ED$2&amp;"+"&amp;AX161&amp;ED$1)</f>
        <v/>
      </c>
      <c r="EE161" s="43" t="str">
        <f t="shared" ref="EE161:EE163" si="2586">IF(AY161="","","|n"&amp;EE$2&amp;"+"&amp;AY161&amp;EE$1)</f>
        <v/>
      </c>
      <c r="EF161" s="43" t="str">
        <f t="shared" ref="EF161:EF163" si="2587">IF(AZ161="","","|n"&amp;EF$2&amp;"+"&amp;AZ161&amp;EF$1)</f>
        <v/>
      </c>
      <c r="EG161" s="43" t="str">
        <f t="shared" ref="EG161:EG163" si="2588">IF(BA161="","","|n"&amp;EG$2&amp;"+"&amp;BA161&amp;EG$1)</f>
        <v/>
      </c>
      <c r="EH161" s="43" t="str">
        <f t="shared" ref="EH161:EH163" si="2589">IF(BB161="","","|n"&amp;EH$2&amp;"+"&amp;BB161&amp;EH$1)</f>
        <v/>
      </c>
      <c r="EI161" s="43" t="str">
        <f t="shared" ref="EI161:EI163" si="2590">IF(BC161="","","|n"&amp;EI$2&amp;"+"&amp;BC161&amp;EI$1)</f>
        <v/>
      </c>
      <c r="EJ161" s="43" t="str">
        <f t="shared" ref="EJ161:EJ163" si="2591">IF(BD161="","","|n"&amp;EJ$2&amp;"+"&amp;BD161&amp;EJ$1)</f>
        <v/>
      </c>
      <c r="EK161" s="43" t="str">
        <f t="shared" ref="EK161:EK163" si="2592">IF(BE161="","","|n"&amp;EK$2&amp;"+"&amp;BE161&amp;EK$1)</f>
        <v/>
      </c>
      <c r="EL161" s="43" t="str">
        <f t="shared" ref="EL161:EL163" si="2593">IF(BF161="","","|n"&amp;EL$2&amp;"+"&amp;BF161&amp;EL$1)</f>
        <v/>
      </c>
      <c r="EM161" s="43" t="str">
        <f t="shared" ref="EM161:EM163" si="2594">IF(BG161="","","|n"&amp;EM$2&amp;"+"&amp;BG161&amp;EM$1)</f>
        <v/>
      </c>
      <c r="EN161" s="43" t="str">
        <f t="shared" ref="EN161:EN163" si="2595">IF(BH161="","","|n"&amp;EN$2&amp;"+"&amp;BH161&amp;EN$1)</f>
        <v/>
      </c>
      <c r="EO161" s="43" t="str">
        <f t="shared" ref="EO161:EO163" si="2596">IF(BI161="","","|n"&amp;EO$2&amp;"+"&amp;BI161&amp;EO$1)</f>
        <v/>
      </c>
      <c r="EP161" s="43" t="str">
        <f t="shared" ref="EP161:EP163" si="2597">IF(BJ161="","","|n"&amp;EP$2&amp;"+"&amp;BJ161&amp;EP$1)</f>
        <v/>
      </c>
      <c r="EQ161" s="43" t="str">
        <f t="shared" ref="EQ161:EQ163" si="2598">IF(BK161="","","|n"&amp;EQ$2&amp;"+"&amp;BK161&amp;EQ$1)</f>
        <v/>
      </c>
      <c r="ER161" s="43" t="str">
        <f t="shared" ref="ER161:ER163" si="2599">IF(BL161="","","|n"&amp;ER$2&amp;"+"&amp;BL161&amp;ER$1)</f>
        <v/>
      </c>
      <c r="ES161" s="43" t="str">
        <f t="shared" ref="ES161:ES163" si="2600">IF(BM161="","","|n"&amp;ES$2&amp;"+"&amp;BM161&amp;ES$1)</f>
        <v/>
      </c>
      <c r="ET161" s="43" t="str">
        <f t="shared" ref="ET161:ET163" si="2601">IF(BN161="","","|n"&amp;ET$2&amp;"+"&amp;BN161&amp;ET$1)</f>
        <v/>
      </c>
      <c r="EU161" s="43" t="str">
        <f t="shared" ref="EU161:EU163" si="2602">IF(BO161="","","|n"&amp;EU$2&amp;"+"&amp;BO161&amp;EU$1)</f>
        <v/>
      </c>
      <c r="EV161" s="43" t="str">
        <f t="shared" ref="EV161:EV163" si="2603">IF(BP161="","","|n"&amp;EV$2&amp;"+"&amp;BP161&amp;EV$1)</f>
        <v/>
      </c>
      <c r="EW161" s="43" t="str">
        <f t="shared" ref="EW161:EW163" si="2604">IF(BQ161="","","|n"&amp;EW$2&amp;"+"&amp;BQ161&amp;EW$1)</f>
        <v/>
      </c>
      <c r="EX161" s="43" t="str">
        <f t="shared" ref="EX161:EX163" si="2605">IF(BR161="","","|n"&amp;EX$2&amp;"+"&amp;BR161&amp;EX$1)</f>
        <v/>
      </c>
      <c r="EY161" s="43" t="str">
        <f t="shared" ref="EY161:EY163" si="2606">IF(BS161="","","|n"&amp;EY$2&amp;"+"&amp;BS161&amp;EY$1)</f>
        <v/>
      </c>
      <c r="EZ161" s="43" t="str">
        <f t="shared" ref="EZ161:EZ163" si="2607">IF(BT161="","","|n"&amp;EZ$2&amp;"+"&amp;BT161&amp;EZ$1)</f>
        <v/>
      </c>
      <c r="FA161" s="43" t="str">
        <f t="shared" ref="FA161:FA163" si="2608">IF(BU161="","","|n"&amp;FA$2&amp;"+"&amp;BU161&amp;FA$1)</f>
        <v/>
      </c>
      <c r="FB161" s="43" t="str">
        <f t="shared" ref="FB161:FB163" si="2609">IF(BV161="","","|n"&amp;FB$2&amp;"+"&amp;BV161&amp;FB$1)</f>
        <v/>
      </c>
      <c r="FC161" s="43" t="str">
        <f t="shared" ref="FC161:FC163" si="2610">IF(BW161="","","|n"&amp;FC$2&amp;"+"&amp;BW161&amp;FC$1)</f>
        <v/>
      </c>
      <c r="FD161" s="43" t="str">
        <f t="shared" ref="FD161:FD163" si="2611">IF(BX161="","","|n"&amp;FD$2&amp;"+"&amp;BX161&amp;FD$1)</f>
        <v/>
      </c>
      <c r="FE161" s="43" t="str">
        <f t="shared" ref="FE161:FE163" si="2612">IF(BY161="","","|n"&amp;FE$2&amp;"+"&amp;BY161&amp;FE$1)</f>
        <v/>
      </c>
      <c r="FF161" s="43" t="str">
        <f t="shared" ref="FF161:FF163" si="2613">IF(BZ161="","","|n"&amp;FF$2&amp;"+"&amp;BZ161&amp;FF$1)</f>
        <v/>
      </c>
      <c r="FG161" s="43" t="str">
        <f t="shared" ref="FG161:FG163" si="2614">IF(CA161="","","|n"&amp;FG$2&amp;"+"&amp;CA161&amp;FG$1)</f>
        <v/>
      </c>
      <c r="FH161" s="43" t="str">
        <f t="shared" ref="FH161:FH163" si="2615">IF(CB161="","","|n"&amp;FH$2&amp;"+"&amp;CB161&amp;FH$1)</f>
        <v/>
      </c>
      <c r="FI161" s="43" t="str">
        <f t="shared" ref="FI161:FI163" si="2616">IF(CC161="","","|n"&amp;FI$2&amp;"+"&amp;CC161&amp;FI$1)</f>
        <v/>
      </c>
      <c r="FJ161" s="43" t="str">
        <f t="shared" ref="FJ161:FJ163" si="2617">IF(CD161="","","|n"&amp;FJ$2&amp;"+"&amp;CD161&amp;FJ$1)</f>
        <v/>
      </c>
      <c r="FK161" s="43" t="str">
        <f t="shared" ref="FK161:FK163" si="2618">IF(CE161="","","|n"&amp;FK$2&amp;"+"&amp;CE161&amp;FK$1)</f>
        <v/>
      </c>
      <c r="FL161" s="43" t="str">
        <f t="shared" ref="FL161:FL163" si="2619">IF(CF161="","","|n"&amp;FL$2&amp;"+"&amp;CF161&amp;FL$1)</f>
        <v/>
      </c>
      <c r="FM161" s="43" t="str">
        <f t="shared" ref="FM161:FM163" si="2620">IF(CG161="","","|n"&amp;FM$2&amp;"+"&amp;CG161&amp;FM$1)</f>
        <v/>
      </c>
      <c r="FN161" s="43" t="str">
        <f t="shared" ref="FN161:FN163" si="2621">IF(CH161="","","|n"&amp;FN$2&amp;"+"&amp;CH161&amp;FN$1)</f>
        <v/>
      </c>
      <c r="FO161" s="43" t="str">
        <f t="shared" ref="FO161:FO163" si="2622">IF(CI161="","","|n"&amp;FO$2&amp;"+"&amp;CI161&amp;FO$1)</f>
        <v/>
      </c>
      <c r="FP161" s="43" t="str">
        <f t="shared" ref="FP161:FP163" si="2623">IF(CJ161="","","|n"&amp;FP$2&amp;"+"&amp;CJ161&amp;FP$1)</f>
        <v/>
      </c>
      <c r="FQ161" s="43" t="str">
        <f t="shared" ref="FQ161:FQ163" si="2624">IF(CK161="","","|n"&amp;FQ$2&amp;"+"&amp;CK161&amp;FQ$1)</f>
        <v/>
      </c>
      <c r="FR161" s="43" t="str">
        <f t="shared" ref="FR161:FR163" si="2625">IF(CL161="","","|n"&amp;FR$2&amp;"+"&amp;CL161&amp;FR$1)</f>
        <v/>
      </c>
      <c r="FS161" s="43" t="str">
        <f t="shared" ref="FS161:FS163" si="2626">IF(CM161="","","|n"&amp;FS$2&amp;"+"&amp;CM161&amp;FS$1)</f>
        <v/>
      </c>
    </row>
    <row r="162" ht="15" spans="1:175">
      <c r="A162" s="88"/>
      <c r="B162" s="4" t="s">
        <v>547</v>
      </c>
      <c r="C162" s="88" t="s">
        <v>548</v>
      </c>
      <c r="T162" s="88" t="s">
        <v>549</v>
      </c>
      <c r="U162" s="59" t="str">
        <f t="shared" si="1168"/>
        <v>ReplaceableTextures\\CommandButtons\\BTNIT12.blp</v>
      </c>
      <c r="CN162" s="12" t="str">
        <f t="shared" si="2406"/>
        <v>InitUnitState('IT12',,,,,,,,,,)</v>
      </c>
      <c r="CO162" s="12" t="str">
        <f t="shared" si="2407"/>
        <v>InitUnitNormal('IT12',,,,,,,,,,)</v>
      </c>
      <c r="CP162" s="12" t="str">
        <f t="shared" si="2408"/>
        <v>InitUnitMagic('IT12',,,,,,,,,,)</v>
      </c>
      <c r="CQ162" s="12" t="str">
        <f t="shared" si="2409"/>
        <v>InitUnitAdd('IT12',,,,,,,,,,)</v>
      </c>
      <c r="CR162" s="12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163&amp;CR$1&amp;")"</f>
        <v>InitEquipData('IT12',,"",,,,,'','','','','','',"ReplaceableTextures\\CommandButtons\\BTNIT13.blp")</v>
      </c>
      <c r="CU162" s="71" t="str">
        <f t="shared" si="2555"/>
        <v>|n</v>
      </c>
      <c r="CV162" s="5" t="str">
        <f t="shared" si="2556"/>
        <v>境界挑战12</v>
      </c>
      <c r="CW162" s="6"/>
      <c r="CX162" s="6"/>
      <c r="CY162" s="6"/>
      <c r="CZ162" s="6"/>
      <c r="DA162" s="6"/>
      <c r="DB162" s="43" t="str">
        <f t="shared" si="2557"/>
        <v/>
      </c>
      <c r="DC162" s="43" t="str">
        <f t="shared" si="2558"/>
        <v/>
      </c>
      <c r="DD162" s="43" t="str">
        <f t="shared" si="2559"/>
        <v/>
      </c>
      <c r="DE162" s="43" t="str">
        <f t="shared" si="2560"/>
        <v/>
      </c>
      <c r="DF162" s="43" t="str">
        <f t="shared" si="2561"/>
        <v/>
      </c>
      <c r="DG162" s="43" t="str">
        <f t="shared" si="2562"/>
        <v/>
      </c>
      <c r="DH162" s="43" t="str">
        <f t="shared" si="2563"/>
        <v/>
      </c>
      <c r="DI162" s="43" t="str">
        <f t="shared" si="2564"/>
        <v/>
      </c>
      <c r="DJ162" s="43" t="str">
        <f t="shared" si="2565"/>
        <v/>
      </c>
      <c r="DK162" s="43" t="str">
        <f t="shared" si="2566"/>
        <v/>
      </c>
      <c r="DL162" s="43" t="str">
        <f t="shared" si="2567"/>
        <v/>
      </c>
      <c r="DM162" s="43" t="str">
        <f t="shared" si="2568"/>
        <v/>
      </c>
      <c r="DN162" s="43" t="str">
        <f t="shared" si="2569"/>
        <v/>
      </c>
      <c r="DO162" s="43" t="str">
        <f t="shared" si="2570"/>
        <v/>
      </c>
      <c r="DP162" s="43" t="str">
        <f t="shared" si="2571"/>
        <v/>
      </c>
      <c r="DQ162" s="43" t="str">
        <f t="shared" si="2572"/>
        <v/>
      </c>
      <c r="DR162" s="43" t="str">
        <f t="shared" si="2573"/>
        <v/>
      </c>
      <c r="DS162" s="43" t="str">
        <f t="shared" si="2574"/>
        <v/>
      </c>
      <c r="DT162" s="43" t="str">
        <f t="shared" si="2575"/>
        <v/>
      </c>
      <c r="DU162" s="43" t="str">
        <f t="shared" si="2576"/>
        <v/>
      </c>
      <c r="DV162" s="43" t="str">
        <f t="shared" si="2577"/>
        <v/>
      </c>
      <c r="DW162" s="43" t="str">
        <f t="shared" si="2578"/>
        <v/>
      </c>
      <c r="DX162" s="43" t="str">
        <f t="shared" si="2579"/>
        <v/>
      </c>
      <c r="DY162" s="43" t="str">
        <f t="shared" si="2580"/>
        <v/>
      </c>
      <c r="DZ162" s="43" t="str">
        <f t="shared" si="2581"/>
        <v/>
      </c>
      <c r="EA162" s="43" t="str">
        <f t="shared" si="2582"/>
        <v/>
      </c>
      <c r="EB162" s="43" t="str">
        <f t="shared" si="2583"/>
        <v/>
      </c>
      <c r="EC162" s="43" t="str">
        <f t="shared" si="2584"/>
        <v/>
      </c>
      <c r="ED162" s="43" t="str">
        <f t="shared" si="2585"/>
        <v/>
      </c>
      <c r="EE162" s="43" t="str">
        <f t="shared" si="2586"/>
        <v/>
      </c>
      <c r="EF162" s="43" t="str">
        <f t="shared" si="2587"/>
        <v/>
      </c>
      <c r="EG162" s="43" t="str">
        <f t="shared" si="2588"/>
        <v/>
      </c>
      <c r="EH162" s="43" t="str">
        <f t="shared" si="2589"/>
        <v/>
      </c>
      <c r="EI162" s="43" t="str">
        <f t="shared" si="2590"/>
        <v/>
      </c>
      <c r="EJ162" s="43" t="str">
        <f t="shared" si="2591"/>
        <v/>
      </c>
      <c r="EK162" s="43" t="str">
        <f t="shared" si="2592"/>
        <v/>
      </c>
      <c r="EL162" s="43" t="str">
        <f t="shared" si="2593"/>
        <v/>
      </c>
      <c r="EM162" s="43" t="str">
        <f t="shared" si="2594"/>
        <v/>
      </c>
      <c r="EN162" s="43" t="str">
        <f t="shared" si="2595"/>
        <v/>
      </c>
      <c r="EO162" s="43" t="str">
        <f t="shared" si="2596"/>
        <v/>
      </c>
      <c r="EP162" s="43" t="str">
        <f t="shared" si="2597"/>
        <v/>
      </c>
      <c r="EQ162" s="43" t="str">
        <f t="shared" si="2598"/>
        <v/>
      </c>
      <c r="ER162" s="43" t="str">
        <f t="shared" si="2599"/>
        <v/>
      </c>
      <c r="ES162" s="43" t="str">
        <f t="shared" si="2600"/>
        <v/>
      </c>
      <c r="ET162" s="43" t="str">
        <f t="shared" si="2601"/>
        <v/>
      </c>
      <c r="EU162" s="43" t="str">
        <f t="shared" si="2602"/>
        <v/>
      </c>
      <c r="EV162" s="43" t="str">
        <f t="shared" si="2603"/>
        <v/>
      </c>
      <c r="EW162" s="43" t="str">
        <f t="shared" si="2604"/>
        <v/>
      </c>
      <c r="EX162" s="43" t="str">
        <f t="shared" si="2605"/>
        <v/>
      </c>
      <c r="EY162" s="43" t="str">
        <f t="shared" si="2606"/>
        <v/>
      </c>
      <c r="EZ162" s="43" t="str">
        <f t="shared" si="2607"/>
        <v/>
      </c>
      <c r="FA162" s="43" t="str">
        <f t="shared" si="2608"/>
        <v/>
      </c>
      <c r="FB162" s="43" t="str">
        <f t="shared" si="2609"/>
        <v/>
      </c>
      <c r="FC162" s="43" t="str">
        <f t="shared" si="2610"/>
        <v/>
      </c>
      <c r="FD162" s="43" t="str">
        <f t="shared" si="2611"/>
        <v/>
      </c>
      <c r="FE162" s="43" t="str">
        <f t="shared" si="2612"/>
        <v/>
      </c>
      <c r="FF162" s="43" t="str">
        <f t="shared" si="2613"/>
        <v/>
      </c>
      <c r="FG162" s="43" t="str">
        <f t="shared" si="2614"/>
        <v/>
      </c>
      <c r="FH162" s="43" t="str">
        <f t="shared" si="2615"/>
        <v/>
      </c>
      <c r="FI162" s="43" t="str">
        <f t="shared" si="2616"/>
        <v/>
      </c>
      <c r="FJ162" s="43" t="str">
        <f t="shared" si="2617"/>
        <v/>
      </c>
      <c r="FK162" s="43" t="str">
        <f t="shared" si="2618"/>
        <v/>
      </c>
      <c r="FL162" s="43" t="str">
        <f t="shared" si="2619"/>
        <v/>
      </c>
      <c r="FM162" s="43" t="str">
        <f t="shared" si="2620"/>
        <v/>
      </c>
      <c r="FN162" s="43" t="str">
        <f t="shared" si="2621"/>
        <v/>
      </c>
      <c r="FO162" s="43" t="str">
        <f t="shared" si="2622"/>
        <v/>
      </c>
      <c r="FP162" s="43" t="str">
        <f t="shared" si="2623"/>
        <v/>
      </c>
      <c r="FQ162" s="43" t="str">
        <f t="shared" si="2624"/>
        <v/>
      </c>
      <c r="FR162" s="43" t="str">
        <f t="shared" si="2625"/>
        <v/>
      </c>
      <c r="FS162" s="43" t="str">
        <f t="shared" si="2626"/>
        <v/>
      </c>
    </row>
    <row r="163" ht="15" spans="1:175">
      <c r="A163" s="88"/>
      <c r="B163" s="4" t="s">
        <v>550</v>
      </c>
      <c r="C163" s="88" t="s">
        <v>551</v>
      </c>
      <c r="T163" s="88" t="s">
        <v>552</v>
      </c>
      <c r="U163" s="59" t="str">
        <f t="shared" si="1168"/>
        <v>ReplaceableTextures\\CommandButtons\\BTNIT13.blp</v>
      </c>
      <c r="CN163" s="12" t="str">
        <f t="shared" si="2406"/>
        <v>InitUnitState('IT13',,,,,,,,,,)</v>
      </c>
      <c r="CO163" s="12" t="str">
        <f t="shared" si="2407"/>
        <v>InitUnitNormal('IT13',,,,,,,,,,)</v>
      </c>
      <c r="CP163" s="12" t="str">
        <f t="shared" si="2408"/>
        <v>InitUnitMagic('IT13',,,,,,,,,,)</v>
      </c>
      <c r="CQ163" s="12" t="str">
        <f t="shared" si="2409"/>
        <v>InitUnitAdd('IT13',,,,,,,,,,)</v>
      </c>
      <c r="CR163" s="12" t="e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#REF!&amp;CR$1&amp;")"</f>
        <v>#REF!</v>
      </c>
      <c r="CU163" s="71" t="str">
        <f t="shared" si="2555"/>
        <v>|n</v>
      </c>
      <c r="CV163" s="5" t="str">
        <f t="shared" si="2556"/>
        <v>境界挑战13</v>
      </c>
      <c r="CW163" s="6"/>
      <c r="CX163" s="6"/>
      <c r="CY163" s="6"/>
      <c r="CZ163" s="6"/>
      <c r="DA163" s="6"/>
      <c r="DB163" s="43" t="str">
        <f t="shared" si="2557"/>
        <v/>
      </c>
      <c r="DC163" s="43" t="str">
        <f t="shared" si="2558"/>
        <v/>
      </c>
      <c r="DD163" s="43" t="str">
        <f t="shared" si="2559"/>
        <v/>
      </c>
      <c r="DE163" s="43" t="str">
        <f t="shared" si="2560"/>
        <v/>
      </c>
      <c r="DF163" s="43" t="str">
        <f t="shared" si="2561"/>
        <v/>
      </c>
      <c r="DG163" s="43" t="str">
        <f t="shared" si="2562"/>
        <v/>
      </c>
      <c r="DH163" s="43" t="str">
        <f t="shared" si="2563"/>
        <v/>
      </c>
      <c r="DI163" s="43" t="str">
        <f t="shared" si="2564"/>
        <v/>
      </c>
      <c r="DJ163" s="43" t="str">
        <f t="shared" si="2565"/>
        <v/>
      </c>
      <c r="DK163" s="43" t="str">
        <f t="shared" si="2566"/>
        <v/>
      </c>
      <c r="DL163" s="43" t="str">
        <f t="shared" si="2567"/>
        <v/>
      </c>
      <c r="DM163" s="43" t="str">
        <f t="shared" si="2568"/>
        <v/>
      </c>
      <c r="DN163" s="43" t="str">
        <f t="shared" si="2569"/>
        <v/>
      </c>
      <c r="DO163" s="43" t="str">
        <f t="shared" si="2570"/>
        <v/>
      </c>
      <c r="DP163" s="43" t="str">
        <f t="shared" si="2571"/>
        <v/>
      </c>
      <c r="DQ163" s="43" t="str">
        <f t="shared" si="2572"/>
        <v/>
      </c>
      <c r="DR163" s="43" t="str">
        <f t="shared" si="2573"/>
        <v/>
      </c>
      <c r="DS163" s="43" t="str">
        <f t="shared" si="2574"/>
        <v/>
      </c>
      <c r="DT163" s="43" t="str">
        <f t="shared" si="2575"/>
        <v/>
      </c>
      <c r="DU163" s="43" t="str">
        <f t="shared" si="2576"/>
        <v/>
      </c>
      <c r="DV163" s="43" t="str">
        <f t="shared" si="2577"/>
        <v/>
      </c>
      <c r="DW163" s="43" t="str">
        <f t="shared" si="2578"/>
        <v/>
      </c>
      <c r="DX163" s="43" t="str">
        <f t="shared" si="2579"/>
        <v/>
      </c>
      <c r="DY163" s="43" t="str">
        <f t="shared" si="2580"/>
        <v/>
      </c>
      <c r="DZ163" s="43" t="str">
        <f t="shared" si="2581"/>
        <v/>
      </c>
      <c r="EA163" s="43" t="str">
        <f t="shared" si="2582"/>
        <v/>
      </c>
      <c r="EB163" s="43" t="str">
        <f t="shared" si="2583"/>
        <v/>
      </c>
      <c r="EC163" s="43" t="str">
        <f t="shared" si="2584"/>
        <v/>
      </c>
      <c r="ED163" s="43" t="str">
        <f t="shared" si="2585"/>
        <v/>
      </c>
      <c r="EE163" s="43" t="str">
        <f t="shared" si="2586"/>
        <v/>
      </c>
      <c r="EF163" s="43" t="str">
        <f t="shared" si="2587"/>
        <v/>
      </c>
      <c r="EG163" s="43" t="str">
        <f t="shared" si="2588"/>
        <v/>
      </c>
      <c r="EH163" s="43" t="str">
        <f t="shared" si="2589"/>
        <v/>
      </c>
      <c r="EI163" s="43" t="str">
        <f t="shared" si="2590"/>
        <v/>
      </c>
      <c r="EJ163" s="43" t="str">
        <f t="shared" si="2591"/>
        <v/>
      </c>
      <c r="EK163" s="43" t="str">
        <f t="shared" si="2592"/>
        <v/>
      </c>
      <c r="EL163" s="43" t="str">
        <f t="shared" si="2593"/>
        <v/>
      </c>
      <c r="EM163" s="43" t="str">
        <f t="shared" si="2594"/>
        <v/>
      </c>
      <c r="EN163" s="43" t="str">
        <f t="shared" si="2595"/>
        <v/>
      </c>
      <c r="EO163" s="43" t="str">
        <f t="shared" si="2596"/>
        <v/>
      </c>
      <c r="EP163" s="43" t="str">
        <f t="shared" si="2597"/>
        <v/>
      </c>
      <c r="EQ163" s="43" t="str">
        <f t="shared" si="2598"/>
        <v/>
      </c>
      <c r="ER163" s="43" t="str">
        <f t="shared" si="2599"/>
        <v/>
      </c>
      <c r="ES163" s="43" t="str">
        <f t="shared" si="2600"/>
        <v/>
      </c>
      <c r="ET163" s="43" t="str">
        <f t="shared" si="2601"/>
        <v/>
      </c>
      <c r="EU163" s="43" t="str">
        <f t="shared" si="2602"/>
        <v/>
      </c>
      <c r="EV163" s="43" t="str">
        <f t="shared" si="2603"/>
        <v/>
      </c>
      <c r="EW163" s="43" t="str">
        <f t="shared" si="2604"/>
        <v/>
      </c>
      <c r="EX163" s="43" t="str">
        <f t="shared" si="2605"/>
        <v/>
      </c>
      <c r="EY163" s="43" t="str">
        <f t="shared" si="2606"/>
        <v/>
      </c>
      <c r="EZ163" s="43" t="str">
        <f t="shared" si="2607"/>
        <v/>
      </c>
      <c r="FA163" s="43" t="str">
        <f t="shared" si="2608"/>
        <v/>
      </c>
      <c r="FB163" s="43" t="str">
        <f t="shared" si="2609"/>
        <v/>
      </c>
      <c r="FC163" s="43" t="str">
        <f t="shared" si="2610"/>
        <v/>
      </c>
      <c r="FD163" s="43" t="str">
        <f t="shared" si="2611"/>
        <v/>
      </c>
      <c r="FE163" s="43" t="str">
        <f t="shared" si="2612"/>
        <v/>
      </c>
      <c r="FF163" s="43" t="str">
        <f t="shared" si="2613"/>
        <v/>
      </c>
      <c r="FG163" s="43" t="str">
        <f t="shared" si="2614"/>
        <v/>
      </c>
      <c r="FH163" s="43" t="str">
        <f t="shared" si="2615"/>
        <v/>
      </c>
      <c r="FI163" s="43" t="str">
        <f t="shared" si="2616"/>
        <v/>
      </c>
      <c r="FJ163" s="43" t="str">
        <f t="shared" si="2617"/>
        <v/>
      </c>
      <c r="FK163" s="43" t="str">
        <f t="shared" si="2618"/>
        <v/>
      </c>
      <c r="FL163" s="43" t="str">
        <f t="shared" si="2619"/>
        <v/>
      </c>
      <c r="FM163" s="43" t="str">
        <f t="shared" si="2620"/>
        <v/>
      </c>
      <c r="FN163" s="43" t="str">
        <f t="shared" si="2621"/>
        <v/>
      </c>
      <c r="FO163" s="43" t="str">
        <f t="shared" si="2622"/>
        <v/>
      </c>
      <c r="FP163" s="43" t="str">
        <f t="shared" si="2623"/>
        <v/>
      </c>
      <c r="FQ163" s="43" t="str">
        <f t="shared" si="2624"/>
        <v/>
      </c>
      <c r="FR163" s="43" t="str">
        <f t="shared" si="2625"/>
        <v/>
      </c>
      <c r="FS163" s="43" t="str">
        <f t="shared" si="2626"/>
        <v/>
      </c>
    </row>
    <row r="164" ht="15" spans="1:175">
      <c r="A164" s="88"/>
      <c r="B164" s="4" t="s">
        <v>553</v>
      </c>
      <c r="C164" s="88" t="s">
        <v>554</v>
      </c>
      <c r="T164" s="88" t="s">
        <v>554</v>
      </c>
      <c r="U164" s="59" t="str">
        <f t="shared" si="1168"/>
        <v>ReplaceableTextures\\CommandButtons\\BTNIT14.blp</v>
      </c>
      <c r="CN164" s="12" t="str">
        <f t="shared" si="2406"/>
        <v>InitUnitState('IT14',,,,,,,,,,)</v>
      </c>
      <c r="CO164" s="12" t="str">
        <f t="shared" si="2407"/>
        <v>InitUnitNormal('IT14',,,,,,,,,,)</v>
      </c>
      <c r="CP164" s="12" t="str">
        <f t="shared" si="2408"/>
        <v>InitUnitMagic('IT14',,,,,,,,,,)</v>
      </c>
      <c r="CQ164" s="12" t="str">
        <f t="shared" si="2409"/>
        <v>InitUnitAdd('IT14',,,,,,,,,,)</v>
      </c>
      <c r="CR164" s="12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173&amp;CR$1&amp;")"</f>
        <v>InitEquipData('IT14',,"",,,,,'','','','','','',"ReplaceableTextures\\CommandButtons\\BTNIH00.blp")</v>
      </c>
      <c r="CU164" s="71" t="str">
        <f t="shared" si="2555"/>
        <v>|n</v>
      </c>
      <c r="CV164" s="5" t="str">
        <f t="shared" si="2556"/>
        <v>境界挑战14</v>
      </c>
      <c r="CW164" s="6"/>
      <c r="CX164" s="6"/>
      <c r="CY164" s="6"/>
      <c r="CZ164" s="6"/>
      <c r="DA164" s="6"/>
      <c r="DB164" s="43" t="str">
        <f t="shared" ref="DB164:EG164" si="2627">IF(V164="","","|n"&amp;DB$2&amp;"+"&amp;V164&amp;DB$1)</f>
        <v/>
      </c>
      <c r="DC164" s="43" t="str">
        <f t="shared" si="2627"/>
        <v/>
      </c>
      <c r="DD164" s="43" t="str">
        <f t="shared" si="2627"/>
        <v/>
      </c>
      <c r="DE164" s="43" t="str">
        <f t="shared" si="2627"/>
        <v/>
      </c>
      <c r="DF164" s="43" t="str">
        <f t="shared" si="2627"/>
        <v/>
      </c>
      <c r="DG164" s="43" t="str">
        <f t="shared" si="2627"/>
        <v/>
      </c>
      <c r="DH164" s="43" t="str">
        <f t="shared" si="2627"/>
        <v/>
      </c>
      <c r="DI164" s="43" t="str">
        <f t="shared" si="2627"/>
        <v/>
      </c>
      <c r="DJ164" s="43" t="str">
        <f t="shared" si="2627"/>
        <v/>
      </c>
      <c r="DK164" s="43" t="str">
        <f t="shared" si="2627"/>
        <v/>
      </c>
      <c r="DL164" s="43" t="str">
        <f t="shared" si="2627"/>
        <v/>
      </c>
      <c r="DM164" s="43" t="str">
        <f t="shared" si="2627"/>
        <v/>
      </c>
      <c r="DN164" s="43" t="str">
        <f t="shared" si="2627"/>
        <v/>
      </c>
      <c r="DO164" s="43" t="str">
        <f t="shared" si="2627"/>
        <v/>
      </c>
      <c r="DP164" s="43" t="str">
        <f t="shared" si="2627"/>
        <v/>
      </c>
      <c r="DQ164" s="43" t="str">
        <f t="shared" si="2627"/>
        <v/>
      </c>
      <c r="DR164" s="43" t="str">
        <f t="shared" si="2627"/>
        <v/>
      </c>
      <c r="DS164" s="43" t="str">
        <f t="shared" si="2627"/>
        <v/>
      </c>
      <c r="DT164" s="43" t="str">
        <f t="shared" si="2627"/>
        <v/>
      </c>
      <c r="DU164" s="43" t="str">
        <f t="shared" si="2627"/>
        <v/>
      </c>
      <c r="DV164" s="43" t="str">
        <f t="shared" si="2627"/>
        <v/>
      </c>
      <c r="DW164" s="43" t="str">
        <f t="shared" si="2627"/>
        <v/>
      </c>
      <c r="DX164" s="43" t="str">
        <f t="shared" si="2627"/>
        <v/>
      </c>
      <c r="DY164" s="43" t="str">
        <f t="shared" si="2627"/>
        <v/>
      </c>
      <c r="DZ164" s="43" t="str">
        <f t="shared" si="2627"/>
        <v/>
      </c>
      <c r="EA164" s="43" t="str">
        <f t="shared" si="2627"/>
        <v/>
      </c>
      <c r="EB164" s="43" t="str">
        <f t="shared" si="2627"/>
        <v/>
      </c>
      <c r="EC164" s="43" t="str">
        <f t="shared" si="2627"/>
        <v/>
      </c>
      <c r="ED164" s="43" t="str">
        <f t="shared" si="2627"/>
        <v/>
      </c>
      <c r="EE164" s="43" t="str">
        <f t="shared" si="2627"/>
        <v/>
      </c>
      <c r="EF164" s="43" t="str">
        <f t="shared" si="2627"/>
        <v/>
      </c>
      <c r="EG164" s="43" t="str">
        <f t="shared" si="2627"/>
        <v/>
      </c>
      <c r="EH164" s="43" t="str">
        <f t="shared" ref="EH164:FM164" si="2628">IF(BB164="","","|n"&amp;EH$2&amp;"+"&amp;BB164&amp;EH$1)</f>
        <v/>
      </c>
      <c r="EI164" s="43" t="str">
        <f t="shared" si="2628"/>
        <v/>
      </c>
      <c r="EJ164" s="43" t="str">
        <f t="shared" si="2628"/>
        <v/>
      </c>
      <c r="EK164" s="43" t="str">
        <f t="shared" si="2628"/>
        <v/>
      </c>
      <c r="EL164" s="43" t="str">
        <f t="shared" si="2628"/>
        <v/>
      </c>
      <c r="EM164" s="43" t="str">
        <f t="shared" si="2628"/>
        <v/>
      </c>
      <c r="EN164" s="43" t="str">
        <f t="shared" si="2628"/>
        <v/>
      </c>
      <c r="EO164" s="43" t="str">
        <f t="shared" si="2628"/>
        <v/>
      </c>
      <c r="EP164" s="43" t="str">
        <f t="shared" si="2628"/>
        <v/>
      </c>
      <c r="EQ164" s="43" t="str">
        <f t="shared" si="2628"/>
        <v/>
      </c>
      <c r="ER164" s="43" t="str">
        <f t="shared" si="2628"/>
        <v/>
      </c>
      <c r="ES164" s="43" t="str">
        <f t="shared" si="2628"/>
        <v/>
      </c>
      <c r="ET164" s="43" t="str">
        <f t="shared" si="2628"/>
        <v/>
      </c>
      <c r="EU164" s="43" t="str">
        <f t="shared" si="2628"/>
        <v/>
      </c>
      <c r="EV164" s="43" t="str">
        <f t="shared" si="2628"/>
        <v/>
      </c>
      <c r="EW164" s="43" t="str">
        <f t="shared" si="2628"/>
        <v/>
      </c>
      <c r="EX164" s="43" t="str">
        <f t="shared" si="2628"/>
        <v/>
      </c>
      <c r="EY164" s="43" t="str">
        <f t="shared" si="2628"/>
        <v/>
      </c>
      <c r="EZ164" s="43" t="str">
        <f t="shared" si="2628"/>
        <v/>
      </c>
      <c r="FA164" s="43" t="str">
        <f t="shared" si="2628"/>
        <v/>
      </c>
      <c r="FB164" s="43" t="str">
        <f t="shared" si="2628"/>
        <v/>
      </c>
      <c r="FC164" s="43" t="str">
        <f t="shared" si="2628"/>
        <v/>
      </c>
      <c r="FD164" s="43" t="str">
        <f t="shared" si="2628"/>
        <v/>
      </c>
      <c r="FE164" s="43" t="str">
        <f t="shared" si="2628"/>
        <v/>
      </c>
      <c r="FF164" s="43" t="str">
        <f t="shared" si="2628"/>
        <v/>
      </c>
      <c r="FG164" s="43" t="str">
        <f t="shared" si="2628"/>
        <v/>
      </c>
      <c r="FH164" s="43" t="str">
        <f t="shared" si="2628"/>
        <v/>
      </c>
      <c r="FI164" s="43" t="str">
        <f t="shared" si="2628"/>
        <v/>
      </c>
      <c r="FJ164" s="43" t="str">
        <f t="shared" si="2628"/>
        <v/>
      </c>
      <c r="FK164" s="43" t="str">
        <f t="shared" si="2628"/>
        <v/>
      </c>
      <c r="FL164" s="43" t="str">
        <f t="shared" si="2628"/>
        <v/>
      </c>
      <c r="FM164" s="43" t="str">
        <f t="shared" si="2628"/>
        <v/>
      </c>
      <c r="FN164" s="43" t="str">
        <f t="shared" ref="FN164:FS164" si="2629">IF(CH164="","","|n"&amp;FN$2&amp;"+"&amp;CH164&amp;FN$1)</f>
        <v/>
      </c>
      <c r="FO164" s="43" t="str">
        <f t="shared" si="2629"/>
        <v/>
      </c>
      <c r="FP164" s="43" t="str">
        <f t="shared" si="2629"/>
        <v/>
      </c>
      <c r="FQ164" s="43" t="str">
        <f t="shared" si="2629"/>
        <v/>
      </c>
      <c r="FR164" s="43" t="str">
        <f t="shared" si="2629"/>
        <v/>
      </c>
      <c r="FS164" s="43" t="str">
        <f t="shared" si="2629"/>
        <v/>
      </c>
    </row>
    <row r="165" s="36" customFormat="1" ht="15" spans="1:175">
      <c r="A165" s="88"/>
      <c r="B165" s="4" t="s">
        <v>555</v>
      </c>
      <c r="C165" s="88" t="s">
        <v>556</v>
      </c>
      <c r="D165" s="73"/>
      <c r="E165" s="73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78"/>
      <c r="Q165" s="78"/>
      <c r="R165" s="78"/>
      <c r="S165" s="78"/>
      <c r="T165" s="88" t="s">
        <v>557</v>
      </c>
      <c r="U165" s="59" t="str">
        <f t="shared" si="1168"/>
        <v>ReplaceableTextures\\CommandButtons\\BTNIZ01.blp</v>
      </c>
      <c r="V165" s="94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95"/>
      <c r="AJ165" s="95"/>
      <c r="AK165" s="95"/>
      <c r="AL165" s="95"/>
      <c r="AM165" s="95"/>
      <c r="AN165" s="95"/>
      <c r="AO165" s="95"/>
      <c r="AP165" s="95"/>
      <c r="AQ165" s="95"/>
      <c r="AR165" s="42"/>
      <c r="AS165" s="42"/>
      <c r="AT165" s="95"/>
      <c r="AU165" s="95"/>
      <c r="AV165" s="95"/>
      <c r="AW165" s="95"/>
      <c r="AX165" s="95"/>
      <c r="AY165" s="95"/>
      <c r="AZ165" s="95"/>
      <c r="BA165" s="95"/>
      <c r="BB165" s="95"/>
      <c r="BC165" s="95"/>
      <c r="BD165" s="95"/>
      <c r="BE165" s="95"/>
      <c r="BF165" s="95"/>
      <c r="BG165" s="95"/>
      <c r="BH165" s="95"/>
      <c r="BI165" s="95"/>
      <c r="BJ165" s="95"/>
      <c r="BK165" s="95"/>
      <c r="BL165" s="95"/>
      <c r="BM165" s="95"/>
      <c r="BN165" s="95"/>
      <c r="BO165" s="95"/>
      <c r="BP165" s="95"/>
      <c r="BQ165" s="95"/>
      <c r="BR165" s="95"/>
      <c r="BS165" s="95"/>
      <c r="BT165" s="95"/>
      <c r="BU165" s="95"/>
      <c r="BV165" s="95"/>
      <c r="BW165" s="95"/>
      <c r="BX165" s="95"/>
      <c r="BY165" s="95"/>
      <c r="BZ165" s="95"/>
      <c r="CA165" s="95"/>
      <c r="CB165" s="95"/>
      <c r="CC165" s="95"/>
      <c r="CD165" s="95"/>
      <c r="CE165" s="95"/>
      <c r="CF165" s="95"/>
      <c r="CG165" s="95"/>
      <c r="CH165" s="95"/>
      <c r="CI165" s="95"/>
      <c r="CJ165" s="95"/>
      <c r="CK165" s="95"/>
      <c r="CL165" s="95"/>
      <c r="CM165" s="95"/>
      <c r="CN165" s="96" t="str">
        <f t="shared" si="2406"/>
        <v>InitUnitState('IZ01',,,,,,,,,,)</v>
      </c>
      <c r="CO165" s="96" t="str">
        <f t="shared" si="2407"/>
        <v>InitUnitNormal('IZ01',,,,,,,,,,)</v>
      </c>
      <c r="CP165" s="96" t="str">
        <f t="shared" si="2408"/>
        <v>InitUnitMagic('IZ01',,,,,,,,,,)</v>
      </c>
      <c r="CQ165" s="96" t="str">
        <f t="shared" si="2409"/>
        <v>InitUnitAdd('IZ01',,,,,,,,,,)</v>
      </c>
      <c r="CR165" s="96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InitEquipData('IZ01',,"",,,,,'','','','','','',"ReplaceableTextures\\CommandButtons\\BTN001.blp")</v>
      </c>
      <c r="CS165" s="96"/>
      <c r="CT165" s="96"/>
      <c r="CU165" s="71" t="str">
        <f t="shared" si="2555"/>
        <v>|n</v>
      </c>
      <c r="CV165" s="36" t="str">
        <f t="shared" si="2556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5" s="6"/>
      <c r="CX165" s="6"/>
      <c r="CY165" s="6"/>
      <c r="CZ165" s="6"/>
      <c r="DA165" s="6"/>
      <c r="DB165" s="97" t="str">
        <f t="shared" ref="DB165:FM165" si="2630">IF(V165="","","|n"&amp;DB$2&amp;"+"&amp;V165&amp;DB$1)</f>
        <v/>
      </c>
      <c r="DC165" s="97" t="str">
        <f t="shared" si="2630"/>
        <v/>
      </c>
      <c r="DD165" s="97" t="str">
        <f t="shared" si="2630"/>
        <v/>
      </c>
      <c r="DE165" s="97" t="str">
        <f t="shared" si="2630"/>
        <v/>
      </c>
      <c r="DF165" s="97" t="str">
        <f t="shared" si="2630"/>
        <v/>
      </c>
      <c r="DG165" s="97" t="str">
        <f t="shared" si="2630"/>
        <v/>
      </c>
      <c r="DH165" s="97" t="str">
        <f t="shared" si="2630"/>
        <v/>
      </c>
      <c r="DI165" s="97" t="str">
        <f t="shared" si="2630"/>
        <v/>
      </c>
      <c r="DJ165" s="97" t="str">
        <f t="shared" si="2630"/>
        <v/>
      </c>
      <c r="DK165" s="97" t="str">
        <f t="shared" si="2630"/>
        <v/>
      </c>
      <c r="DL165" s="97" t="str">
        <f t="shared" si="2630"/>
        <v/>
      </c>
      <c r="DM165" s="97" t="str">
        <f t="shared" si="2630"/>
        <v/>
      </c>
      <c r="DN165" s="97" t="str">
        <f t="shared" si="2630"/>
        <v/>
      </c>
      <c r="DO165" s="97" t="str">
        <f t="shared" si="2630"/>
        <v/>
      </c>
      <c r="DP165" s="97" t="str">
        <f t="shared" si="2630"/>
        <v/>
      </c>
      <c r="DQ165" s="97" t="str">
        <f t="shared" si="2630"/>
        <v/>
      </c>
      <c r="DR165" s="97" t="str">
        <f t="shared" si="2630"/>
        <v/>
      </c>
      <c r="DS165" s="97" t="str">
        <f t="shared" si="2630"/>
        <v/>
      </c>
      <c r="DT165" s="97" t="str">
        <f t="shared" si="2630"/>
        <v/>
      </c>
      <c r="DU165" s="97" t="str">
        <f t="shared" si="2630"/>
        <v/>
      </c>
      <c r="DV165" s="97" t="str">
        <f t="shared" si="2630"/>
        <v/>
      </c>
      <c r="DW165" s="97" t="str">
        <f t="shared" si="2630"/>
        <v/>
      </c>
      <c r="DX165" s="97" t="str">
        <f t="shared" si="2630"/>
        <v/>
      </c>
      <c r="DY165" s="97" t="str">
        <f t="shared" si="2630"/>
        <v/>
      </c>
      <c r="DZ165" s="97" t="str">
        <f t="shared" si="2630"/>
        <v/>
      </c>
      <c r="EA165" s="97" t="str">
        <f t="shared" si="2630"/>
        <v/>
      </c>
      <c r="EB165" s="97" t="str">
        <f t="shared" si="2630"/>
        <v/>
      </c>
      <c r="EC165" s="97" t="str">
        <f t="shared" si="2630"/>
        <v/>
      </c>
      <c r="ED165" s="97" t="str">
        <f t="shared" si="2630"/>
        <v/>
      </c>
      <c r="EE165" s="97" t="str">
        <f t="shared" si="2630"/>
        <v/>
      </c>
      <c r="EF165" s="97" t="str">
        <f t="shared" si="2630"/>
        <v/>
      </c>
      <c r="EG165" s="97" t="str">
        <f t="shared" si="2630"/>
        <v/>
      </c>
      <c r="EH165" s="97" t="str">
        <f t="shared" si="2630"/>
        <v/>
      </c>
      <c r="EI165" s="97" t="str">
        <f t="shared" si="2630"/>
        <v/>
      </c>
      <c r="EJ165" s="97" t="str">
        <f t="shared" si="2630"/>
        <v/>
      </c>
      <c r="EK165" s="97" t="str">
        <f t="shared" si="2630"/>
        <v/>
      </c>
      <c r="EL165" s="97" t="str">
        <f t="shared" si="2630"/>
        <v/>
      </c>
      <c r="EM165" s="97" t="str">
        <f t="shared" si="2630"/>
        <v/>
      </c>
      <c r="EN165" s="97" t="str">
        <f t="shared" si="2630"/>
        <v/>
      </c>
      <c r="EO165" s="97" t="str">
        <f t="shared" si="2630"/>
        <v/>
      </c>
      <c r="EP165" s="97" t="str">
        <f t="shared" si="2630"/>
        <v/>
      </c>
      <c r="EQ165" s="97" t="str">
        <f t="shared" si="2630"/>
        <v/>
      </c>
      <c r="ER165" s="97" t="str">
        <f t="shared" si="2630"/>
        <v/>
      </c>
      <c r="ES165" s="97" t="str">
        <f t="shared" si="2630"/>
        <v/>
      </c>
      <c r="ET165" s="97" t="str">
        <f t="shared" si="2630"/>
        <v/>
      </c>
      <c r="EU165" s="97" t="str">
        <f t="shared" si="2630"/>
        <v/>
      </c>
      <c r="EV165" s="97" t="str">
        <f t="shared" si="2630"/>
        <v/>
      </c>
      <c r="EW165" s="97" t="str">
        <f t="shared" si="2630"/>
        <v/>
      </c>
      <c r="EX165" s="97" t="str">
        <f t="shared" si="2630"/>
        <v/>
      </c>
      <c r="EY165" s="97" t="str">
        <f t="shared" si="2630"/>
        <v/>
      </c>
      <c r="EZ165" s="97" t="str">
        <f t="shared" si="2630"/>
        <v/>
      </c>
      <c r="FA165" s="97" t="str">
        <f t="shared" si="2630"/>
        <v/>
      </c>
      <c r="FB165" s="97" t="str">
        <f t="shared" si="2630"/>
        <v/>
      </c>
      <c r="FC165" s="97" t="str">
        <f t="shared" si="2630"/>
        <v/>
      </c>
      <c r="FD165" s="97" t="str">
        <f t="shared" si="2630"/>
        <v/>
      </c>
      <c r="FE165" s="97" t="str">
        <f t="shared" si="2630"/>
        <v/>
      </c>
      <c r="FF165" s="97" t="str">
        <f t="shared" si="2630"/>
        <v/>
      </c>
      <c r="FG165" s="97" t="str">
        <f t="shared" si="2630"/>
        <v/>
      </c>
      <c r="FH165" s="97" t="str">
        <f t="shared" si="2630"/>
        <v/>
      </c>
      <c r="FI165" s="97" t="str">
        <f t="shared" si="2630"/>
        <v/>
      </c>
      <c r="FJ165" s="97" t="str">
        <f t="shared" si="2630"/>
        <v/>
      </c>
      <c r="FK165" s="97" t="str">
        <f t="shared" si="2630"/>
        <v/>
      </c>
      <c r="FL165" s="97" t="str">
        <f t="shared" si="2630"/>
        <v/>
      </c>
      <c r="FM165" s="97" t="str">
        <f t="shared" si="2630"/>
        <v/>
      </c>
      <c r="FN165" s="97" t="str">
        <f t="shared" ref="FN165:FS165" si="2631">IF(CH165="","","|n"&amp;FN$2&amp;"+"&amp;CH165&amp;FN$1)</f>
        <v/>
      </c>
      <c r="FO165" s="97" t="str">
        <f t="shared" si="2631"/>
        <v/>
      </c>
      <c r="FP165" s="97" t="str">
        <f t="shared" si="2631"/>
        <v/>
      </c>
      <c r="FQ165" s="97" t="str">
        <f t="shared" si="2631"/>
        <v/>
      </c>
      <c r="FR165" s="97" t="str">
        <f t="shared" si="2631"/>
        <v/>
      </c>
      <c r="FS165" s="97" t="str">
        <f t="shared" si="2631"/>
        <v/>
      </c>
    </row>
    <row r="166" ht="15" spans="1:175">
      <c r="A166" s="88"/>
      <c r="B166" s="4" t="s">
        <v>558</v>
      </c>
      <c r="C166" s="88" t="s">
        <v>559</v>
      </c>
      <c r="T166" s="88" t="s">
        <v>559</v>
      </c>
      <c r="U166" s="59" t="s">
        <v>560</v>
      </c>
      <c r="CN166" s="12" t="str">
        <f t="shared" si="2406"/>
        <v>InitUnitState('IS01',,,,,,,,,,)</v>
      </c>
      <c r="CO166" s="12" t="str">
        <f t="shared" si="2407"/>
        <v>InitUnitNormal('IS01',,,,,,,,,,)</v>
      </c>
      <c r="CP166" s="12" t="str">
        <f t="shared" si="2408"/>
        <v>InitUnitMagic('IS01',,,,,,,,,,)</v>
      </c>
      <c r="CQ166" s="12" t="str">
        <f t="shared" si="2409"/>
        <v>InitUnitAdd('IS01',,,,,,,,,,)</v>
      </c>
      <c r="CR166" s="12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InitEquipData('IS01',,"",,,,,'','','','','','',"ReplaceableTextures\\CommandButtons\\BTN002.blp")</v>
      </c>
      <c r="CU166" s="71" t="str">
        <f t="shared" si="2555"/>
        <v>|n</v>
      </c>
      <c r="CV166" s="5" t="str">
        <f t="shared" si="2556"/>
        <v>抽技能Q</v>
      </c>
      <c r="CW166" s="6"/>
      <c r="CX166" s="6"/>
      <c r="CY166" s="6"/>
      <c r="CZ166" s="6"/>
      <c r="DA166" s="6"/>
      <c r="DB166" s="43" t="str">
        <f t="shared" ref="DB166:DK167" si="2632">IF(V166="","","|n"&amp;DB$2&amp;"+"&amp;V166&amp;DB$1)</f>
        <v/>
      </c>
      <c r="DC166" s="43" t="str">
        <f t="shared" si="2632"/>
        <v/>
      </c>
      <c r="DD166" s="43" t="str">
        <f t="shared" si="2632"/>
        <v/>
      </c>
      <c r="DE166" s="43" t="str">
        <f t="shared" si="2632"/>
        <v/>
      </c>
      <c r="DF166" s="43" t="str">
        <f t="shared" si="2632"/>
        <v/>
      </c>
      <c r="DG166" s="43" t="str">
        <f t="shared" si="2632"/>
        <v/>
      </c>
      <c r="DH166" s="43" t="str">
        <f t="shared" si="2632"/>
        <v/>
      </c>
      <c r="DI166" s="43" t="str">
        <f t="shared" si="2632"/>
        <v/>
      </c>
      <c r="DJ166" s="43" t="str">
        <f t="shared" si="2632"/>
        <v/>
      </c>
      <c r="DK166" s="43" t="str">
        <f t="shared" si="2632"/>
        <v/>
      </c>
      <c r="DL166" s="43" t="str">
        <f t="shared" ref="DL166:DU167" si="2633">IF(AF166="","","|n"&amp;DL$2&amp;"+"&amp;AF166&amp;DL$1)</f>
        <v/>
      </c>
      <c r="DM166" s="43" t="str">
        <f t="shared" si="2633"/>
        <v/>
      </c>
      <c r="DN166" s="43" t="str">
        <f t="shared" si="2633"/>
        <v/>
      </c>
      <c r="DO166" s="43" t="str">
        <f t="shared" si="2633"/>
        <v/>
      </c>
      <c r="DP166" s="43" t="str">
        <f t="shared" si="2633"/>
        <v/>
      </c>
      <c r="DQ166" s="43" t="str">
        <f t="shared" si="2633"/>
        <v/>
      </c>
      <c r="DR166" s="43" t="str">
        <f t="shared" si="2633"/>
        <v/>
      </c>
      <c r="DS166" s="43" t="str">
        <f t="shared" si="2633"/>
        <v/>
      </c>
      <c r="DT166" s="43" t="str">
        <f t="shared" si="2633"/>
        <v/>
      </c>
      <c r="DU166" s="43" t="str">
        <f t="shared" si="2633"/>
        <v/>
      </c>
      <c r="DV166" s="43" t="str">
        <f t="shared" ref="DV166:EE167" si="2634">IF(AP166="","","|n"&amp;DV$2&amp;"+"&amp;AP166&amp;DV$1)</f>
        <v/>
      </c>
      <c r="DW166" s="43" t="str">
        <f t="shared" si="2634"/>
        <v/>
      </c>
      <c r="DX166" s="43" t="str">
        <f t="shared" si="2634"/>
        <v/>
      </c>
      <c r="DY166" s="43" t="str">
        <f t="shared" si="2634"/>
        <v/>
      </c>
      <c r="DZ166" s="43" t="str">
        <f t="shared" si="2634"/>
        <v/>
      </c>
      <c r="EA166" s="43" t="str">
        <f t="shared" si="2634"/>
        <v/>
      </c>
      <c r="EB166" s="43" t="str">
        <f t="shared" si="2634"/>
        <v/>
      </c>
      <c r="EC166" s="43" t="str">
        <f t="shared" si="2634"/>
        <v/>
      </c>
      <c r="ED166" s="43" t="str">
        <f t="shared" si="2634"/>
        <v/>
      </c>
      <c r="EE166" s="43" t="str">
        <f t="shared" si="2634"/>
        <v/>
      </c>
      <c r="EF166" s="43" t="str">
        <f t="shared" ref="EF166:EO167" si="2635">IF(AZ166="","","|n"&amp;EF$2&amp;"+"&amp;AZ166&amp;EF$1)</f>
        <v/>
      </c>
      <c r="EG166" s="43" t="str">
        <f t="shared" si="2635"/>
        <v/>
      </c>
      <c r="EH166" s="43" t="str">
        <f t="shared" si="2635"/>
        <v/>
      </c>
      <c r="EI166" s="43" t="str">
        <f t="shared" si="2635"/>
        <v/>
      </c>
      <c r="EJ166" s="43" t="str">
        <f t="shared" si="2635"/>
        <v/>
      </c>
      <c r="EK166" s="43" t="str">
        <f t="shared" si="2635"/>
        <v/>
      </c>
      <c r="EL166" s="43" t="str">
        <f t="shared" si="2635"/>
        <v/>
      </c>
      <c r="EM166" s="43" t="str">
        <f t="shared" si="2635"/>
        <v/>
      </c>
      <c r="EN166" s="43" t="str">
        <f t="shared" si="2635"/>
        <v/>
      </c>
      <c r="EO166" s="43" t="str">
        <f t="shared" si="2635"/>
        <v/>
      </c>
      <c r="EP166" s="43" t="str">
        <f t="shared" ref="EP166:EY167" si="2636">IF(BJ166="","","|n"&amp;EP$2&amp;"+"&amp;BJ166&amp;EP$1)</f>
        <v/>
      </c>
      <c r="EQ166" s="43" t="str">
        <f t="shared" si="2636"/>
        <v/>
      </c>
      <c r="ER166" s="43" t="str">
        <f t="shared" si="2636"/>
        <v/>
      </c>
      <c r="ES166" s="43" t="str">
        <f t="shared" si="2636"/>
        <v/>
      </c>
      <c r="ET166" s="43" t="str">
        <f t="shared" si="2636"/>
        <v/>
      </c>
      <c r="EU166" s="43" t="str">
        <f t="shared" si="2636"/>
        <v/>
      </c>
      <c r="EV166" s="43" t="str">
        <f t="shared" si="2636"/>
        <v/>
      </c>
      <c r="EW166" s="43" t="str">
        <f t="shared" si="2636"/>
        <v/>
      </c>
      <c r="EX166" s="43" t="str">
        <f t="shared" si="2636"/>
        <v/>
      </c>
      <c r="EY166" s="43" t="str">
        <f t="shared" si="2636"/>
        <v/>
      </c>
      <c r="EZ166" s="43" t="str">
        <f t="shared" ref="EZ166:FI167" si="2637">IF(BT166="","","|n"&amp;EZ$2&amp;"+"&amp;BT166&amp;EZ$1)</f>
        <v/>
      </c>
      <c r="FA166" s="43" t="str">
        <f t="shared" si="2637"/>
        <v/>
      </c>
      <c r="FB166" s="43" t="str">
        <f t="shared" si="2637"/>
        <v/>
      </c>
      <c r="FC166" s="43" t="str">
        <f t="shared" si="2637"/>
        <v/>
      </c>
      <c r="FD166" s="43" t="str">
        <f t="shared" si="2637"/>
        <v/>
      </c>
      <c r="FE166" s="43" t="str">
        <f t="shared" si="2637"/>
        <v/>
      </c>
      <c r="FF166" s="43" t="str">
        <f t="shared" si="2637"/>
        <v/>
      </c>
      <c r="FG166" s="43" t="str">
        <f t="shared" si="2637"/>
        <v/>
      </c>
      <c r="FH166" s="43" t="str">
        <f t="shared" si="2637"/>
        <v/>
      </c>
      <c r="FI166" s="43" t="str">
        <f t="shared" si="2637"/>
        <v/>
      </c>
      <c r="FJ166" s="43" t="str">
        <f t="shared" ref="FJ166:FS167" si="2638">IF(CD166="","","|n"&amp;FJ$2&amp;"+"&amp;CD166&amp;FJ$1)</f>
        <v/>
      </c>
      <c r="FK166" s="43" t="str">
        <f t="shared" si="2638"/>
        <v/>
      </c>
      <c r="FL166" s="43" t="str">
        <f t="shared" si="2638"/>
        <v/>
      </c>
      <c r="FM166" s="43" t="str">
        <f t="shared" si="2638"/>
        <v/>
      </c>
      <c r="FN166" s="43" t="str">
        <f t="shared" si="2638"/>
        <v/>
      </c>
      <c r="FO166" s="43" t="str">
        <f t="shared" si="2638"/>
        <v/>
      </c>
      <c r="FP166" s="43" t="str">
        <f t="shared" si="2638"/>
        <v/>
      </c>
      <c r="FQ166" s="43" t="str">
        <f t="shared" si="2638"/>
        <v/>
      </c>
      <c r="FR166" s="43" t="str">
        <f t="shared" si="2638"/>
        <v/>
      </c>
      <c r="FS166" s="43" t="str">
        <f t="shared" si="2638"/>
        <v/>
      </c>
    </row>
    <row r="167" ht="15" spans="1:175">
      <c r="A167" s="88"/>
      <c r="B167" s="4" t="s">
        <v>561</v>
      </c>
      <c r="C167" s="88" t="s">
        <v>562</v>
      </c>
      <c r="T167" s="88" t="s">
        <v>562</v>
      </c>
      <c r="U167" s="59" t="s">
        <v>563</v>
      </c>
      <c r="CN167" s="12" t="str">
        <f t="shared" si="2406"/>
        <v>InitUnitState('IS02',,,,,,,,,,)</v>
      </c>
      <c r="CO167" s="12" t="str">
        <f t="shared" si="2407"/>
        <v>InitUnitNormal('IS02',,,,,,,,,,)</v>
      </c>
      <c r="CP167" s="12" t="str">
        <f t="shared" si="2408"/>
        <v>InitUnitMagic('IS02',,,,,,,,,,)</v>
      </c>
      <c r="CQ167" s="12" t="str">
        <f t="shared" si="2409"/>
        <v>InitUnitAdd('IS02',,,,,,,,,,)</v>
      </c>
      <c r="CR167" s="12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InitEquipData('IS02',,"",,,,,'','','','','','',"ReplaceableTextures\\CommandButtons\\BTN003.blp")</v>
      </c>
      <c r="CU167" s="71" t="str">
        <f t="shared" si="2555"/>
        <v>|n</v>
      </c>
      <c r="CV167" s="5" t="str">
        <f t="shared" si="2556"/>
        <v>抽技能W</v>
      </c>
      <c r="CW167" s="6"/>
      <c r="CX167" s="6"/>
      <c r="CY167" s="6"/>
      <c r="CZ167" s="6"/>
      <c r="DA167" s="6"/>
      <c r="DB167" s="43" t="str">
        <f t="shared" si="2632"/>
        <v/>
      </c>
      <c r="DC167" s="43" t="str">
        <f t="shared" si="2632"/>
        <v/>
      </c>
      <c r="DD167" s="43" t="str">
        <f t="shared" si="2632"/>
        <v/>
      </c>
      <c r="DE167" s="43" t="str">
        <f t="shared" si="2632"/>
        <v/>
      </c>
      <c r="DF167" s="43" t="str">
        <f t="shared" si="2632"/>
        <v/>
      </c>
      <c r="DG167" s="43" t="str">
        <f t="shared" si="2632"/>
        <v/>
      </c>
      <c r="DH167" s="43" t="str">
        <f t="shared" si="2632"/>
        <v/>
      </c>
      <c r="DI167" s="43" t="str">
        <f t="shared" si="2632"/>
        <v/>
      </c>
      <c r="DJ167" s="43" t="str">
        <f t="shared" si="2632"/>
        <v/>
      </c>
      <c r="DK167" s="43" t="str">
        <f t="shared" si="2632"/>
        <v/>
      </c>
      <c r="DL167" s="43" t="str">
        <f t="shared" si="2633"/>
        <v/>
      </c>
      <c r="DM167" s="43" t="str">
        <f t="shared" si="2633"/>
        <v/>
      </c>
      <c r="DN167" s="43" t="str">
        <f t="shared" si="2633"/>
        <v/>
      </c>
      <c r="DO167" s="43" t="str">
        <f t="shared" si="2633"/>
        <v/>
      </c>
      <c r="DP167" s="43" t="str">
        <f t="shared" si="2633"/>
        <v/>
      </c>
      <c r="DQ167" s="43" t="str">
        <f t="shared" si="2633"/>
        <v/>
      </c>
      <c r="DR167" s="43" t="str">
        <f t="shared" si="2633"/>
        <v/>
      </c>
      <c r="DS167" s="43" t="str">
        <f t="shared" si="2633"/>
        <v/>
      </c>
      <c r="DT167" s="43" t="str">
        <f t="shared" si="2633"/>
        <v/>
      </c>
      <c r="DU167" s="43" t="str">
        <f t="shared" si="2633"/>
        <v/>
      </c>
      <c r="DV167" s="43" t="str">
        <f t="shared" si="2634"/>
        <v/>
      </c>
      <c r="DW167" s="43" t="str">
        <f t="shared" si="2634"/>
        <v/>
      </c>
      <c r="DX167" s="43" t="str">
        <f t="shared" si="2634"/>
        <v/>
      </c>
      <c r="DY167" s="43" t="str">
        <f t="shared" si="2634"/>
        <v/>
      </c>
      <c r="DZ167" s="43" t="str">
        <f t="shared" si="2634"/>
        <v/>
      </c>
      <c r="EA167" s="43" t="str">
        <f t="shared" si="2634"/>
        <v/>
      </c>
      <c r="EB167" s="43" t="str">
        <f t="shared" si="2634"/>
        <v/>
      </c>
      <c r="EC167" s="43" t="str">
        <f t="shared" si="2634"/>
        <v/>
      </c>
      <c r="ED167" s="43" t="str">
        <f t="shared" si="2634"/>
        <v/>
      </c>
      <c r="EE167" s="43" t="str">
        <f t="shared" si="2634"/>
        <v/>
      </c>
      <c r="EF167" s="43" t="str">
        <f t="shared" si="2635"/>
        <v/>
      </c>
      <c r="EG167" s="43" t="str">
        <f t="shared" si="2635"/>
        <v/>
      </c>
      <c r="EH167" s="43" t="str">
        <f t="shared" si="2635"/>
        <v/>
      </c>
      <c r="EI167" s="43" t="str">
        <f t="shared" si="2635"/>
        <v/>
      </c>
      <c r="EJ167" s="43" t="str">
        <f t="shared" si="2635"/>
        <v/>
      </c>
      <c r="EK167" s="43" t="str">
        <f t="shared" si="2635"/>
        <v/>
      </c>
      <c r="EL167" s="43" t="str">
        <f t="shared" si="2635"/>
        <v/>
      </c>
      <c r="EM167" s="43" t="str">
        <f t="shared" si="2635"/>
        <v/>
      </c>
      <c r="EN167" s="43" t="str">
        <f t="shared" si="2635"/>
        <v/>
      </c>
      <c r="EO167" s="43" t="str">
        <f t="shared" si="2635"/>
        <v/>
      </c>
      <c r="EP167" s="43" t="str">
        <f t="shared" si="2636"/>
        <v/>
      </c>
      <c r="EQ167" s="43" t="str">
        <f t="shared" si="2636"/>
        <v/>
      </c>
      <c r="ER167" s="43" t="str">
        <f t="shared" si="2636"/>
        <v/>
      </c>
      <c r="ES167" s="43" t="str">
        <f t="shared" si="2636"/>
        <v/>
      </c>
      <c r="ET167" s="43" t="str">
        <f t="shared" si="2636"/>
        <v/>
      </c>
      <c r="EU167" s="43" t="str">
        <f t="shared" si="2636"/>
        <v/>
      </c>
      <c r="EV167" s="43" t="str">
        <f t="shared" si="2636"/>
        <v/>
      </c>
      <c r="EW167" s="43" t="str">
        <f t="shared" si="2636"/>
        <v/>
      </c>
      <c r="EX167" s="43" t="str">
        <f t="shared" si="2636"/>
        <v/>
      </c>
      <c r="EY167" s="43" t="str">
        <f t="shared" si="2636"/>
        <v/>
      </c>
      <c r="EZ167" s="43" t="str">
        <f t="shared" si="2637"/>
        <v/>
      </c>
      <c r="FA167" s="43" t="str">
        <f t="shared" si="2637"/>
        <v/>
      </c>
      <c r="FB167" s="43" t="str">
        <f t="shared" si="2637"/>
        <v/>
      </c>
      <c r="FC167" s="43" t="str">
        <f t="shared" si="2637"/>
        <v/>
      </c>
      <c r="FD167" s="43" t="str">
        <f t="shared" si="2637"/>
        <v/>
      </c>
      <c r="FE167" s="43" t="str">
        <f t="shared" si="2637"/>
        <v/>
      </c>
      <c r="FF167" s="43" t="str">
        <f t="shared" si="2637"/>
        <v/>
      </c>
      <c r="FG167" s="43" t="str">
        <f t="shared" si="2637"/>
        <v/>
      </c>
      <c r="FH167" s="43" t="str">
        <f t="shared" si="2637"/>
        <v/>
      </c>
      <c r="FI167" s="43" t="str">
        <f t="shared" si="2637"/>
        <v/>
      </c>
      <c r="FJ167" s="43" t="str">
        <f t="shared" si="2638"/>
        <v/>
      </c>
      <c r="FK167" s="43" t="str">
        <f t="shared" si="2638"/>
        <v/>
      </c>
      <c r="FL167" s="43" t="str">
        <f t="shared" si="2638"/>
        <v/>
      </c>
      <c r="FM167" s="43" t="str">
        <f t="shared" si="2638"/>
        <v/>
      </c>
      <c r="FN167" s="43" t="str">
        <f t="shared" si="2638"/>
        <v/>
      </c>
      <c r="FO167" s="43" t="str">
        <f t="shared" si="2638"/>
        <v/>
      </c>
      <c r="FP167" s="43" t="str">
        <f t="shared" si="2638"/>
        <v/>
      </c>
      <c r="FQ167" s="43" t="str">
        <f t="shared" si="2638"/>
        <v/>
      </c>
      <c r="FR167" s="43" t="str">
        <f t="shared" si="2638"/>
        <v/>
      </c>
      <c r="FS167" s="43" t="str">
        <f t="shared" si="2638"/>
        <v/>
      </c>
    </row>
    <row r="168" ht="15" spans="1:175">
      <c r="A168" s="88"/>
      <c r="B168" s="4" t="s">
        <v>564</v>
      </c>
      <c r="C168" s="88" t="s">
        <v>565</v>
      </c>
      <c r="T168" s="88" t="s">
        <v>565</v>
      </c>
      <c r="U168" s="59" t="s">
        <v>566</v>
      </c>
      <c r="CN168" s="12" t="str">
        <f t="shared" si="2406"/>
        <v>InitUnitState('IS03',,,,,,,,,,)</v>
      </c>
      <c r="CO168" s="12" t="str">
        <f t="shared" si="2407"/>
        <v>InitUnitNormal('IS03',,,,,,,,,,)</v>
      </c>
      <c r="CP168" s="12" t="str">
        <f t="shared" si="2408"/>
        <v>InitUnitMagic('IS03',,,,,,,,,,)</v>
      </c>
      <c r="CQ168" s="12" t="str">
        <f t="shared" si="2409"/>
        <v>InitUnitAdd('IS03',,,,,,,,,,)</v>
      </c>
      <c r="CR168" s="12" t="e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#REF!&amp;CR$1&amp;")"</f>
        <v>#REF!</v>
      </c>
      <c r="CU168" s="71" t="str">
        <f t="shared" ref="CU168:CU173" si="2639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5" t="str">
        <f t="shared" ref="CV168:CV173" si="2640">T168</f>
        <v>抽技能E</v>
      </c>
      <c r="CW168" s="6"/>
      <c r="CX168" s="6"/>
      <c r="CY168" s="6"/>
      <c r="CZ168" s="6"/>
      <c r="DA168" s="6"/>
      <c r="DB168" s="43" t="str">
        <f t="shared" ref="DB168:DB173" si="2641">IF(V168="","","|n"&amp;DB$2&amp;"+"&amp;V168&amp;DB$1)</f>
        <v/>
      </c>
      <c r="DC168" s="43" t="str">
        <f t="shared" ref="DC168:DC173" si="2642">IF(W168="","","|n"&amp;DC$2&amp;"+"&amp;W168&amp;DC$1)</f>
        <v/>
      </c>
      <c r="DD168" s="43" t="str">
        <f t="shared" ref="DD168:DD173" si="2643">IF(X168="","","|n"&amp;DD$2&amp;"+"&amp;X168&amp;DD$1)</f>
        <v/>
      </c>
      <c r="DE168" s="43" t="str">
        <f t="shared" ref="DE168:DE173" si="2644">IF(Y168="","","|n"&amp;DE$2&amp;"+"&amp;Y168&amp;DE$1)</f>
        <v/>
      </c>
      <c r="DF168" s="43" t="str">
        <f t="shared" ref="DF168:DF173" si="2645">IF(Z168="","","|n"&amp;DF$2&amp;"+"&amp;Z168&amp;DF$1)</f>
        <v/>
      </c>
      <c r="DG168" s="43" t="str">
        <f t="shared" ref="DG168:DG173" si="2646">IF(AA168="","","|n"&amp;DG$2&amp;"+"&amp;AA168&amp;DG$1)</f>
        <v/>
      </c>
      <c r="DH168" s="43" t="str">
        <f t="shared" ref="DH168:DH173" si="2647">IF(AB168="","","|n"&amp;DH$2&amp;"+"&amp;AB168&amp;DH$1)</f>
        <v/>
      </c>
      <c r="DI168" s="43" t="str">
        <f t="shared" ref="DI168:DI173" si="2648">IF(AC168="","","|n"&amp;DI$2&amp;"+"&amp;AC168&amp;DI$1)</f>
        <v/>
      </c>
      <c r="DJ168" s="43" t="str">
        <f t="shared" ref="DJ168:DJ173" si="2649">IF(AD168="","","|n"&amp;DJ$2&amp;"+"&amp;AD168&amp;DJ$1)</f>
        <v/>
      </c>
      <c r="DK168" s="43" t="str">
        <f t="shared" ref="DK168:DK173" si="2650">IF(AE168="","","|n"&amp;DK$2&amp;"+"&amp;AE168&amp;DK$1)</f>
        <v/>
      </c>
      <c r="DL168" s="43" t="str">
        <f t="shared" ref="DL168:DL173" si="2651">IF(AF168="","","|n"&amp;DL$2&amp;"+"&amp;AF168&amp;DL$1)</f>
        <v/>
      </c>
      <c r="DM168" s="43" t="str">
        <f t="shared" ref="DM168:DM173" si="2652">IF(AG168="","","|n"&amp;DM$2&amp;"+"&amp;AG168&amp;DM$1)</f>
        <v/>
      </c>
      <c r="DN168" s="43" t="str">
        <f t="shared" ref="DN168:DN173" si="2653">IF(AH168="","","|n"&amp;DN$2&amp;"+"&amp;AH168&amp;DN$1)</f>
        <v/>
      </c>
      <c r="DO168" s="43" t="str">
        <f t="shared" ref="DO168:DO173" si="2654">IF(AI168="","","|n"&amp;DO$2&amp;"+"&amp;AI168&amp;DO$1)</f>
        <v/>
      </c>
      <c r="DP168" s="43" t="str">
        <f t="shared" ref="DP168:DP173" si="2655">IF(AJ168="","","|n"&amp;DP$2&amp;"+"&amp;AJ168&amp;DP$1)</f>
        <v/>
      </c>
      <c r="DQ168" s="43" t="str">
        <f t="shared" ref="DQ168:DQ173" si="2656">IF(AK168="","","|n"&amp;DQ$2&amp;"+"&amp;AK168&amp;DQ$1)</f>
        <v/>
      </c>
      <c r="DR168" s="43" t="str">
        <f t="shared" ref="DR168:DR173" si="2657">IF(AL168="","","|n"&amp;DR$2&amp;"+"&amp;AL168&amp;DR$1)</f>
        <v/>
      </c>
      <c r="DS168" s="43" t="str">
        <f t="shared" ref="DS168:DS173" si="2658">IF(AM168="","","|n"&amp;DS$2&amp;"+"&amp;AM168&amp;DS$1)</f>
        <v/>
      </c>
      <c r="DT168" s="43" t="str">
        <f t="shared" ref="DT168:DT173" si="2659">IF(AN168="","","|n"&amp;DT$2&amp;"+"&amp;AN168&amp;DT$1)</f>
        <v/>
      </c>
      <c r="DU168" s="43" t="str">
        <f t="shared" ref="DU168:DU173" si="2660">IF(AO168="","","|n"&amp;DU$2&amp;"+"&amp;AO168&amp;DU$1)</f>
        <v/>
      </c>
      <c r="DV168" s="43" t="str">
        <f t="shared" ref="DV168:DV173" si="2661">IF(AP168="","","|n"&amp;DV$2&amp;"+"&amp;AP168&amp;DV$1)</f>
        <v/>
      </c>
      <c r="DW168" s="43" t="str">
        <f t="shared" ref="DW168:DW173" si="2662">IF(AQ168="","","|n"&amp;DW$2&amp;"+"&amp;AQ168&amp;DW$1)</f>
        <v/>
      </c>
      <c r="DX168" s="43" t="str">
        <f t="shared" ref="DX168:DX173" si="2663">IF(AR168="","","|n"&amp;DX$2&amp;"+"&amp;AR168&amp;DX$1)</f>
        <v/>
      </c>
      <c r="DY168" s="43" t="str">
        <f t="shared" ref="DY168:DY173" si="2664">IF(AS168="","","|n"&amp;DY$2&amp;"+"&amp;AS168&amp;DY$1)</f>
        <v/>
      </c>
      <c r="DZ168" s="43" t="str">
        <f t="shared" ref="DZ168:DZ173" si="2665">IF(AT168="","","|n"&amp;DZ$2&amp;"+"&amp;AT168&amp;DZ$1)</f>
        <v/>
      </c>
      <c r="EA168" s="43" t="str">
        <f t="shared" ref="EA168:EA173" si="2666">IF(AU168="","","|n"&amp;EA$2&amp;"+"&amp;AU168&amp;EA$1)</f>
        <v/>
      </c>
      <c r="EB168" s="43" t="str">
        <f t="shared" ref="EB168:EB173" si="2667">IF(AV168="","","|n"&amp;EB$2&amp;"+"&amp;AV168&amp;EB$1)</f>
        <v/>
      </c>
      <c r="EC168" s="43" t="str">
        <f t="shared" ref="EC168:EC173" si="2668">IF(AW168="","","|n"&amp;EC$2&amp;"+"&amp;AW168&amp;EC$1)</f>
        <v/>
      </c>
      <c r="ED168" s="43" t="str">
        <f t="shared" ref="ED168:ED173" si="2669">IF(AX168="","","|n"&amp;ED$2&amp;"+"&amp;AX168&amp;ED$1)</f>
        <v/>
      </c>
      <c r="EE168" s="43" t="str">
        <f t="shared" ref="EE168:EE173" si="2670">IF(AY168="","","|n"&amp;EE$2&amp;"+"&amp;AY168&amp;EE$1)</f>
        <v/>
      </c>
      <c r="EF168" s="43" t="str">
        <f t="shared" ref="EF168:EF173" si="2671">IF(AZ168="","","|n"&amp;EF$2&amp;"+"&amp;AZ168&amp;EF$1)</f>
        <v/>
      </c>
      <c r="EG168" s="43" t="str">
        <f t="shared" ref="EG168:EG173" si="2672">IF(BA168="","","|n"&amp;EG$2&amp;"+"&amp;BA168&amp;EG$1)</f>
        <v/>
      </c>
      <c r="EH168" s="43" t="str">
        <f t="shared" ref="EH168:EH173" si="2673">IF(BB168="","","|n"&amp;EH$2&amp;"+"&amp;BB168&amp;EH$1)</f>
        <v/>
      </c>
      <c r="EI168" s="43" t="str">
        <f t="shared" ref="EI168:EI173" si="2674">IF(BC168="","","|n"&amp;EI$2&amp;"+"&amp;BC168&amp;EI$1)</f>
        <v/>
      </c>
      <c r="EJ168" s="43" t="str">
        <f t="shared" ref="EJ168:EJ173" si="2675">IF(BD168="","","|n"&amp;EJ$2&amp;"+"&amp;BD168&amp;EJ$1)</f>
        <v/>
      </c>
      <c r="EK168" s="43" t="str">
        <f t="shared" ref="EK168:EK173" si="2676">IF(BE168="","","|n"&amp;EK$2&amp;"+"&amp;BE168&amp;EK$1)</f>
        <v/>
      </c>
      <c r="EL168" s="43" t="str">
        <f t="shared" ref="EL168:EL173" si="2677">IF(BF168="","","|n"&amp;EL$2&amp;"+"&amp;BF168&amp;EL$1)</f>
        <v/>
      </c>
      <c r="EM168" s="43" t="str">
        <f t="shared" ref="EM168:EM173" si="2678">IF(BG168="","","|n"&amp;EM$2&amp;"+"&amp;BG168&amp;EM$1)</f>
        <v/>
      </c>
      <c r="EN168" s="43" t="str">
        <f t="shared" ref="EN168:EN173" si="2679">IF(BH168="","","|n"&amp;EN$2&amp;"+"&amp;BH168&amp;EN$1)</f>
        <v/>
      </c>
      <c r="EO168" s="43" t="str">
        <f t="shared" ref="EO168:EO173" si="2680">IF(BI168="","","|n"&amp;EO$2&amp;"+"&amp;BI168&amp;EO$1)</f>
        <v/>
      </c>
      <c r="EP168" s="43" t="str">
        <f t="shared" ref="EP168:EP173" si="2681">IF(BJ168="","","|n"&amp;EP$2&amp;"+"&amp;BJ168&amp;EP$1)</f>
        <v/>
      </c>
      <c r="EQ168" s="43" t="str">
        <f t="shared" ref="EQ168:EQ173" si="2682">IF(BK168="","","|n"&amp;EQ$2&amp;"+"&amp;BK168&amp;EQ$1)</f>
        <v/>
      </c>
      <c r="ER168" s="43" t="str">
        <f t="shared" ref="ER168:ER173" si="2683">IF(BL168="","","|n"&amp;ER$2&amp;"+"&amp;BL168&amp;ER$1)</f>
        <v/>
      </c>
      <c r="ES168" s="43" t="str">
        <f t="shared" ref="ES168:ES173" si="2684">IF(BM168="","","|n"&amp;ES$2&amp;"+"&amp;BM168&amp;ES$1)</f>
        <v/>
      </c>
      <c r="ET168" s="43" t="str">
        <f t="shared" ref="ET168:ET173" si="2685">IF(BN168="","","|n"&amp;ET$2&amp;"+"&amp;BN168&amp;ET$1)</f>
        <v/>
      </c>
      <c r="EU168" s="43" t="str">
        <f t="shared" ref="EU168:EU173" si="2686">IF(BO168="","","|n"&amp;EU$2&amp;"+"&amp;BO168&amp;EU$1)</f>
        <v/>
      </c>
      <c r="EV168" s="43" t="str">
        <f t="shared" ref="EV168:EV173" si="2687">IF(BP168="","","|n"&amp;EV$2&amp;"+"&amp;BP168&amp;EV$1)</f>
        <v/>
      </c>
      <c r="EW168" s="43" t="str">
        <f t="shared" ref="EW168:EW173" si="2688">IF(BQ168="","","|n"&amp;EW$2&amp;"+"&amp;BQ168&amp;EW$1)</f>
        <v/>
      </c>
      <c r="EX168" s="43" t="str">
        <f t="shared" ref="EX168:EX173" si="2689">IF(BR168="","","|n"&amp;EX$2&amp;"+"&amp;BR168&amp;EX$1)</f>
        <v/>
      </c>
      <c r="EY168" s="43" t="str">
        <f t="shared" ref="EY168:EY173" si="2690">IF(BS168="","","|n"&amp;EY$2&amp;"+"&amp;BS168&amp;EY$1)</f>
        <v/>
      </c>
      <c r="EZ168" s="43" t="str">
        <f t="shared" ref="EZ168:EZ173" si="2691">IF(BT168="","","|n"&amp;EZ$2&amp;"+"&amp;BT168&amp;EZ$1)</f>
        <v/>
      </c>
      <c r="FA168" s="43" t="str">
        <f t="shared" ref="FA168:FA173" si="2692">IF(BU168="","","|n"&amp;FA$2&amp;"+"&amp;BU168&amp;FA$1)</f>
        <v/>
      </c>
      <c r="FB168" s="43" t="str">
        <f t="shared" ref="FB168:FB173" si="2693">IF(BV168="","","|n"&amp;FB$2&amp;"+"&amp;BV168&amp;FB$1)</f>
        <v/>
      </c>
      <c r="FC168" s="43" t="str">
        <f t="shared" ref="FC168:FC173" si="2694">IF(BW168="","","|n"&amp;FC$2&amp;"+"&amp;BW168&amp;FC$1)</f>
        <v/>
      </c>
      <c r="FD168" s="43" t="str">
        <f t="shared" ref="FD168:FD173" si="2695">IF(BX168="","","|n"&amp;FD$2&amp;"+"&amp;BX168&amp;FD$1)</f>
        <v/>
      </c>
      <c r="FE168" s="43" t="str">
        <f t="shared" ref="FE168:FE173" si="2696">IF(BY168="","","|n"&amp;FE$2&amp;"+"&amp;BY168&amp;FE$1)</f>
        <v/>
      </c>
      <c r="FF168" s="43" t="str">
        <f t="shared" ref="FF168:FF173" si="2697">IF(BZ168="","","|n"&amp;FF$2&amp;"+"&amp;BZ168&amp;FF$1)</f>
        <v/>
      </c>
      <c r="FG168" s="43" t="str">
        <f t="shared" ref="FG168:FG173" si="2698">IF(CA168="","","|n"&amp;FG$2&amp;"+"&amp;CA168&amp;FG$1)</f>
        <v/>
      </c>
      <c r="FH168" s="43" t="str">
        <f t="shared" ref="FH168:FH173" si="2699">IF(CB168="","","|n"&amp;FH$2&amp;"+"&amp;CB168&amp;FH$1)</f>
        <v/>
      </c>
      <c r="FI168" s="43" t="str">
        <f t="shared" ref="FI168:FI173" si="2700">IF(CC168="","","|n"&amp;FI$2&amp;"+"&amp;CC168&amp;FI$1)</f>
        <v/>
      </c>
      <c r="FJ168" s="43" t="str">
        <f t="shared" ref="FJ168:FJ173" si="2701">IF(CD168="","","|n"&amp;FJ$2&amp;"+"&amp;CD168&amp;FJ$1)</f>
        <v/>
      </c>
      <c r="FK168" s="43" t="str">
        <f t="shared" ref="FK168:FK173" si="2702">IF(CE168="","","|n"&amp;FK$2&amp;"+"&amp;CE168&amp;FK$1)</f>
        <v/>
      </c>
      <c r="FL168" s="43" t="str">
        <f t="shared" ref="FL168:FL173" si="2703">IF(CF168="","","|n"&amp;FL$2&amp;"+"&amp;CF168&amp;FL$1)</f>
        <v/>
      </c>
      <c r="FM168" s="43" t="str">
        <f t="shared" ref="FM168:FM173" si="2704">IF(CG168="","","|n"&amp;FM$2&amp;"+"&amp;CG168&amp;FM$1)</f>
        <v/>
      </c>
      <c r="FN168" s="43" t="str">
        <f t="shared" ref="FN168:FN173" si="2705">IF(CH168="","","|n"&amp;FN$2&amp;"+"&amp;CH168&amp;FN$1)</f>
        <v/>
      </c>
      <c r="FO168" s="43" t="str">
        <f t="shared" ref="FO168:FO173" si="2706">IF(CI168="","","|n"&amp;FO$2&amp;"+"&amp;CI168&amp;FO$1)</f>
        <v/>
      </c>
      <c r="FP168" s="43" t="str">
        <f t="shared" ref="FP168:FP173" si="2707">IF(CJ168="","","|n"&amp;FP$2&amp;"+"&amp;CJ168&amp;FP$1)</f>
        <v/>
      </c>
      <c r="FQ168" s="43" t="str">
        <f t="shared" ref="FQ168:FQ173" si="2708">IF(CK168="","","|n"&amp;FQ$2&amp;"+"&amp;CK168&amp;FQ$1)</f>
        <v/>
      </c>
      <c r="FR168" s="43" t="str">
        <f t="shared" ref="FR168:FR173" si="2709">IF(CL168="","","|n"&amp;FR$2&amp;"+"&amp;CL168&amp;FR$1)</f>
        <v/>
      </c>
      <c r="FS168" s="43" t="str">
        <f t="shared" ref="FS168:FS173" si="2710">IF(CM168="","","|n"&amp;FS$2&amp;"+"&amp;CM168&amp;FS$1)</f>
        <v/>
      </c>
    </row>
    <row r="169" ht="15" spans="1:175">
      <c r="A169" s="88"/>
      <c r="B169" s="4" t="s">
        <v>567</v>
      </c>
      <c r="C169" s="88" t="s">
        <v>568</v>
      </c>
      <c r="T169" s="88" t="s">
        <v>568</v>
      </c>
      <c r="U169" s="59" t="s">
        <v>569</v>
      </c>
      <c r="CN169" s="12" t="str">
        <f t="shared" si="2406"/>
        <v>InitUnitState('IS21',,,,,,,,,,)</v>
      </c>
      <c r="CO169" s="12" t="str">
        <f t="shared" si="2407"/>
        <v>InitUnitNormal('IS21',,,,,,,,,,)</v>
      </c>
      <c r="CP169" s="12" t="str">
        <f t="shared" si="2408"/>
        <v>InitUnitMagic('IS21',,,,,,,,,,)</v>
      </c>
      <c r="CQ169" s="12" t="str">
        <f t="shared" si="2409"/>
        <v>InitUnitAdd('IS21',,,,,,,,,,)</v>
      </c>
      <c r="CR169" s="12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InitEquipData('IS21',,"",,,,,'','','','','','',"ReplaceableTextures\\CommandButtons\\BTNIN02.blp")</v>
      </c>
      <c r="CU169" s="71" t="str">
        <f t="shared" si="2639"/>
        <v>|n</v>
      </c>
      <c r="CV169" s="5" t="str">
        <f t="shared" si="2640"/>
        <v>Q附魔</v>
      </c>
      <c r="CW169" s="6"/>
      <c r="CX169" s="6"/>
      <c r="CY169" s="6"/>
      <c r="CZ169" s="6"/>
      <c r="DA169" s="6"/>
      <c r="DB169" s="43" t="str">
        <f t="shared" si="2641"/>
        <v/>
      </c>
      <c r="DC169" s="43" t="str">
        <f t="shared" si="2642"/>
        <v/>
      </c>
      <c r="DD169" s="43" t="str">
        <f t="shared" si="2643"/>
        <v/>
      </c>
      <c r="DE169" s="43" t="str">
        <f t="shared" si="2644"/>
        <v/>
      </c>
      <c r="DF169" s="43" t="str">
        <f t="shared" si="2645"/>
        <v/>
      </c>
      <c r="DG169" s="43" t="str">
        <f t="shared" si="2646"/>
        <v/>
      </c>
      <c r="DH169" s="43" t="str">
        <f t="shared" si="2647"/>
        <v/>
      </c>
      <c r="DI169" s="43" t="str">
        <f t="shared" si="2648"/>
        <v/>
      </c>
      <c r="DJ169" s="43" t="str">
        <f t="shared" si="2649"/>
        <v/>
      </c>
      <c r="DK169" s="43" t="str">
        <f t="shared" si="2650"/>
        <v/>
      </c>
      <c r="DL169" s="43" t="str">
        <f t="shared" si="2651"/>
        <v/>
      </c>
      <c r="DM169" s="43" t="str">
        <f t="shared" si="2652"/>
        <v/>
      </c>
      <c r="DN169" s="43" t="str">
        <f t="shared" si="2653"/>
        <v/>
      </c>
      <c r="DO169" s="43" t="str">
        <f t="shared" si="2654"/>
        <v/>
      </c>
      <c r="DP169" s="43" t="str">
        <f t="shared" si="2655"/>
        <v/>
      </c>
      <c r="DQ169" s="43" t="str">
        <f t="shared" si="2656"/>
        <v/>
      </c>
      <c r="DR169" s="43" t="str">
        <f t="shared" si="2657"/>
        <v/>
      </c>
      <c r="DS169" s="43" t="str">
        <f t="shared" si="2658"/>
        <v/>
      </c>
      <c r="DT169" s="43" t="str">
        <f t="shared" si="2659"/>
        <v/>
      </c>
      <c r="DU169" s="43" t="str">
        <f t="shared" si="2660"/>
        <v/>
      </c>
      <c r="DV169" s="43" t="str">
        <f t="shared" si="2661"/>
        <v/>
      </c>
      <c r="DW169" s="43" t="str">
        <f t="shared" si="2662"/>
        <v/>
      </c>
      <c r="DX169" s="43" t="str">
        <f t="shared" si="2663"/>
        <v/>
      </c>
      <c r="DY169" s="43" t="str">
        <f t="shared" si="2664"/>
        <v/>
      </c>
      <c r="DZ169" s="43" t="str">
        <f t="shared" si="2665"/>
        <v/>
      </c>
      <c r="EA169" s="43" t="str">
        <f t="shared" si="2666"/>
        <v/>
      </c>
      <c r="EB169" s="43" t="str">
        <f t="shared" si="2667"/>
        <v/>
      </c>
      <c r="EC169" s="43" t="str">
        <f t="shared" si="2668"/>
        <v/>
      </c>
      <c r="ED169" s="43" t="str">
        <f t="shared" si="2669"/>
        <v/>
      </c>
      <c r="EE169" s="43" t="str">
        <f t="shared" si="2670"/>
        <v/>
      </c>
      <c r="EF169" s="43" t="str">
        <f t="shared" si="2671"/>
        <v/>
      </c>
      <c r="EG169" s="43" t="str">
        <f t="shared" si="2672"/>
        <v/>
      </c>
      <c r="EH169" s="43" t="str">
        <f t="shared" si="2673"/>
        <v/>
      </c>
      <c r="EI169" s="43" t="str">
        <f t="shared" si="2674"/>
        <v/>
      </c>
      <c r="EJ169" s="43" t="str">
        <f t="shared" si="2675"/>
        <v/>
      </c>
      <c r="EK169" s="43" t="str">
        <f t="shared" si="2676"/>
        <v/>
      </c>
      <c r="EL169" s="43" t="str">
        <f t="shared" si="2677"/>
        <v/>
      </c>
      <c r="EM169" s="43" t="str">
        <f t="shared" si="2678"/>
        <v/>
      </c>
      <c r="EN169" s="43" t="str">
        <f t="shared" si="2679"/>
        <v/>
      </c>
      <c r="EO169" s="43" t="str">
        <f t="shared" si="2680"/>
        <v/>
      </c>
      <c r="EP169" s="43" t="str">
        <f t="shared" si="2681"/>
        <v/>
      </c>
      <c r="EQ169" s="43" t="str">
        <f t="shared" si="2682"/>
        <v/>
      </c>
      <c r="ER169" s="43" t="str">
        <f t="shared" si="2683"/>
        <v/>
      </c>
      <c r="ES169" s="43" t="str">
        <f t="shared" si="2684"/>
        <v/>
      </c>
      <c r="ET169" s="43" t="str">
        <f t="shared" si="2685"/>
        <v/>
      </c>
      <c r="EU169" s="43" t="str">
        <f t="shared" si="2686"/>
        <v/>
      </c>
      <c r="EV169" s="43" t="str">
        <f t="shared" si="2687"/>
        <v/>
      </c>
      <c r="EW169" s="43" t="str">
        <f t="shared" si="2688"/>
        <v/>
      </c>
      <c r="EX169" s="43" t="str">
        <f t="shared" si="2689"/>
        <v/>
      </c>
      <c r="EY169" s="43" t="str">
        <f t="shared" si="2690"/>
        <v/>
      </c>
      <c r="EZ169" s="43" t="str">
        <f t="shared" si="2691"/>
        <v/>
      </c>
      <c r="FA169" s="43" t="str">
        <f t="shared" si="2692"/>
        <v/>
      </c>
      <c r="FB169" s="43" t="str">
        <f t="shared" si="2693"/>
        <v/>
      </c>
      <c r="FC169" s="43" t="str">
        <f t="shared" si="2694"/>
        <v/>
      </c>
      <c r="FD169" s="43" t="str">
        <f t="shared" si="2695"/>
        <v/>
      </c>
      <c r="FE169" s="43" t="str">
        <f t="shared" si="2696"/>
        <v/>
      </c>
      <c r="FF169" s="43" t="str">
        <f t="shared" si="2697"/>
        <v/>
      </c>
      <c r="FG169" s="43" t="str">
        <f t="shared" si="2698"/>
        <v/>
      </c>
      <c r="FH169" s="43" t="str">
        <f t="shared" si="2699"/>
        <v/>
      </c>
      <c r="FI169" s="43" t="str">
        <f t="shared" si="2700"/>
        <v/>
      </c>
      <c r="FJ169" s="43" t="str">
        <f t="shared" si="2701"/>
        <v/>
      </c>
      <c r="FK169" s="43" t="str">
        <f t="shared" si="2702"/>
        <v/>
      </c>
      <c r="FL169" s="43" t="str">
        <f t="shared" si="2703"/>
        <v/>
      </c>
      <c r="FM169" s="43" t="str">
        <f t="shared" si="2704"/>
        <v/>
      </c>
      <c r="FN169" s="43" t="str">
        <f t="shared" si="2705"/>
        <v/>
      </c>
      <c r="FO169" s="43" t="str">
        <f t="shared" si="2706"/>
        <v/>
      </c>
      <c r="FP169" s="43" t="str">
        <f t="shared" si="2707"/>
        <v/>
      </c>
      <c r="FQ169" s="43" t="str">
        <f t="shared" si="2708"/>
        <v/>
      </c>
      <c r="FR169" s="43" t="str">
        <f t="shared" si="2709"/>
        <v/>
      </c>
      <c r="FS169" s="43" t="str">
        <f t="shared" si="2710"/>
        <v/>
      </c>
    </row>
    <row r="170" ht="15" spans="1:175">
      <c r="A170" s="88"/>
      <c r="B170" s="4" t="s">
        <v>570</v>
      </c>
      <c r="C170" s="88" t="s">
        <v>571</v>
      </c>
      <c r="T170" s="88" t="s">
        <v>571</v>
      </c>
      <c r="U170" s="59" t="s">
        <v>572</v>
      </c>
      <c r="CN170" s="12" t="str">
        <f t="shared" si="2406"/>
        <v>InitUnitState('IS22',,,,,,,,,,)</v>
      </c>
      <c r="CO170" s="12" t="str">
        <f t="shared" si="2407"/>
        <v>InitUnitNormal('IS22',,,,,,,,,,)</v>
      </c>
      <c r="CP170" s="12" t="str">
        <f t="shared" si="2408"/>
        <v>InitUnitMagic('IS22',,,,,,,,,,)</v>
      </c>
      <c r="CQ170" s="12" t="str">
        <f t="shared" si="2409"/>
        <v>InitUnitAdd('IS22',,,,,,,,,,)</v>
      </c>
      <c r="CR170" s="12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InitEquipData('IS22',,"",,,,,'','','','','','',"ReplaceableTextures\\CommandButtons\\BTNIN03.blp")</v>
      </c>
      <c r="CU170" s="71" t="str">
        <f t="shared" si="2639"/>
        <v>|n</v>
      </c>
      <c r="CV170" s="5" t="str">
        <f t="shared" si="2640"/>
        <v>W附魔</v>
      </c>
      <c r="CW170" s="6"/>
      <c r="CX170" s="6"/>
      <c r="CY170" s="6"/>
      <c r="CZ170" s="6"/>
      <c r="DA170" s="6"/>
      <c r="DB170" s="43" t="str">
        <f t="shared" si="2641"/>
        <v/>
      </c>
      <c r="DC170" s="43" t="str">
        <f t="shared" si="2642"/>
        <v/>
      </c>
      <c r="DD170" s="43" t="str">
        <f t="shared" si="2643"/>
        <v/>
      </c>
      <c r="DE170" s="43" t="str">
        <f t="shared" si="2644"/>
        <v/>
      </c>
      <c r="DF170" s="43" t="str">
        <f t="shared" si="2645"/>
        <v/>
      </c>
      <c r="DG170" s="43" t="str">
        <f t="shared" si="2646"/>
        <v/>
      </c>
      <c r="DH170" s="43" t="str">
        <f t="shared" si="2647"/>
        <v/>
      </c>
      <c r="DI170" s="43" t="str">
        <f t="shared" si="2648"/>
        <v/>
      </c>
      <c r="DJ170" s="43" t="str">
        <f t="shared" si="2649"/>
        <v/>
      </c>
      <c r="DK170" s="43" t="str">
        <f t="shared" si="2650"/>
        <v/>
      </c>
      <c r="DL170" s="43" t="str">
        <f t="shared" si="2651"/>
        <v/>
      </c>
      <c r="DM170" s="43" t="str">
        <f t="shared" si="2652"/>
        <v/>
      </c>
      <c r="DN170" s="43" t="str">
        <f t="shared" si="2653"/>
        <v/>
      </c>
      <c r="DO170" s="43" t="str">
        <f t="shared" si="2654"/>
        <v/>
      </c>
      <c r="DP170" s="43" t="str">
        <f t="shared" si="2655"/>
        <v/>
      </c>
      <c r="DQ170" s="43" t="str">
        <f t="shared" si="2656"/>
        <v/>
      </c>
      <c r="DR170" s="43" t="str">
        <f t="shared" si="2657"/>
        <v/>
      </c>
      <c r="DS170" s="43" t="str">
        <f t="shared" si="2658"/>
        <v/>
      </c>
      <c r="DT170" s="43" t="str">
        <f t="shared" si="2659"/>
        <v/>
      </c>
      <c r="DU170" s="43" t="str">
        <f t="shared" si="2660"/>
        <v/>
      </c>
      <c r="DV170" s="43" t="str">
        <f t="shared" si="2661"/>
        <v/>
      </c>
      <c r="DW170" s="43" t="str">
        <f t="shared" si="2662"/>
        <v/>
      </c>
      <c r="DX170" s="43" t="str">
        <f t="shared" si="2663"/>
        <v/>
      </c>
      <c r="DY170" s="43" t="str">
        <f t="shared" si="2664"/>
        <v/>
      </c>
      <c r="DZ170" s="43" t="str">
        <f t="shared" si="2665"/>
        <v/>
      </c>
      <c r="EA170" s="43" t="str">
        <f t="shared" si="2666"/>
        <v/>
      </c>
      <c r="EB170" s="43" t="str">
        <f t="shared" si="2667"/>
        <v/>
      </c>
      <c r="EC170" s="43" t="str">
        <f t="shared" si="2668"/>
        <v/>
      </c>
      <c r="ED170" s="43" t="str">
        <f t="shared" si="2669"/>
        <v/>
      </c>
      <c r="EE170" s="43" t="str">
        <f t="shared" si="2670"/>
        <v/>
      </c>
      <c r="EF170" s="43" t="str">
        <f t="shared" si="2671"/>
        <v/>
      </c>
      <c r="EG170" s="43" t="str">
        <f t="shared" si="2672"/>
        <v/>
      </c>
      <c r="EH170" s="43" t="str">
        <f t="shared" si="2673"/>
        <v/>
      </c>
      <c r="EI170" s="43" t="str">
        <f t="shared" si="2674"/>
        <v/>
      </c>
      <c r="EJ170" s="43" t="str">
        <f t="shared" si="2675"/>
        <v/>
      </c>
      <c r="EK170" s="43" t="str">
        <f t="shared" si="2676"/>
        <v/>
      </c>
      <c r="EL170" s="43" t="str">
        <f t="shared" si="2677"/>
        <v/>
      </c>
      <c r="EM170" s="43" t="str">
        <f t="shared" si="2678"/>
        <v/>
      </c>
      <c r="EN170" s="43" t="str">
        <f t="shared" si="2679"/>
        <v/>
      </c>
      <c r="EO170" s="43" t="str">
        <f t="shared" si="2680"/>
        <v/>
      </c>
      <c r="EP170" s="43" t="str">
        <f t="shared" si="2681"/>
        <v/>
      </c>
      <c r="EQ170" s="43" t="str">
        <f t="shared" si="2682"/>
        <v/>
      </c>
      <c r="ER170" s="43" t="str">
        <f t="shared" si="2683"/>
        <v/>
      </c>
      <c r="ES170" s="43" t="str">
        <f t="shared" si="2684"/>
        <v/>
      </c>
      <c r="ET170" s="43" t="str">
        <f t="shared" si="2685"/>
        <v/>
      </c>
      <c r="EU170" s="43" t="str">
        <f t="shared" si="2686"/>
        <v/>
      </c>
      <c r="EV170" s="43" t="str">
        <f t="shared" si="2687"/>
        <v/>
      </c>
      <c r="EW170" s="43" t="str">
        <f t="shared" si="2688"/>
        <v/>
      </c>
      <c r="EX170" s="43" t="str">
        <f t="shared" si="2689"/>
        <v/>
      </c>
      <c r="EY170" s="43" t="str">
        <f t="shared" si="2690"/>
        <v/>
      </c>
      <c r="EZ170" s="43" t="str">
        <f t="shared" si="2691"/>
        <v/>
      </c>
      <c r="FA170" s="43" t="str">
        <f t="shared" si="2692"/>
        <v/>
      </c>
      <c r="FB170" s="43" t="str">
        <f t="shared" si="2693"/>
        <v/>
      </c>
      <c r="FC170" s="43" t="str">
        <f t="shared" si="2694"/>
        <v/>
      </c>
      <c r="FD170" s="43" t="str">
        <f t="shared" si="2695"/>
        <v/>
      </c>
      <c r="FE170" s="43" t="str">
        <f t="shared" si="2696"/>
        <v/>
      </c>
      <c r="FF170" s="43" t="str">
        <f t="shared" si="2697"/>
        <v/>
      </c>
      <c r="FG170" s="43" t="str">
        <f t="shared" si="2698"/>
        <v/>
      </c>
      <c r="FH170" s="43" t="str">
        <f t="shared" si="2699"/>
        <v/>
      </c>
      <c r="FI170" s="43" t="str">
        <f t="shared" si="2700"/>
        <v/>
      </c>
      <c r="FJ170" s="43" t="str">
        <f t="shared" si="2701"/>
        <v/>
      </c>
      <c r="FK170" s="43" t="str">
        <f t="shared" si="2702"/>
        <v/>
      </c>
      <c r="FL170" s="43" t="str">
        <f t="shared" si="2703"/>
        <v/>
      </c>
      <c r="FM170" s="43" t="str">
        <f t="shared" si="2704"/>
        <v/>
      </c>
      <c r="FN170" s="43" t="str">
        <f t="shared" si="2705"/>
        <v/>
      </c>
      <c r="FO170" s="43" t="str">
        <f t="shared" si="2706"/>
        <v/>
      </c>
      <c r="FP170" s="43" t="str">
        <f t="shared" si="2707"/>
        <v/>
      </c>
      <c r="FQ170" s="43" t="str">
        <f t="shared" si="2708"/>
        <v/>
      </c>
      <c r="FR170" s="43" t="str">
        <f t="shared" si="2709"/>
        <v/>
      </c>
      <c r="FS170" s="43" t="str">
        <f t="shared" si="2710"/>
        <v/>
      </c>
    </row>
    <row r="171" ht="15" spans="1:175">
      <c r="A171" s="88"/>
      <c r="B171" s="4" t="s">
        <v>573</v>
      </c>
      <c r="C171" s="88" t="s">
        <v>574</v>
      </c>
      <c r="T171" s="88" t="s">
        <v>574</v>
      </c>
      <c r="U171" s="59" t="s">
        <v>575</v>
      </c>
      <c r="CN171" s="12" t="str">
        <f t="shared" si="2406"/>
        <v>InitUnitState('IS23',,,,,,,,,,)</v>
      </c>
      <c r="CO171" s="12" t="str">
        <f t="shared" si="2407"/>
        <v>InitUnitNormal('IS23',,,,,,,,,,)</v>
      </c>
      <c r="CP171" s="12" t="str">
        <f t="shared" si="2408"/>
        <v>InitUnitMagic('IS23',,,,,,,,,,)</v>
      </c>
      <c r="CQ171" s="12" t="str">
        <f t="shared" si="2409"/>
        <v>InitUnitAdd('IS23',,,,,,,,,,)</v>
      </c>
      <c r="CR171" s="12" t="e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#REF!&amp;CR$1&amp;")"</f>
        <v>#REF!</v>
      </c>
      <c r="CU171" s="71" t="str">
        <f t="shared" ref="CU171" si="2711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5" t="str">
        <f t="shared" ref="CV171" si="2712">T171</f>
        <v>E附魔</v>
      </c>
      <c r="CW171" s="6"/>
      <c r="CX171" s="6"/>
      <c r="CY171" s="6"/>
      <c r="CZ171" s="6"/>
      <c r="DA171" s="6"/>
      <c r="DB171" s="43" t="str">
        <f t="shared" ref="DB171" si="2713">IF(V171="","","|n"&amp;DB$2&amp;"+"&amp;V171&amp;DB$1)</f>
        <v/>
      </c>
      <c r="DC171" s="43" t="str">
        <f t="shared" ref="DC171" si="2714">IF(W171="","","|n"&amp;DC$2&amp;"+"&amp;W171&amp;DC$1)</f>
        <v/>
      </c>
      <c r="DD171" s="43" t="str">
        <f t="shared" ref="DD171" si="2715">IF(X171="","","|n"&amp;DD$2&amp;"+"&amp;X171&amp;DD$1)</f>
        <v/>
      </c>
      <c r="DE171" s="43" t="str">
        <f t="shared" ref="DE171" si="2716">IF(Y171="","","|n"&amp;DE$2&amp;"+"&amp;Y171&amp;DE$1)</f>
        <v/>
      </c>
      <c r="DF171" s="43" t="str">
        <f t="shared" ref="DF171" si="2717">IF(Z171="","","|n"&amp;DF$2&amp;"+"&amp;Z171&amp;DF$1)</f>
        <v/>
      </c>
      <c r="DG171" s="43" t="str">
        <f t="shared" ref="DG171" si="2718">IF(AA171="","","|n"&amp;DG$2&amp;"+"&amp;AA171&amp;DG$1)</f>
        <v/>
      </c>
      <c r="DH171" s="43" t="str">
        <f t="shared" ref="DH171" si="2719">IF(AB171="","","|n"&amp;DH$2&amp;"+"&amp;AB171&amp;DH$1)</f>
        <v/>
      </c>
      <c r="DI171" s="43" t="str">
        <f t="shared" ref="DI171" si="2720">IF(AC171="","","|n"&amp;DI$2&amp;"+"&amp;AC171&amp;DI$1)</f>
        <v/>
      </c>
      <c r="DJ171" s="43" t="str">
        <f t="shared" ref="DJ171" si="2721">IF(AD171="","","|n"&amp;DJ$2&amp;"+"&amp;AD171&amp;DJ$1)</f>
        <v/>
      </c>
      <c r="DK171" s="43" t="str">
        <f t="shared" ref="DK171" si="2722">IF(AE171="","","|n"&amp;DK$2&amp;"+"&amp;AE171&amp;DK$1)</f>
        <v/>
      </c>
      <c r="DL171" s="43" t="str">
        <f t="shared" ref="DL171" si="2723">IF(AF171="","","|n"&amp;DL$2&amp;"+"&amp;AF171&amp;DL$1)</f>
        <v/>
      </c>
      <c r="DM171" s="43" t="str">
        <f t="shared" ref="DM171" si="2724">IF(AG171="","","|n"&amp;DM$2&amp;"+"&amp;AG171&amp;DM$1)</f>
        <v/>
      </c>
      <c r="DN171" s="43" t="str">
        <f t="shared" ref="DN171" si="2725">IF(AH171="","","|n"&amp;DN$2&amp;"+"&amp;AH171&amp;DN$1)</f>
        <v/>
      </c>
      <c r="DO171" s="43" t="str">
        <f t="shared" ref="DO171" si="2726">IF(AI171="","","|n"&amp;DO$2&amp;"+"&amp;AI171&amp;DO$1)</f>
        <v/>
      </c>
      <c r="DP171" s="43" t="str">
        <f t="shared" ref="DP171" si="2727">IF(AJ171="","","|n"&amp;DP$2&amp;"+"&amp;AJ171&amp;DP$1)</f>
        <v/>
      </c>
      <c r="DQ171" s="43" t="str">
        <f t="shared" ref="DQ171" si="2728">IF(AK171="","","|n"&amp;DQ$2&amp;"+"&amp;AK171&amp;DQ$1)</f>
        <v/>
      </c>
      <c r="DR171" s="43" t="str">
        <f t="shared" ref="DR171" si="2729">IF(AL171="","","|n"&amp;DR$2&amp;"+"&amp;AL171&amp;DR$1)</f>
        <v/>
      </c>
      <c r="DS171" s="43" t="str">
        <f t="shared" ref="DS171" si="2730">IF(AM171="","","|n"&amp;DS$2&amp;"+"&amp;AM171&amp;DS$1)</f>
        <v/>
      </c>
      <c r="DT171" s="43" t="str">
        <f t="shared" ref="DT171" si="2731">IF(AN171="","","|n"&amp;DT$2&amp;"+"&amp;AN171&amp;DT$1)</f>
        <v/>
      </c>
      <c r="DU171" s="43" t="str">
        <f t="shared" ref="DU171" si="2732">IF(AO171="","","|n"&amp;DU$2&amp;"+"&amp;AO171&amp;DU$1)</f>
        <v/>
      </c>
      <c r="DV171" s="43" t="str">
        <f t="shared" ref="DV171" si="2733">IF(AP171="","","|n"&amp;DV$2&amp;"+"&amp;AP171&amp;DV$1)</f>
        <v/>
      </c>
      <c r="DW171" s="43" t="str">
        <f t="shared" ref="DW171" si="2734">IF(AQ171="","","|n"&amp;DW$2&amp;"+"&amp;AQ171&amp;DW$1)</f>
        <v/>
      </c>
      <c r="DX171" s="43" t="str">
        <f t="shared" ref="DX171" si="2735">IF(AR171="","","|n"&amp;DX$2&amp;"+"&amp;AR171&amp;DX$1)</f>
        <v/>
      </c>
      <c r="DY171" s="43" t="str">
        <f t="shared" ref="DY171" si="2736">IF(AS171="","","|n"&amp;DY$2&amp;"+"&amp;AS171&amp;DY$1)</f>
        <v/>
      </c>
      <c r="DZ171" s="43" t="str">
        <f t="shared" ref="DZ171" si="2737">IF(AT171="","","|n"&amp;DZ$2&amp;"+"&amp;AT171&amp;DZ$1)</f>
        <v/>
      </c>
      <c r="EA171" s="43" t="str">
        <f t="shared" ref="EA171" si="2738">IF(AU171="","","|n"&amp;EA$2&amp;"+"&amp;AU171&amp;EA$1)</f>
        <v/>
      </c>
      <c r="EB171" s="43" t="str">
        <f t="shared" ref="EB171" si="2739">IF(AV171="","","|n"&amp;EB$2&amp;"+"&amp;AV171&amp;EB$1)</f>
        <v/>
      </c>
      <c r="EC171" s="43" t="str">
        <f t="shared" ref="EC171" si="2740">IF(AW171="","","|n"&amp;EC$2&amp;"+"&amp;AW171&amp;EC$1)</f>
        <v/>
      </c>
      <c r="ED171" s="43" t="str">
        <f t="shared" ref="ED171" si="2741">IF(AX171="","","|n"&amp;ED$2&amp;"+"&amp;AX171&amp;ED$1)</f>
        <v/>
      </c>
      <c r="EE171" s="43" t="str">
        <f t="shared" ref="EE171" si="2742">IF(AY171="","","|n"&amp;EE$2&amp;"+"&amp;AY171&amp;EE$1)</f>
        <v/>
      </c>
      <c r="EF171" s="43" t="str">
        <f t="shared" ref="EF171" si="2743">IF(AZ171="","","|n"&amp;EF$2&amp;"+"&amp;AZ171&amp;EF$1)</f>
        <v/>
      </c>
      <c r="EG171" s="43" t="str">
        <f t="shared" ref="EG171" si="2744">IF(BA171="","","|n"&amp;EG$2&amp;"+"&amp;BA171&amp;EG$1)</f>
        <v/>
      </c>
      <c r="EH171" s="43" t="str">
        <f t="shared" ref="EH171" si="2745">IF(BB171="","","|n"&amp;EH$2&amp;"+"&amp;BB171&amp;EH$1)</f>
        <v/>
      </c>
      <c r="EI171" s="43" t="str">
        <f t="shared" ref="EI171" si="2746">IF(BC171="","","|n"&amp;EI$2&amp;"+"&amp;BC171&amp;EI$1)</f>
        <v/>
      </c>
      <c r="EJ171" s="43" t="str">
        <f t="shared" ref="EJ171" si="2747">IF(BD171="","","|n"&amp;EJ$2&amp;"+"&amp;BD171&amp;EJ$1)</f>
        <v/>
      </c>
      <c r="EK171" s="43" t="str">
        <f t="shared" ref="EK171" si="2748">IF(BE171="","","|n"&amp;EK$2&amp;"+"&amp;BE171&amp;EK$1)</f>
        <v/>
      </c>
      <c r="EL171" s="43" t="str">
        <f t="shared" ref="EL171" si="2749">IF(BF171="","","|n"&amp;EL$2&amp;"+"&amp;BF171&amp;EL$1)</f>
        <v/>
      </c>
      <c r="EM171" s="43" t="str">
        <f t="shared" ref="EM171" si="2750">IF(BG171="","","|n"&amp;EM$2&amp;"+"&amp;BG171&amp;EM$1)</f>
        <v/>
      </c>
      <c r="EN171" s="43" t="str">
        <f t="shared" ref="EN171" si="2751">IF(BH171="","","|n"&amp;EN$2&amp;"+"&amp;BH171&amp;EN$1)</f>
        <v/>
      </c>
      <c r="EO171" s="43" t="str">
        <f t="shared" ref="EO171" si="2752">IF(BI171="","","|n"&amp;EO$2&amp;"+"&amp;BI171&amp;EO$1)</f>
        <v/>
      </c>
      <c r="EP171" s="43" t="str">
        <f t="shared" ref="EP171" si="2753">IF(BJ171="","","|n"&amp;EP$2&amp;"+"&amp;BJ171&amp;EP$1)</f>
        <v/>
      </c>
      <c r="EQ171" s="43" t="str">
        <f t="shared" ref="EQ171" si="2754">IF(BK171="","","|n"&amp;EQ$2&amp;"+"&amp;BK171&amp;EQ$1)</f>
        <v/>
      </c>
      <c r="ER171" s="43" t="str">
        <f t="shared" ref="ER171" si="2755">IF(BL171="","","|n"&amp;ER$2&amp;"+"&amp;BL171&amp;ER$1)</f>
        <v/>
      </c>
      <c r="ES171" s="43" t="str">
        <f t="shared" ref="ES171" si="2756">IF(BM171="","","|n"&amp;ES$2&amp;"+"&amp;BM171&amp;ES$1)</f>
        <v/>
      </c>
      <c r="ET171" s="43" t="str">
        <f t="shared" ref="ET171" si="2757">IF(BN171="","","|n"&amp;ET$2&amp;"+"&amp;BN171&amp;ET$1)</f>
        <v/>
      </c>
      <c r="EU171" s="43" t="str">
        <f t="shared" ref="EU171" si="2758">IF(BO171="","","|n"&amp;EU$2&amp;"+"&amp;BO171&amp;EU$1)</f>
        <v/>
      </c>
      <c r="EV171" s="43" t="str">
        <f t="shared" ref="EV171" si="2759">IF(BP171="","","|n"&amp;EV$2&amp;"+"&amp;BP171&amp;EV$1)</f>
        <v/>
      </c>
      <c r="EW171" s="43" t="str">
        <f t="shared" ref="EW171" si="2760">IF(BQ171="","","|n"&amp;EW$2&amp;"+"&amp;BQ171&amp;EW$1)</f>
        <v/>
      </c>
      <c r="EX171" s="43" t="str">
        <f t="shared" ref="EX171" si="2761">IF(BR171="","","|n"&amp;EX$2&amp;"+"&amp;BR171&amp;EX$1)</f>
        <v/>
      </c>
      <c r="EY171" s="43" t="str">
        <f t="shared" ref="EY171" si="2762">IF(BS171="","","|n"&amp;EY$2&amp;"+"&amp;BS171&amp;EY$1)</f>
        <v/>
      </c>
      <c r="EZ171" s="43" t="str">
        <f t="shared" ref="EZ171" si="2763">IF(BT171="","","|n"&amp;EZ$2&amp;"+"&amp;BT171&amp;EZ$1)</f>
        <v/>
      </c>
      <c r="FA171" s="43" t="str">
        <f t="shared" ref="FA171" si="2764">IF(BU171="","","|n"&amp;FA$2&amp;"+"&amp;BU171&amp;FA$1)</f>
        <v/>
      </c>
      <c r="FB171" s="43" t="str">
        <f t="shared" ref="FB171" si="2765">IF(BV171="","","|n"&amp;FB$2&amp;"+"&amp;BV171&amp;FB$1)</f>
        <v/>
      </c>
      <c r="FC171" s="43" t="str">
        <f t="shared" ref="FC171" si="2766">IF(BW171="","","|n"&amp;FC$2&amp;"+"&amp;BW171&amp;FC$1)</f>
        <v/>
      </c>
      <c r="FD171" s="43" t="str">
        <f t="shared" ref="FD171" si="2767">IF(BX171="","","|n"&amp;FD$2&amp;"+"&amp;BX171&amp;FD$1)</f>
        <v/>
      </c>
      <c r="FE171" s="43" t="str">
        <f t="shared" ref="FE171" si="2768">IF(BY171="","","|n"&amp;FE$2&amp;"+"&amp;BY171&amp;FE$1)</f>
        <v/>
      </c>
      <c r="FF171" s="43" t="str">
        <f t="shared" ref="FF171" si="2769">IF(BZ171="","","|n"&amp;FF$2&amp;"+"&amp;BZ171&amp;FF$1)</f>
        <v/>
      </c>
      <c r="FG171" s="43" t="str">
        <f t="shared" ref="FG171" si="2770">IF(CA171="","","|n"&amp;FG$2&amp;"+"&amp;CA171&amp;FG$1)</f>
        <v/>
      </c>
      <c r="FH171" s="43" t="str">
        <f t="shared" ref="FH171" si="2771">IF(CB171="","","|n"&amp;FH$2&amp;"+"&amp;CB171&amp;FH$1)</f>
        <v/>
      </c>
      <c r="FI171" s="43" t="str">
        <f t="shared" ref="FI171" si="2772">IF(CC171="","","|n"&amp;FI$2&amp;"+"&amp;CC171&amp;FI$1)</f>
        <v/>
      </c>
      <c r="FJ171" s="43" t="str">
        <f t="shared" ref="FJ171" si="2773">IF(CD171="","","|n"&amp;FJ$2&amp;"+"&amp;CD171&amp;FJ$1)</f>
        <v/>
      </c>
      <c r="FK171" s="43" t="str">
        <f t="shared" ref="FK171" si="2774">IF(CE171="","","|n"&amp;FK$2&amp;"+"&amp;CE171&amp;FK$1)</f>
        <v/>
      </c>
      <c r="FL171" s="43" t="str">
        <f t="shared" ref="FL171" si="2775">IF(CF171="","","|n"&amp;FL$2&amp;"+"&amp;CF171&amp;FL$1)</f>
        <v/>
      </c>
      <c r="FM171" s="43" t="str">
        <f t="shared" ref="FM171" si="2776">IF(CG171="","","|n"&amp;FM$2&amp;"+"&amp;CG171&amp;FM$1)</f>
        <v/>
      </c>
      <c r="FN171" s="43" t="str">
        <f t="shared" ref="FN171" si="2777">IF(CH171="","","|n"&amp;FN$2&amp;"+"&amp;CH171&amp;FN$1)</f>
        <v/>
      </c>
      <c r="FO171" s="43" t="str">
        <f t="shared" ref="FO171" si="2778">IF(CI171="","","|n"&amp;FO$2&amp;"+"&amp;CI171&amp;FO$1)</f>
        <v/>
      </c>
      <c r="FP171" s="43" t="str">
        <f t="shared" ref="FP171" si="2779">IF(CJ171="","","|n"&amp;FP$2&amp;"+"&amp;CJ171&amp;FP$1)</f>
        <v/>
      </c>
      <c r="FQ171" s="43" t="str">
        <f t="shared" ref="FQ171" si="2780">IF(CK171="","","|n"&amp;FQ$2&amp;"+"&amp;CK171&amp;FQ$1)</f>
        <v/>
      </c>
      <c r="FR171" s="43" t="str">
        <f t="shared" ref="FR171" si="2781">IF(CL171="","","|n"&amp;FR$2&amp;"+"&amp;CL171&amp;FR$1)</f>
        <v/>
      </c>
      <c r="FS171" s="43" t="str">
        <f t="shared" ref="FS171" si="2782">IF(CM171="","","|n"&amp;FS$2&amp;"+"&amp;CM171&amp;FS$1)</f>
        <v/>
      </c>
    </row>
    <row r="172" ht="15" spans="1:175">
      <c r="A172" s="88"/>
      <c r="B172" s="4" t="s">
        <v>576</v>
      </c>
      <c r="C172" s="88" t="s">
        <v>577</v>
      </c>
      <c r="T172" s="88" t="s">
        <v>578</v>
      </c>
      <c r="U172" s="59" t="str">
        <f t="shared" ref="U172:U179" si="2783">"ReplaceableTextures\\CommandButtons\\BTN"&amp;B172&amp;".blp"</f>
        <v>ReplaceableTextures\\CommandButtons\\BTNIS11.blp</v>
      </c>
      <c r="CN172" s="12" t="str">
        <f t="shared" si="2406"/>
        <v>InitUnitState('IS11',,,,,,,,,,)</v>
      </c>
      <c r="CO172" s="12" t="str">
        <f t="shared" si="2407"/>
        <v>InitUnitNormal('IS11',,,,,,,,,,)</v>
      </c>
      <c r="CP172" s="12" t="str">
        <f t="shared" si="2408"/>
        <v>InitUnitMagic('IS11',,,,,,,,,,)</v>
      </c>
      <c r="CQ172" s="12" t="str">
        <f t="shared" si="2409"/>
        <v>InitUnitAdd('IS11',,,,,,,,,,)</v>
      </c>
      <c r="CR172" s="12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174&amp;CR$1&amp;")"</f>
        <v>InitEquipData('IS11',,"",,,,,'','','','','','',"ReplaceableTextures\\CommandButtons\\BTNIH01.blp")</v>
      </c>
      <c r="CU172" s="71" t="str">
        <f t="shared" ref="CU172" si="278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5" t="str">
        <f t="shared" ref="CV172" si="2785">T172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2" s="6"/>
      <c r="CX172" s="6"/>
      <c r="CY172" s="6"/>
      <c r="CZ172" s="6"/>
      <c r="DA172" s="6"/>
      <c r="DB172" s="43" t="str">
        <f t="shared" ref="DB172" si="2786">IF(V172="","","|n"&amp;DB$2&amp;"+"&amp;V172&amp;DB$1)</f>
        <v/>
      </c>
      <c r="DC172" s="43" t="str">
        <f t="shared" ref="DC172" si="2787">IF(W172="","","|n"&amp;DC$2&amp;"+"&amp;W172&amp;DC$1)</f>
        <v/>
      </c>
      <c r="DD172" s="43" t="str">
        <f t="shared" ref="DD172" si="2788">IF(X172="","","|n"&amp;DD$2&amp;"+"&amp;X172&amp;DD$1)</f>
        <v/>
      </c>
      <c r="DE172" s="43" t="str">
        <f t="shared" ref="DE172" si="2789">IF(Y172="","","|n"&amp;DE$2&amp;"+"&amp;Y172&amp;DE$1)</f>
        <v/>
      </c>
      <c r="DF172" s="43" t="str">
        <f t="shared" ref="DF172" si="2790">IF(Z172="","","|n"&amp;DF$2&amp;"+"&amp;Z172&amp;DF$1)</f>
        <v/>
      </c>
      <c r="DG172" s="43" t="str">
        <f t="shared" ref="DG172" si="2791">IF(AA172="","","|n"&amp;DG$2&amp;"+"&amp;AA172&amp;DG$1)</f>
        <v/>
      </c>
      <c r="DH172" s="43" t="str">
        <f t="shared" ref="DH172" si="2792">IF(AB172="","","|n"&amp;DH$2&amp;"+"&amp;AB172&amp;DH$1)</f>
        <v/>
      </c>
      <c r="DI172" s="43" t="str">
        <f t="shared" ref="DI172" si="2793">IF(AC172="","","|n"&amp;DI$2&amp;"+"&amp;AC172&amp;DI$1)</f>
        <v/>
      </c>
      <c r="DJ172" s="43" t="str">
        <f t="shared" ref="DJ172" si="2794">IF(AD172="","","|n"&amp;DJ$2&amp;"+"&amp;AD172&amp;DJ$1)</f>
        <v/>
      </c>
      <c r="DK172" s="43" t="str">
        <f t="shared" ref="DK172" si="2795">IF(AE172="","","|n"&amp;DK$2&amp;"+"&amp;AE172&amp;DK$1)</f>
        <v/>
      </c>
      <c r="DL172" s="43" t="str">
        <f t="shared" ref="DL172" si="2796">IF(AF172="","","|n"&amp;DL$2&amp;"+"&amp;AF172&amp;DL$1)</f>
        <v/>
      </c>
      <c r="DM172" s="43" t="str">
        <f t="shared" ref="DM172" si="2797">IF(AG172="","","|n"&amp;DM$2&amp;"+"&amp;AG172&amp;DM$1)</f>
        <v/>
      </c>
      <c r="DN172" s="43" t="str">
        <f t="shared" ref="DN172" si="2798">IF(AH172="","","|n"&amp;DN$2&amp;"+"&amp;AH172&amp;DN$1)</f>
        <v/>
      </c>
      <c r="DO172" s="43" t="str">
        <f t="shared" ref="DO172" si="2799">IF(AI172="","","|n"&amp;DO$2&amp;"+"&amp;AI172&amp;DO$1)</f>
        <v/>
      </c>
      <c r="DP172" s="43" t="str">
        <f t="shared" ref="DP172" si="2800">IF(AJ172="","","|n"&amp;DP$2&amp;"+"&amp;AJ172&amp;DP$1)</f>
        <v/>
      </c>
      <c r="DQ172" s="43" t="str">
        <f t="shared" ref="DQ172" si="2801">IF(AK172="","","|n"&amp;DQ$2&amp;"+"&amp;AK172&amp;DQ$1)</f>
        <v/>
      </c>
      <c r="DR172" s="43" t="str">
        <f t="shared" ref="DR172" si="2802">IF(AL172="","","|n"&amp;DR$2&amp;"+"&amp;AL172&amp;DR$1)</f>
        <v/>
      </c>
      <c r="DS172" s="43" t="str">
        <f t="shared" ref="DS172" si="2803">IF(AM172="","","|n"&amp;DS$2&amp;"+"&amp;AM172&amp;DS$1)</f>
        <v/>
      </c>
      <c r="DT172" s="43" t="str">
        <f t="shared" ref="DT172" si="2804">IF(AN172="","","|n"&amp;DT$2&amp;"+"&amp;AN172&amp;DT$1)</f>
        <v/>
      </c>
      <c r="DU172" s="43" t="str">
        <f t="shared" ref="DU172" si="2805">IF(AO172="","","|n"&amp;DU$2&amp;"+"&amp;AO172&amp;DU$1)</f>
        <v/>
      </c>
      <c r="DV172" s="43" t="str">
        <f t="shared" ref="DV172" si="2806">IF(AP172="","","|n"&amp;DV$2&amp;"+"&amp;AP172&amp;DV$1)</f>
        <v/>
      </c>
      <c r="DW172" s="43" t="str">
        <f t="shared" ref="DW172" si="2807">IF(AQ172="","","|n"&amp;DW$2&amp;"+"&amp;AQ172&amp;DW$1)</f>
        <v/>
      </c>
      <c r="DX172" s="43" t="str">
        <f t="shared" ref="DX172" si="2808">IF(AR172="","","|n"&amp;DX$2&amp;"+"&amp;AR172&amp;DX$1)</f>
        <v/>
      </c>
      <c r="DY172" s="43" t="str">
        <f t="shared" ref="DY172" si="2809">IF(AS172="","","|n"&amp;DY$2&amp;"+"&amp;AS172&amp;DY$1)</f>
        <v/>
      </c>
      <c r="DZ172" s="43" t="str">
        <f t="shared" ref="DZ172" si="2810">IF(AT172="","","|n"&amp;DZ$2&amp;"+"&amp;AT172&amp;DZ$1)</f>
        <v/>
      </c>
      <c r="EA172" s="43" t="str">
        <f t="shared" ref="EA172" si="2811">IF(AU172="","","|n"&amp;EA$2&amp;"+"&amp;AU172&amp;EA$1)</f>
        <v/>
      </c>
      <c r="EB172" s="43" t="str">
        <f t="shared" ref="EB172" si="2812">IF(AV172="","","|n"&amp;EB$2&amp;"+"&amp;AV172&amp;EB$1)</f>
        <v/>
      </c>
      <c r="EC172" s="43" t="str">
        <f t="shared" ref="EC172" si="2813">IF(AW172="","","|n"&amp;EC$2&amp;"+"&amp;AW172&amp;EC$1)</f>
        <v/>
      </c>
      <c r="ED172" s="43" t="str">
        <f t="shared" ref="ED172" si="2814">IF(AX172="","","|n"&amp;ED$2&amp;"+"&amp;AX172&amp;ED$1)</f>
        <v/>
      </c>
      <c r="EE172" s="43" t="str">
        <f t="shared" ref="EE172" si="2815">IF(AY172="","","|n"&amp;EE$2&amp;"+"&amp;AY172&amp;EE$1)</f>
        <v/>
      </c>
      <c r="EF172" s="43" t="str">
        <f t="shared" ref="EF172" si="2816">IF(AZ172="","","|n"&amp;EF$2&amp;"+"&amp;AZ172&amp;EF$1)</f>
        <v/>
      </c>
      <c r="EG172" s="43" t="str">
        <f t="shared" ref="EG172" si="2817">IF(BA172="","","|n"&amp;EG$2&amp;"+"&amp;BA172&amp;EG$1)</f>
        <v/>
      </c>
      <c r="EH172" s="43" t="str">
        <f t="shared" ref="EH172" si="2818">IF(BB172="","","|n"&amp;EH$2&amp;"+"&amp;BB172&amp;EH$1)</f>
        <v/>
      </c>
      <c r="EI172" s="43" t="str">
        <f t="shared" ref="EI172" si="2819">IF(BC172="","","|n"&amp;EI$2&amp;"+"&amp;BC172&amp;EI$1)</f>
        <v/>
      </c>
      <c r="EJ172" s="43" t="str">
        <f t="shared" ref="EJ172" si="2820">IF(BD172="","","|n"&amp;EJ$2&amp;"+"&amp;BD172&amp;EJ$1)</f>
        <v/>
      </c>
      <c r="EK172" s="43" t="str">
        <f t="shared" ref="EK172" si="2821">IF(BE172="","","|n"&amp;EK$2&amp;"+"&amp;BE172&amp;EK$1)</f>
        <v/>
      </c>
      <c r="EL172" s="43" t="str">
        <f t="shared" ref="EL172" si="2822">IF(BF172="","","|n"&amp;EL$2&amp;"+"&amp;BF172&amp;EL$1)</f>
        <v/>
      </c>
      <c r="EM172" s="43" t="str">
        <f t="shared" ref="EM172" si="2823">IF(BG172="","","|n"&amp;EM$2&amp;"+"&amp;BG172&amp;EM$1)</f>
        <v/>
      </c>
      <c r="EN172" s="43" t="str">
        <f t="shared" ref="EN172" si="2824">IF(BH172="","","|n"&amp;EN$2&amp;"+"&amp;BH172&amp;EN$1)</f>
        <v/>
      </c>
      <c r="EO172" s="43" t="str">
        <f t="shared" ref="EO172" si="2825">IF(BI172="","","|n"&amp;EO$2&amp;"+"&amp;BI172&amp;EO$1)</f>
        <v/>
      </c>
      <c r="EP172" s="43" t="str">
        <f t="shared" ref="EP172" si="2826">IF(BJ172="","","|n"&amp;EP$2&amp;"+"&amp;BJ172&amp;EP$1)</f>
        <v/>
      </c>
      <c r="EQ172" s="43" t="str">
        <f t="shared" ref="EQ172" si="2827">IF(BK172="","","|n"&amp;EQ$2&amp;"+"&amp;BK172&amp;EQ$1)</f>
        <v/>
      </c>
      <c r="ER172" s="43" t="str">
        <f t="shared" ref="ER172" si="2828">IF(BL172="","","|n"&amp;ER$2&amp;"+"&amp;BL172&amp;ER$1)</f>
        <v/>
      </c>
      <c r="ES172" s="43" t="str">
        <f t="shared" ref="ES172" si="2829">IF(BM172="","","|n"&amp;ES$2&amp;"+"&amp;BM172&amp;ES$1)</f>
        <v/>
      </c>
      <c r="ET172" s="43" t="str">
        <f t="shared" ref="ET172" si="2830">IF(BN172="","","|n"&amp;ET$2&amp;"+"&amp;BN172&amp;ET$1)</f>
        <v/>
      </c>
      <c r="EU172" s="43" t="str">
        <f t="shared" ref="EU172" si="2831">IF(BO172="","","|n"&amp;EU$2&amp;"+"&amp;BO172&amp;EU$1)</f>
        <v/>
      </c>
      <c r="EV172" s="43" t="str">
        <f t="shared" ref="EV172" si="2832">IF(BP172="","","|n"&amp;EV$2&amp;"+"&amp;BP172&amp;EV$1)</f>
        <v/>
      </c>
      <c r="EW172" s="43" t="str">
        <f t="shared" ref="EW172" si="2833">IF(BQ172="","","|n"&amp;EW$2&amp;"+"&amp;BQ172&amp;EW$1)</f>
        <v/>
      </c>
      <c r="EX172" s="43" t="str">
        <f t="shared" ref="EX172" si="2834">IF(BR172="","","|n"&amp;EX$2&amp;"+"&amp;BR172&amp;EX$1)</f>
        <v/>
      </c>
      <c r="EY172" s="43" t="str">
        <f t="shared" ref="EY172" si="2835">IF(BS172="","","|n"&amp;EY$2&amp;"+"&amp;BS172&amp;EY$1)</f>
        <v/>
      </c>
      <c r="EZ172" s="43" t="str">
        <f t="shared" ref="EZ172" si="2836">IF(BT172="","","|n"&amp;EZ$2&amp;"+"&amp;BT172&amp;EZ$1)</f>
        <v/>
      </c>
      <c r="FA172" s="43" t="str">
        <f t="shared" ref="FA172" si="2837">IF(BU172="","","|n"&amp;FA$2&amp;"+"&amp;BU172&amp;FA$1)</f>
        <v/>
      </c>
      <c r="FB172" s="43" t="str">
        <f t="shared" ref="FB172" si="2838">IF(BV172="","","|n"&amp;FB$2&amp;"+"&amp;BV172&amp;FB$1)</f>
        <v/>
      </c>
      <c r="FC172" s="43" t="str">
        <f t="shared" ref="FC172" si="2839">IF(BW172="","","|n"&amp;FC$2&amp;"+"&amp;BW172&amp;FC$1)</f>
        <v/>
      </c>
      <c r="FD172" s="43" t="str">
        <f t="shared" ref="FD172" si="2840">IF(BX172="","","|n"&amp;FD$2&amp;"+"&amp;BX172&amp;FD$1)</f>
        <v/>
      </c>
      <c r="FE172" s="43" t="str">
        <f t="shared" ref="FE172" si="2841">IF(BY172="","","|n"&amp;FE$2&amp;"+"&amp;BY172&amp;FE$1)</f>
        <v/>
      </c>
      <c r="FF172" s="43" t="str">
        <f t="shared" ref="FF172" si="2842">IF(BZ172="","","|n"&amp;FF$2&amp;"+"&amp;BZ172&amp;FF$1)</f>
        <v/>
      </c>
      <c r="FG172" s="43" t="str">
        <f t="shared" ref="FG172" si="2843">IF(CA172="","","|n"&amp;FG$2&amp;"+"&amp;CA172&amp;FG$1)</f>
        <v/>
      </c>
      <c r="FH172" s="43" t="str">
        <f t="shared" ref="FH172" si="2844">IF(CB172="","","|n"&amp;FH$2&amp;"+"&amp;CB172&amp;FH$1)</f>
        <v/>
      </c>
      <c r="FI172" s="43" t="str">
        <f t="shared" ref="FI172" si="2845">IF(CC172="","","|n"&amp;FI$2&amp;"+"&amp;CC172&amp;FI$1)</f>
        <v/>
      </c>
      <c r="FJ172" s="43" t="str">
        <f t="shared" ref="FJ172" si="2846">IF(CD172="","","|n"&amp;FJ$2&amp;"+"&amp;CD172&amp;FJ$1)</f>
        <v/>
      </c>
      <c r="FK172" s="43" t="str">
        <f t="shared" ref="FK172" si="2847">IF(CE172="","","|n"&amp;FK$2&amp;"+"&amp;CE172&amp;FK$1)</f>
        <v/>
      </c>
      <c r="FL172" s="43" t="str">
        <f t="shared" ref="FL172" si="2848">IF(CF172="","","|n"&amp;FL$2&amp;"+"&amp;CF172&amp;FL$1)</f>
        <v/>
      </c>
      <c r="FM172" s="43" t="str">
        <f t="shared" ref="FM172" si="2849">IF(CG172="","","|n"&amp;FM$2&amp;"+"&amp;CG172&amp;FM$1)</f>
        <v/>
      </c>
      <c r="FN172" s="43" t="str">
        <f t="shared" ref="FN172" si="2850">IF(CH172="","","|n"&amp;FN$2&amp;"+"&amp;CH172&amp;FN$1)</f>
        <v/>
      </c>
      <c r="FO172" s="43" t="str">
        <f t="shared" ref="FO172" si="2851">IF(CI172="","","|n"&amp;FO$2&amp;"+"&amp;CI172&amp;FO$1)</f>
        <v/>
      </c>
      <c r="FP172" s="43" t="str">
        <f t="shared" ref="FP172" si="2852">IF(CJ172="","","|n"&amp;FP$2&amp;"+"&amp;CJ172&amp;FP$1)</f>
        <v/>
      </c>
      <c r="FQ172" s="43" t="str">
        <f t="shared" ref="FQ172" si="2853">IF(CK172="","","|n"&amp;FQ$2&amp;"+"&amp;CK172&amp;FQ$1)</f>
        <v/>
      </c>
      <c r="FR172" s="43" t="str">
        <f t="shared" ref="FR172" si="2854">IF(CL172="","","|n"&amp;FR$2&amp;"+"&amp;CL172&amp;FR$1)</f>
        <v/>
      </c>
      <c r="FS172" s="43" t="str">
        <f t="shared" ref="FS172" si="2855">IF(CM172="","","|n"&amp;FS$2&amp;"+"&amp;CM172&amp;FS$1)</f>
        <v/>
      </c>
    </row>
    <row r="173" ht="15" spans="1:175">
      <c r="A173" s="88"/>
      <c r="B173" s="4" t="s">
        <v>579</v>
      </c>
      <c r="C173" s="88" t="s">
        <v>580</v>
      </c>
      <c r="T173" s="88" t="s">
        <v>581</v>
      </c>
      <c r="U173" s="59" t="str">
        <f t="shared" si="2783"/>
        <v>ReplaceableTextures\\CommandButtons\\BTNIH00.blp</v>
      </c>
      <c r="CN173" s="12" t="str">
        <f t="shared" si="2406"/>
        <v>InitUnitState('IH00',,,,,,,,,,)</v>
      </c>
      <c r="CO173" s="12" t="str">
        <f t="shared" si="2407"/>
        <v>InitUnitNormal('IH00',,,,,,,,,,)</v>
      </c>
      <c r="CP173" s="12" t="str">
        <f t="shared" si="2408"/>
        <v>InitUnitMagic('IH00',,,,,,,,,,)</v>
      </c>
      <c r="CQ173" s="12" t="str">
        <f t="shared" si="2409"/>
        <v>InitUnitAdd('IH00',,,,,,,,,,)</v>
      </c>
      <c r="CR173" s="12" t="str">
        <f t="shared" ref="CR173:CR180" si="2856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InitEquipData('IH00',,"",,,,,'','','','','','',"ReplaceableTextures\\CommandButtons\\BTNIH01.blp")</v>
      </c>
      <c r="CU173" s="71" t="str">
        <f t="shared" si="2639"/>
        <v>|n</v>
      </c>
      <c r="CV173" s="5" t="str">
        <f t="shared" si="2640"/>
        <v>抽中所有兽魂后觉醒|Cffff0000神兽神通（R）|r。|n|n|Cff00ff7f觉醒时将根据你抽中的兽魂，随机领悟对应的神兽神通。|r</v>
      </c>
      <c r="CW173" s="6"/>
      <c r="CX173" s="6"/>
      <c r="CY173" s="6"/>
      <c r="CZ173" s="6"/>
      <c r="DA173" s="6"/>
      <c r="DB173" s="43" t="str">
        <f t="shared" si="2641"/>
        <v/>
      </c>
      <c r="DC173" s="43" t="str">
        <f t="shared" si="2642"/>
        <v/>
      </c>
      <c r="DD173" s="43" t="str">
        <f t="shared" si="2643"/>
        <v/>
      </c>
      <c r="DE173" s="43" t="str">
        <f t="shared" si="2644"/>
        <v/>
      </c>
      <c r="DF173" s="43" t="str">
        <f t="shared" si="2645"/>
        <v/>
      </c>
      <c r="DG173" s="43" t="str">
        <f t="shared" si="2646"/>
        <v/>
      </c>
      <c r="DH173" s="43" t="str">
        <f t="shared" si="2647"/>
        <v/>
      </c>
      <c r="DI173" s="43" t="str">
        <f t="shared" si="2648"/>
        <v/>
      </c>
      <c r="DJ173" s="43" t="str">
        <f t="shared" si="2649"/>
        <v/>
      </c>
      <c r="DK173" s="43" t="str">
        <f t="shared" si="2650"/>
        <v/>
      </c>
      <c r="DL173" s="43" t="str">
        <f t="shared" si="2651"/>
        <v/>
      </c>
      <c r="DM173" s="43" t="str">
        <f t="shared" si="2652"/>
        <v/>
      </c>
      <c r="DN173" s="43" t="str">
        <f t="shared" si="2653"/>
        <v/>
      </c>
      <c r="DO173" s="43" t="str">
        <f t="shared" si="2654"/>
        <v/>
      </c>
      <c r="DP173" s="43" t="str">
        <f t="shared" si="2655"/>
        <v/>
      </c>
      <c r="DQ173" s="43" t="str">
        <f t="shared" si="2656"/>
        <v/>
      </c>
      <c r="DR173" s="43" t="str">
        <f t="shared" si="2657"/>
        <v/>
      </c>
      <c r="DS173" s="43" t="str">
        <f t="shared" si="2658"/>
        <v/>
      </c>
      <c r="DT173" s="43" t="str">
        <f t="shared" si="2659"/>
        <v/>
      </c>
      <c r="DU173" s="43" t="str">
        <f t="shared" si="2660"/>
        <v/>
      </c>
      <c r="DV173" s="43" t="str">
        <f t="shared" si="2661"/>
        <v/>
      </c>
      <c r="DW173" s="43" t="str">
        <f t="shared" si="2662"/>
        <v/>
      </c>
      <c r="DX173" s="43" t="str">
        <f t="shared" si="2663"/>
        <v/>
      </c>
      <c r="DY173" s="43" t="str">
        <f t="shared" si="2664"/>
        <v/>
      </c>
      <c r="DZ173" s="43" t="str">
        <f t="shared" si="2665"/>
        <v/>
      </c>
      <c r="EA173" s="43" t="str">
        <f t="shared" si="2666"/>
        <v/>
      </c>
      <c r="EB173" s="43" t="str">
        <f t="shared" si="2667"/>
        <v/>
      </c>
      <c r="EC173" s="43" t="str">
        <f t="shared" si="2668"/>
        <v/>
      </c>
      <c r="ED173" s="43" t="str">
        <f t="shared" si="2669"/>
        <v/>
      </c>
      <c r="EE173" s="43" t="str">
        <f t="shared" si="2670"/>
        <v/>
      </c>
      <c r="EF173" s="43" t="str">
        <f t="shared" si="2671"/>
        <v/>
      </c>
      <c r="EG173" s="43" t="str">
        <f t="shared" si="2672"/>
        <v/>
      </c>
      <c r="EH173" s="43" t="str">
        <f t="shared" si="2673"/>
        <v/>
      </c>
      <c r="EI173" s="43" t="str">
        <f t="shared" si="2674"/>
        <v/>
      </c>
      <c r="EJ173" s="43" t="str">
        <f t="shared" si="2675"/>
        <v/>
      </c>
      <c r="EK173" s="43" t="str">
        <f t="shared" si="2676"/>
        <v/>
      </c>
      <c r="EL173" s="43" t="str">
        <f t="shared" si="2677"/>
        <v/>
      </c>
      <c r="EM173" s="43" t="str">
        <f t="shared" si="2678"/>
        <v/>
      </c>
      <c r="EN173" s="43" t="str">
        <f t="shared" si="2679"/>
        <v/>
      </c>
      <c r="EO173" s="43" t="str">
        <f t="shared" si="2680"/>
        <v/>
      </c>
      <c r="EP173" s="43" t="str">
        <f t="shared" si="2681"/>
        <v/>
      </c>
      <c r="EQ173" s="43" t="str">
        <f t="shared" si="2682"/>
        <v/>
      </c>
      <c r="ER173" s="43" t="str">
        <f t="shared" si="2683"/>
        <v/>
      </c>
      <c r="ES173" s="43" t="str">
        <f t="shared" si="2684"/>
        <v/>
      </c>
      <c r="ET173" s="43" t="str">
        <f t="shared" si="2685"/>
        <v/>
      </c>
      <c r="EU173" s="43" t="str">
        <f t="shared" si="2686"/>
        <v/>
      </c>
      <c r="EV173" s="43" t="str">
        <f t="shared" si="2687"/>
        <v/>
      </c>
      <c r="EW173" s="43" t="str">
        <f t="shared" si="2688"/>
        <v/>
      </c>
      <c r="EX173" s="43" t="str">
        <f t="shared" si="2689"/>
        <v/>
      </c>
      <c r="EY173" s="43" t="str">
        <f t="shared" si="2690"/>
        <v/>
      </c>
      <c r="EZ173" s="43" t="str">
        <f t="shared" si="2691"/>
        <v/>
      </c>
      <c r="FA173" s="43" t="str">
        <f t="shared" si="2692"/>
        <v/>
      </c>
      <c r="FB173" s="43" t="str">
        <f t="shared" si="2693"/>
        <v/>
      </c>
      <c r="FC173" s="43" t="str">
        <f t="shared" si="2694"/>
        <v/>
      </c>
      <c r="FD173" s="43" t="str">
        <f t="shared" si="2695"/>
        <v/>
      </c>
      <c r="FE173" s="43" t="str">
        <f t="shared" si="2696"/>
        <v/>
      </c>
      <c r="FF173" s="43" t="str">
        <f t="shared" si="2697"/>
        <v/>
      </c>
      <c r="FG173" s="43" t="str">
        <f t="shared" si="2698"/>
        <v/>
      </c>
      <c r="FH173" s="43" t="str">
        <f t="shared" si="2699"/>
        <v/>
      </c>
      <c r="FI173" s="43" t="str">
        <f t="shared" si="2700"/>
        <v/>
      </c>
      <c r="FJ173" s="43" t="str">
        <f t="shared" si="2701"/>
        <v/>
      </c>
      <c r="FK173" s="43" t="str">
        <f t="shared" si="2702"/>
        <v/>
      </c>
      <c r="FL173" s="43" t="str">
        <f t="shared" si="2703"/>
        <v/>
      </c>
      <c r="FM173" s="43" t="str">
        <f t="shared" si="2704"/>
        <v/>
      </c>
      <c r="FN173" s="43" t="str">
        <f t="shared" si="2705"/>
        <v/>
      </c>
      <c r="FO173" s="43" t="str">
        <f t="shared" si="2706"/>
        <v/>
      </c>
      <c r="FP173" s="43" t="str">
        <f t="shared" si="2707"/>
        <v/>
      </c>
      <c r="FQ173" s="43" t="str">
        <f t="shared" si="2708"/>
        <v/>
      </c>
      <c r="FR173" s="43" t="str">
        <f t="shared" si="2709"/>
        <v/>
      </c>
      <c r="FS173" s="43" t="str">
        <f t="shared" si="2710"/>
        <v/>
      </c>
    </row>
    <row r="174" ht="41.4" spans="1:175">
      <c r="A174" s="88"/>
      <c r="B174" s="4" t="s">
        <v>582</v>
      </c>
      <c r="C174" s="88" t="s">
        <v>583</v>
      </c>
      <c r="T174" s="93" t="s">
        <v>584</v>
      </c>
      <c r="U174" s="59" t="str">
        <f t="shared" si="2783"/>
        <v>ReplaceableTextures\\CommandButtons\\BTNIH01.blp</v>
      </c>
      <c r="CN174" s="12" t="str">
        <f t="shared" si="2406"/>
        <v>InitUnitState('IH01',,,,,,,,,,)</v>
      </c>
      <c r="CO174" s="12" t="str">
        <f t="shared" si="2407"/>
        <v>InitUnitNormal('IH01',,,,,,,,,,)</v>
      </c>
      <c r="CP174" s="12" t="str">
        <f t="shared" si="2408"/>
        <v>InitUnitMagic('IH01',,,,,,,,,,)</v>
      </c>
      <c r="CQ174" s="12" t="str">
        <f t="shared" si="2409"/>
        <v>InitUnitAdd('IH01',,,,,,,,,,)</v>
      </c>
      <c r="CR174" s="12" t="str">
        <f t="shared" si="2856"/>
        <v>InitEquipData('IH01',,"",,,,,'','','','','','',"ReplaceableTextures\\CommandButtons\\BTNIH02.blp")</v>
      </c>
      <c r="CU174" s="71" t="str">
        <f t="shared" ref="CU174" si="285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5" t="str">
        <f t="shared" ref="CV174" si="2858">T174</f>
        <v>|Cff999999基础属性：|n|r攻击+20%|n|n|Cff999999神通传承：|n|r|Cffff0000血之裂痕|r</v>
      </c>
      <c r="CW174" s="6"/>
      <c r="CX174" s="6"/>
      <c r="CY174" s="6"/>
      <c r="CZ174" s="6"/>
      <c r="DA174" s="6"/>
      <c r="DB174" s="43" t="str">
        <f t="shared" ref="DB174" si="2859">IF(V174="","","|n"&amp;DB$2&amp;"+"&amp;V174&amp;DB$1)</f>
        <v/>
      </c>
      <c r="DC174" s="43" t="str">
        <f t="shared" ref="DC174" si="2860">IF(W174="","","|n"&amp;DC$2&amp;"+"&amp;W174&amp;DC$1)</f>
        <v/>
      </c>
      <c r="DD174" s="43" t="str">
        <f t="shared" ref="DD174" si="2861">IF(X174="","","|n"&amp;DD$2&amp;"+"&amp;X174&amp;DD$1)</f>
        <v/>
      </c>
      <c r="DE174" s="43" t="str">
        <f t="shared" ref="DE174" si="2862">IF(Y174="","","|n"&amp;DE$2&amp;"+"&amp;Y174&amp;DE$1)</f>
        <v/>
      </c>
      <c r="DF174" s="43" t="str">
        <f t="shared" ref="DF174" si="2863">IF(Z174="","","|n"&amp;DF$2&amp;"+"&amp;Z174&amp;DF$1)</f>
        <v/>
      </c>
      <c r="DG174" s="43" t="str">
        <f t="shared" ref="DG174" si="2864">IF(AA174="","","|n"&amp;DG$2&amp;"+"&amp;AA174&amp;DG$1)</f>
        <v/>
      </c>
      <c r="DH174" s="43" t="str">
        <f t="shared" ref="DH174" si="2865">IF(AB174="","","|n"&amp;DH$2&amp;"+"&amp;AB174&amp;DH$1)</f>
        <v/>
      </c>
      <c r="DI174" s="43" t="str">
        <f t="shared" ref="DI174" si="2866">IF(AC174="","","|n"&amp;DI$2&amp;"+"&amp;AC174&amp;DI$1)</f>
        <v/>
      </c>
      <c r="DJ174" s="43" t="str">
        <f t="shared" ref="DJ174" si="2867">IF(AD174="","","|n"&amp;DJ$2&amp;"+"&amp;AD174&amp;DJ$1)</f>
        <v/>
      </c>
      <c r="DK174" s="43" t="str">
        <f t="shared" ref="DK174" si="2868">IF(AE174="","","|n"&amp;DK$2&amp;"+"&amp;AE174&amp;DK$1)</f>
        <v/>
      </c>
      <c r="DL174" s="43" t="str">
        <f t="shared" ref="DL174" si="2869">IF(AF174="","","|n"&amp;DL$2&amp;"+"&amp;AF174&amp;DL$1)</f>
        <v/>
      </c>
      <c r="DM174" s="43" t="str">
        <f t="shared" ref="DM174" si="2870">IF(AG174="","","|n"&amp;DM$2&amp;"+"&amp;AG174&amp;DM$1)</f>
        <v/>
      </c>
      <c r="DN174" s="43" t="str">
        <f t="shared" ref="DN174" si="2871">IF(AH174="","","|n"&amp;DN$2&amp;"+"&amp;AH174&amp;DN$1)</f>
        <v/>
      </c>
      <c r="DO174" s="43" t="str">
        <f t="shared" ref="DO174" si="2872">IF(AI174="","","|n"&amp;DO$2&amp;"+"&amp;AI174&amp;DO$1)</f>
        <v/>
      </c>
      <c r="DP174" s="43" t="str">
        <f t="shared" ref="DP174" si="2873">IF(AJ174="","","|n"&amp;DP$2&amp;"+"&amp;AJ174&amp;DP$1)</f>
        <v/>
      </c>
      <c r="DQ174" s="43" t="str">
        <f t="shared" ref="DQ174" si="2874">IF(AK174="","","|n"&amp;DQ$2&amp;"+"&amp;AK174&amp;DQ$1)</f>
        <v/>
      </c>
      <c r="DR174" s="43" t="str">
        <f t="shared" ref="DR174" si="2875">IF(AL174="","","|n"&amp;DR$2&amp;"+"&amp;AL174&amp;DR$1)</f>
        <v/>
      </c>
      <c r="DS174" s="43" t="str">
        <f t="shared" ref="DS174" si="2876">IF(AM174="","","|n"&amp;DS$2&amp;"+"&amp;AM174&amp;DS$1)</f>
        <v/>
      </c>
      <c r="DT174" s="43" t="str">
        <f t="shared" ref="DT174" si="2877">IF(AN174="","","|n"&amp;DT$2&amp;"+"&amp;AN174&amp;DT$1)</f>
        <v/>
      </c>
      <c r="DU174" s="43" t="str">
        <f t="shared" ref="DU174" si="2878">IF(AO174="","","|n"&amp;DU$2&amp;"+"&amp;AO174&amp;DU$1)</f>
        <v/>
      </c>
      <c r="DV174" s="43" t="str">
        <f t="shared" ref="DV174" si="2879">IF(AP174="","","|n"&amp;DV$2&amp;"+"&amp;AP174&amp;DV$1)</f>
        <v/>
      </c>
      <c r="DW174" s="43" t="str">
        <f t="shared" ref="DW174" si="2880">IF(AQ174="","","|n"&amp;DW$2&amp;"+"&amp;AQ174&amp;DW$1)</f>
        <v/>
      </c>
      <c r="DX174" s="43" t="str">
        <f t="shared" ref="DX174" si="2881">IF(AR174="","","|n"&amp;DX$2&amp;"+"&amp;AR174&amp;DX$1)</f>
        <v/>
      </c>
      <c r="DY174" s="43" t="str">
        <f t="shared" ref="DY174" si="2882">IF(AS174="","","|n"&amp;DY$2&amp;"+"&amp;AS174&amp;DY$1)</f>
        <v/>
      </c>
      <c r="DZ174" s="43" t="str">
        <f t="shared" ref="DZ174" si="2883">IF(AT174="","","|n"&amp;DZ$2&amp;"+"&amp;AT174&amp;DZ$1)</f>
        <v/>
      </c>
      <c r="EA174" s="43" t="str">
        <f t="shared" ref="EA174" si="2884">IF(AU174="","","|n"&amp;EA$2&amp;"+"&amp;AU174&amp;EA$1)</f>
        <v/>
      </c>
      <c r="EB174" s="43" t="str">
        <f t="shared" ref="EB174" si="2885">IF(AV174="","","|n"&amp;EB$2&amp;"+"&amp;AV174&amp;EB$1)</f>
        <v/>
      </c>
      <c r="EC174" s="43" t="str">
        <f t="shared" ref="EC174" si="2886">IF(AW174="","","|n"&amp;EC$2&amp;"+"&amp;AW174&amp;EC$1)</f>
        <v/>
      </c>
      <c r="ED174" s="43" t="str">
        <f t="shared" ref="ED174" si="2887">IF(AX174="","","|n"&amp;ED$2&amp;"+"&amp;AX174&amp;ED$1)</f>
        <v/>
      </c>
      <c r="EE174" s="43" t="str">
        <f t="shared" ref="EE174" si="2888">IF(AY174="","","|n"&amp;EE$2&amp;"+"&amp;AY174&amp;EE$1)</f>
        <v/>
      </c>
      <c r="EF174" s="43" t="str">
        <f t="shared" ref="EF174" si="2889">IF(AZ174="","","|n"&amp;EF$2&amp;"+"&amp;AZ174&amp;EF$1)</f>
        <v/>
      </c>
      <c r="EG174" s="43" t="str">
        <f t="shared" ref="EG174" si="2890">IF(BA174="","","|n"&amp;EG$2&amp;"+"&amp;BA174&amp;EG$1)</f>
        <v/>
      </c>
      <c r="EH174" s="43" t="str">
        <f t="shared" ref="EH174" si="2891">IF(BB174="","","|n"&amp;EH$2&amp;"+"&amp;BB174&amp;EH$1)</f>
        <v/>
      </c>
      <c r="EI174" s="43" t="str">
        <f t="shared" ref="EI174" si="2892">IF(BC174="","","|n"&amp;EI$2&amp;"+"&amp;BC174&amp;EI$1)</f>
        <v/>
      </c>
      <c r="EJ174" s="43" t="str">
        <f t="shared" ref="EJ174" si="2893">IF(BD174="","","|n"&amp;EJ$2&amp;"+"&amp;BD174&amp;EJ$1)</f>
        <v/>
      </c>
      <c r="EK174" s="43" t="str">
        <f t="shared" ref="EK174" si="2894">IF(BE174="","","|n"&amp;EK$2&amp;"+"&amp;BE174&amp;EK$1)</f>
        <v/>
      </c>
      <c r="EL174" s="43" t="str">
        <f t="shared" ref="EL174" si="2895">IF(BF174="","","|n"&amp;EL$2&amp;"+"&amp;BF174&amp;EL$1)</f>
        <v/>
      </c>
      <c r="EM174" s="43" t="str">
        <f t="shared" ref="EM174" si="2896">IF(BG174="","","|n"&amp;EM$2&amp;"+"&amp;BG174&amp;EM$1)</f>
        <v/>
      </c>
      <c r="EN174" s="43" t="str">
        <f t="shared" ref="EN174" si="2897">IF(BH174="","","|n"&amp;EN$2&amp;"+"&amp;BH174&amp;EN$1)</f>
        <v/>
      </c>
      <c r="EO174" s="43" t="str">
        <f t="shared" ref="EO174" si="2898">IF(BI174="","","|n"&amp;EO$2&amp;"+"&amp;BI174&amp;EO$1)</f>
        <v/>
      </c>
      <c r="EP174" s="43" t="str">
        <f t="shared" ref="EP174" si="2899">IF(BJ174="","","|n"&amp;EP$2&amp;"+"&amp;BJ174&amp;EP$1)</f>
        <v/>
      </c>
      <c r="EQ174" s="43" t="str">
        <f t="shared" ref="EQ174" si="2900">IF(BK174="","","|n"&amp;EQ$2&amp;"+"&amp;BK174&amp;EQ$1)</f>
        <v/>
      </c>
      <c r="ER174" s="43" t="str">
        <f t="shared" ref="ER174" si="2901">IF(BL174="","","|n"&amp;ER$2&amp;"+"&amp;BL174&amp;ER$1)</f>
        <v/>
      </c>
      <c r="ES174" s="43" t="str">
        <f t="shared" ref="ES174" si="2902">IF(BM174="","","|n"&amp;ES$2&amp;"+"&amp;BM174&amp;ES$1)</f>
        <v/>
      </c>
      <c r="ET174" s="43" t="str">
        <f t="shared" ref="ET174" si="2903">IF(BN174="","","|n"&amp;ET$2&amp;"+"&amp;BN174&amp;ET$1)</f>
        <v/>
      </c>
      <c r="EU174" s="43" t="str">
        <f t="shared" ref="EU174" si="2904">IF(BO174="","","|n"&amp;EU$2&amp;"+"&amp;BO174&amp;EU$1)</f>
        <v/>
      </c>
      <c r="EV174" s="43" t="str">
        <f t="shared" ref="EV174" si="2905">IF(BP174="","","|n"&amp;EV$2&amp;"+"&amp;BP174&amp;EV$1)</f>
        <v/>
      </c>
      <c r="EW174" s="43" t="str">
        <f t="shared" ref="EW174" si="2906">IF(BQ174="","","|n"&amp;EW$2&amp;"+"&amp;BQ174&amp;EW$1)</f>
        <v/>
      </c>
      <c r="EX174" s="43" t="str">
        <f t="shared" ref="EX174" si="2907">IF(BR174="","","|n"&amp;EX$2&amp;"+"&amp;BR174&amp;EX$1)</f>
        <v/>
      </c>
      <c r="EY174" s="43" t="str">
        <f t="shared" ref="EY174" si="2908">IF(BS174="","","|n"&amp;EY$2&amp;"+"&amp;BS174&amp;EY$1)</f>
        <v/>
      </c>
      <c r="EZ174" s="43" t="str">
        <f t="shared" ref="EZ174" si="2909">IF(BT174="","","|n"&amp;EZ$2&amp;"+"&amp;BT174&amp;EZ$1)</f>
        <v/>
      </c>
      <c r="FA174" s="43" t="str">
        <f t="shared" ref="FA174" si="2910">IF(BU174="","","|n"&amp;FA$2&amp;"+"&amp;BU174&amp;FA$1)</f>
        <v/>
      </c>
      <c r="FB174" s="43" t="str">
        <f t="shared" ref="FB174" si="2911">IF(BV174="","","|n"&amp;FB$2&amp;"+"&amp;BV174&amp;FB$1)</f>
        <v/>
      </c>
      <c r="FC174" s="43" t="str">
        <f t="shared" ref="FC174" si="2912">IF(BW174="","","|n"&amp;FC$2&amp;"+"&amp;BW174&amp;FC$1)</f>
        <v/>
      </c>
      <c r="FD174" s="43" t="str">
        <f t="shared" ref="FD174" si="2913">IF(BX174="","","|n"&amp;FD$2&amp;"+"&amp;BX174&amp;FD$1)</f>
        <v/>
      </c>
      <c r="FE174" s="43" t="str">
        <f t="shared" ref="FE174" si="2914">IF(BY174="","","|n"&amp;FE$2&amp;"+"&amp;BY174&amp;FE$1)</f>
        <v/>
      </c>
      <c r="FF174" s="43" t="str">
        <f t="shared" ref="FF174" si="2915">IF(BZ174="","","|n"&amp;FF$2&amp;"+"&amp;BZ174&amp;FF$1)</f>
        <v/>
      </c>
      <c r="FG174" s="43" t="str">
        <f t="shared" ref="FG174" si="2916">IF(CA174="","","|n"&amp;FG$2&amp;"+"&amp;CA174&amp;FG$1)</f>
        <v/>
      </c>
      <c r="FH174" s="43" t="str">
        <f t="shared" ref="FH174" si="2917">IF(CB174="","","|n"&amp;FH$2&amp;"+"&amp;CB174&amp;FH$1)</f>
        <v/>
      </c>
      <c r="FI174" s="43" t="str">
        <f t="shared" ref="FI174" si="2918">IF(CC174="","","|n"&amp;FI$2&amp;"+"&amp;CC174&amp;FI$1)</f>
        <v/>
      </c>
      <c r="FJ174" s="43" t="str">
        <f t="shared" ref="FJ174" si="2919">IF(CD174="","","|n"&amp;FJ$2&amp;"+"&amp;CD174&amp;FJ$1)</f>
        <v/>
      </c>
      <c r="FK174" s="43" t="str">
        <f t="shared" ref="FK174" si="2920">IF(CE174="","","|n"&amp;FK$2&amp;"+"&amp;CE174&amp;FK$1)</f>
        <v/>
      </c>
      <c r="FL174" s="43" t="str">
        <f t="shared" ref="FL174" si="2921">IF(CF174="","","|n"&amp;FL$2&amp;"+"&amp;CF174&amp;FL$1)</f>
        <v/>
      </c>
      <c r="FM174" s="43" t="str">
        <f t="shared" ref="FM174" si="2922">IF(CG174="","","|n"&amp;FM$2&amp;"+"&amp;CG174&amp;FM$1)</f>
        <v/>
      </c>
      <c r="FN174" s="43" t="str">
        <f t="shared" ref="FN174" si="2923">IF(CH174="","","|n"&amp;FN$2&amp;"+"&amp;CH174&amp;FN$1)</f>
        <v/>
      </c>
      <c r="FO174" s="43" t="str">
        <f t="shared" ref="FO174" si="2924">IF(CI174="","","|n"&amp;FO$2&amp;"+"&amp;CI174&amp;FO$1)</f>
        <v/>
      </c>
      <c r="FP174" s="43" t="str">
        <f t="shared" ref="FP174" si="2925">IF(CJ174="","","|n"&amp;FP$2&amp;"+"&amp;CJ174&amp;FP$1)</f>
        <v/>
      </c>
      <c r="FQ174" s="43" t="str">
        <f t="shared" ref="FQ174" si="2926">IF(CK174="","","|n"&amp;FQ$2&amp;"+"&amp;CK174&amp;FQ$1)</f>
        <v/>
      </c>
      <c r="FR174" s="43" t="str">
        <f t="shared" ref="FR174" si="2927">IF(CL174="","","|n"&amp;FR$2&amp;"+"&amp;CL174&amp;FR$1)</f>
        <v/>
      </c>
      <c r="FS174" s="43" t="str">
        <f t="shared" ref="FS174" si="2928">IF(CM174="","","|n"&amp;FS$2&amp;"+"&amp;CM174&amp;FS$1)</f>
        <v/>
      </c>
    </row>
    <row r="175" ht="15" spans="1:175">
      <c r="A175" s="88"/>
      <c r="B175" s="4" t="s">
        <v>585</v>
      </c>
      <c r="C175" s="88" t="s">
        <v>586</v>
      </c>
      <c r="T175" s="88" t="s">
        <v>587</v>
      </c>
      <c r="U175" s="59" t="str">
        <f t="shared" si="2783"/>
        <v>ReplaceableTextures\\CommandButtons\\BTNIH02.blp</v>
      </c>
      <c r="CN175" s="12" t="str">
        <f t="shared" si="2406"/>
        <v>InitUnitState('IH02',,,,,,,,,,)</v>
      </c>
      <c r="CO175" s="12" t="str">
        <f t="shared" si="2407"/>
        <v>InitUnitNormal('IH02',,,,,,,,,,)</v>
      </c>
      <c r="CP175" s="12" t="str">
        <f t="shared" si="2408"/>
        <v>InitUnitMagic('IH02',,,,,,,,,,)</v>
      </c>
      <c r="CQ175" s="12" t="str">
        <f t="shared" si="2409"/>
        <v>InitUnitAdd('IH02',,,,,,,,,,)</v>
      </c>
      <c r="CR175" s="12" t="str">
        <f t="shared" si="2856"/>
        <v>InitEquipData('IH02',,"",,,,,'','','','','','',"ReplaceableTextures\\CommandButtons\\BTNIH03.blp")</v>
      </c>
      <c r="CU175" s="71" t="str">
        <f t="shared" ref="CU175:CU181" si="292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5" t="str">
        <f t="shared" ref="CV175:CV181" si="2930">T175</f>
        <v>|Cff999999基础属性：|n|r法强+20%|n|n|Cff999999神通传承：|n|r|Cffff0000十绝阵|r</v>
      </c>
      <c r="CW175" s="6"/>
      <c r="CX175" s="6"/>
      <c r="CY175" s="6"/>
      <c r="CZ175" s="6"/>
      <c r="DA175" s="6"/>
      <c r="DB175" s="43" t="str">
        <f t="shared" ref="DB175:DB181" si="2931">IF(V175="","","|n"&amp;DB$2&amp;"+"&amp;V175&amp;DB$1)</f>
        <v/>
      </c>
      <c r="DC175" s="43" t="str">
        <f t="shared" ref="DC175:DC181" si="2932">IF(W175="","","|n"&amp;DC$2&amp;"+"&amp;W175&amp;DC$1)</f>
        <v/>
      </c>
      <c r="DD175" s="43" t="str">
        <f t="shared" ref="DD175:DD181" si="2933">IF(X175="","","|n"&amp;DD$2&amp;"+"&amp;X175&amp;DD$1)</f>
        <v/>
      </c>
      <c r="DE175" s="43" t="str">
        <f t="shared" ref="DE175:DE181" si="2934">IF(Y175="","","|n"&amp;DE$2&amp;"+"&amp;Y175&amp;DE$1)</f>
        <v/>
      </c>
      <c r="DF175" s="43" t="str">
        <f t="shared" ref="DF175:DF181" si="2935">IF(Z175="","","|n"&amp;DF$2&amp;"+"&amp;Z175&amp;DF$1)</f>
        <v/>
      </c>
      <c r="DG175" s="43" t="str">
        <f t="shared" ref="DG175:DG181" si="2936">IF(AA175="","","|n"&amp;DG$2&amp;"+"&amp;AA175&amp;DG$1)</f>
        <v/>
      </c>
      <c r="DH175" s="43" t="str">
        <f t="shared" ref="DH175:DH181" si="2937">IF(AB175="","","|n"&amp;DH$2&amp;"+"&amp;AB175&amp;DH$1)</f>
        <v/>
      </c>
      <c r="DI175" s="43" t="str">
        <f t="shared" ref="DI175:DI181" si="2938">IF(AC175="","","|n"&amp;DI$2&amp;"+"&amp;AC175&amp;DI$1)</f>
        <v/>
      </c>
      <c r="DJ175" s="43" t="str">
        <f t="shared" ref="DJ175:DJ181" si="2939">IF(AD175="","","|n"&amp;DJ$2&amp;"+"&amp;AD175&amp;DJ$1)</f>
        <v/>
      </c>
      <c r="DK175" s="43" t="str">
        <f t="shared" ref="DK175:DK181" si="2940">IF(AE175="","","|n"&amp;DK$2&amp;"+"&amp;AE175&amp;DK$1)</f>
        <v/>
      </c>
      <c r="DL175" s="43" t="str">
        <f t="shared" ref="DL175:DL181" si="2941">IF(AF175="","","|n"&amp;DL$2&amp;"+"&amp;AF175&amp;DL$1)</f>
        <v/>
      </c>
      <c r="DM175" s="43" t="str">
        <f t="shared" ref="DM175:DM181" si="2942">IF(AG175="","","|n"&amp;DM$2&amp;"+"&amp;AG175&amp;DM$1)</f>
        <v/>
      </c>
      <c r="DN175" s="43" t="str">
        <f t="shared" ref="DN175:DN181" si="2943">IF(AH175="","","|n"&amp;DN$2&amp;"+"&amp;AH175&amp;DN$1)</f>
        <v/>
      </c>
      <c r="DO175" s="43" t="str">
        <f t="shared" ref="DO175:DO181" si="2944">IF(AI175="","","|n"&amp;DO$2&amp;"+"&amp;AI175&amp;DO$1)</f>
        <v/>
      </c>
      <c r="DP175" s="43" t="str">
        <f t="shared" ref="DP175:DP181" si="2945">IF(AJ175="","","|n"&amp;DP$2&amp;"+"&amp;AJ175&amp;DP$1)</f>
        <v/>
      </c>
      <c r="DQ175" s="43" t="str">
        <f t="shared" ref="DQ175:DQ181" si="2946">IF(AK175="","","|n"&amp;DQ$2&amp;"+"&amp;AK175&amp;DQ$1)</f>
        <v/>
      </c>
      <c r="DR175" s="43" t="str">
        <f t="shared" ref="DR175:DR181" si="2947">IF(AL175="","","|n"&amp;DR$2&amp;"+"&amp;AL175&amp;DR$1)</f>
        <v/>
      </c>
      <c r="DS175" s="43" t="str">
        <f t="shared" ref="DS175:DS181" si="2948">IF(AM175="","","|n"&amp;DS$2&amp;"+"&amp;AM175&amp;DS$1)</f>
        <v/>
      </c>
      <c r="DT175" s="43" t="str">
        <f t="shared" ref="DT175:DT181" si="2949">IF(AN175="","","|n"&amp;DT$2&amp;"+"&amp;AN175&amp;DT$1)</f>
        <v/>
      </c>
      <c r="DU175" s="43" t="str">
        <f t="shared" ref="DU175:DU181" si="2950">IF(AO175="","","|n"&amp;DU$2&amp;"+"&amp;AO175&amp;DU$1)</f>
        <v/>
      </c>
      <c r="DV175" s="43" t="str">
        <f t="shared" ref="DV175:DV181" si="2951">IF(AP175="","","|n"&amp;DV$2&amp;"+"&amp;AP175&amp;DV$1)</f>
        <v/>
      </c>
      <c r="DW175" s="43" t="str">
        <f t="shared" ref="DW175:DW181" si="2952">IF(AQ175="","","|n"&amp;DW$2&amp;"+"&amp;AQ175&amp;DW$1)</f>
        <v/>
      </c>
      <c r="DX175" s="43" t="str">
        <f t="shared" ref="DX175:DX181" si="2953">IF(AR175="","","|n"&amp;DX$2&amp;"+"&amp;AR175&amp;DX$1)</f>
        <v/>
      </c>
      <c r="DY175" s="43" t="str">
        <f t="shared" ref="DY175:DY181" si="2954">IF(AS175="","","|n"&amp;DY$2&amp;"+"&amp;AS175&amp;DY$1)</f>
        <v/>
      </c>
      <c r="DZ175" s="43" t="str">
        <f t="shared" ref="DZ175:DZ181" si="2955">IF(AT175="","","|n"&amp;DZ$2&amp;"+"&amp;AT175&amp;DZ$1)</f>
        <v/>
      </c>
      <c r="EA175" s="43" t="str">
        <f t="shared" ref="EA175:EA181" si="2956">IF(AU175="","","|n"&amp;EA$2&amp;"+"&amp;AU175&amp;EA$1)</f>
        <v/>
      </c>
      <c r="EB175" s="43" t="str">
        <f t="shared" ref="EB175:EB181" si="2957">IF(AV175="","","|n"&amp;EB$2&amp;"+"&amp;AV175&amp;EB$1)</f>
        <v/>
      </c>
      <c r="EC175" s="43" t="str">
        <f t="shared" ref="EC175:EC181" si="2958">IF(AW175="","","|n"&amp;EC$2&amp;"+"&amp;AW175&amp;EC$1)</f>
        <v/>
      </c>
      <c r="ED175" s="43" t="str">
        <f t="shared" ref="ED175:ED181" si="2959">IF(AX175="","","|n"&amp;ED$2&amp;"+"&amp;AX175&amp;ED$1)</f>
        <v/>
      </c>
      <c r="EE175" s="43" t="str">
        <f t="shared" ref="EE175:EE181" si="2960">IF(AY175="","","|n"&amp;EE$2&amp;"+"&amp;AY175&amp;EE$1)</f>
        <v/>
      </c>
      <c r="EF175" s="43" t="str">
        <f t="shared" ref="EF175:EF181" si="2961">IF(AZ175="","","|n"&amp;EF$2&amp;"+"&amp;AZ175&amp;EF$1)</f>
        <v/>
      </c>
      <c r="EG175" s="43" t="str">
        <f t="shared" ref="EG175:EG181" si="2962">IF(BA175="","","|n"&amp;EG$2&amp;"+"&amp;BA175&amp;EG$1)</f>
        <v/>
      </c>
      <c r="EH175" s="43" t="str">
        <f t="shared" ref="EH175:EH181" si="2963">IF(BB175="","","|n"&amp;EH$2&amp;"+"&amp;BB175&amp;EH$1)</f>
        <v/>
      </c>
      <c r="EI175" s="43" t="str">
        <f t="shared" ref="EI175:EI181" si="2964">IF(BC175="","","|n"&amp;EI$2&amp;"+"&amp;BC175&amp;EI$1)</f>
        <v/>
      </c>
      <c r="EJ175" s="43" t="str">
        <f t="shared" ref="EJ175:EJ181" si="2965">IF(BD175="","","|n"&amp;EJ$2&amp;"+"&amp;BD175&amp;EJ$1)</f>
        <v/>
      </c>
      <c r="EK175" s="43" t="str">
        <f t="shared" ref="EK175:EK181" si="2966">IF(BE175="","","|n"&amp;EK$2&amp;"+"&amp;BE175&amp;EK$1)</f>
        <v/>
      </c>
      <c r="EL175" s="43" t="str">
        <f t="shared" ref="EL175:EL181" si="2967">IF(BF175="","","|n"&amp;EL$2&amp;"+"&amp;BF175&amp;EL$1)</f>
        <v/>
      </c>
      <c r="EM175" s="43" t="str">
        <f t="shared" ref="EM175:EM181" si="2968">IF(BG175="","","|n"&amp;EM$2&amp;"+"&amp;BG175&amp;EM$1)</f>
        <v/>
      </c>
      <c r="EN175" s="43" t="str">
        <f t="shared" ref="EN175:EN181" si="2969">IF(BH175="","","|n"&amp;EN$2&amp;"+"&amp;BH175&amp;EN$1)</f>
        <v/>
      </c>
      <c r="EO175" s="43" t="str">
        <f t="shared" ref="EO175:EO181" si="2970">IF(BI175="","","|n"&amp;EO$2&amp;"+"&amp;BI175&amp;EO$1)</f>
        <v/>
      </c>
      <c r="EP175" s="43" t="str">
        <f t="shared" ref="EP175:EP181" si="2971">IF(BJ175="","","|n"&amp;EP$2&amp;"+"&amp;BJ175&amp;EP$1)</f>
        <v/>
      </c>
      <c r="EQ175" s="43" t="str">
        <f t="shared" ref="EQ175:EQ181" si="2972">IF(BK175="","","|n"&amp;EQ$2&amp;"+"&amp;BK175&amp;EQ$1)</f>
        <v/>
      </c>
      <c r="ER175" s="43" t="str">
        <f t="shared" ref="ER175:ER181" si="2973">IF(BL175="","","|n"&amp;ER$2&amp;"+"&amp;BL175&amp;ER$1)</f>
        <v/>
      </c>
      <c r="ES175" s="43" t="str">
        <f t="shared" ref="ES175:ES181" si="2974">IF(BM175="","","|n"&amp;ES$2&amp;"+"&amp;BM175&amp;ES$1)</f>
        <v/>
      </c>
      <c r="ET175" s="43" t="str">
        <f t="shared" ref="ET175:ET181" si="2975">IF(BN175="","","|n"&amp;ET$2&amp;"+"&amp;BN175&amp;ET$1)</f>
        <v/>
      </c>
      <c r="EU175" s="43" t="str">
        <f t="shared" ref="EU175:EU181" si="2976">IF(BO175="","","|n"&amp;EU$2&amp;"+"&amp;BO175&amp;EU$1)</f>
        <v/>
      </c>
      <c r="EV175" s="43" t="str">
        <f t="shared" ref="EV175:EV181" si="2977">IF(BP175="","","|n"&amp;EV$2&amp;"+"&amp;BP175&amp;EV$1)</f>
        <v/>
      </c>
      <c r="EW175" s="43" t="str">
        <f t="shared" ref="EW175:EW181" si="2978">IF(BQ175="","","|n"&amp;EW$2&amp;"+"&amp;BQ175&amp;EW$1)</f>
        <v/>
      </c>
      <c r="EX175" s="43" t="str">
        <f t="shared" ref="EX175:EX181" si="2979">IF(BR175="","","|n"&amp;EX$2&amp;"+"&amp;BR175&amp;EX$1)</f>
        <v/>
      </c>
      <c r="EY175" s="43" t="str">
        <f t="shared" ref="EY175:EY181" si="2980">IF(BS175="","","|n"&amp;EY$2&amp;"+"&amp;BS175&amp;EY$1)</f>
        <v/>
      </c>
      <c r="EZ175" s="43" t="str">
        <f t="shared" ref="EZ175:EZ181" si="2981">IF(BT175="","","|n"&amp;EZ$2&amp;"+"&amp;BT175&amp;EZ$1)</f>
        <v/>
      </c>
      <c r="FA175" s="43" t="str">
        <f t="shared" ref="FA175:FA181" si="2982">IF(BU175="","","|n"&amp;FA$2&amp;"+"&amp;BU175&amp;FA$1)</f>
        <v/>
      </c>
      <c r="FB175" s="43" t="str">
        <f t="shared" ref="FB175:FB181" si="2983">IF(BV175="","","|n"&amp;FB$2&amp;"+"&amp;BV175&amp;FB$1)</f>
        <v/>
      </c>
      <c r="FC175" s="43" t="str">
        <f t="shared" ref="FC175:FC181" si="2984">IF(BW175="","","|n"&amp;FC$2&amp;"+"&amp;BW175&amp;FC$1)</f>
        <v/>
      </c>
      <c r="FD175" s="43" t="str">
        <f t="shared" ref="FD175:FD181" si="2985">IF(BX175="","","|n"&amp;FD$2&amp;"+"&amp;BX175&amp;FD$1)</f>
        <v/>
      </c>
      <c r="FE175" s="43" t="str">
        <f t="shared" ref="FE175:FE181" si="2986">IF(BY175="","","|n"&amp;FE$2&amp;"+"&amp;BY175&amp;FE$1)</f>
        <v/>
      </c>
      <c r="FF175" s="43" t="str">
        <f t="shared" ref="FF175:FF181" si="2987">IF(BZ175="","","|n"&amp;FF$2&amp;"+"&amp;BZ175&amp;FF$1)</f>
        <v/>
      </c>
      <c r="FG175" s="43" t="str">
        <f t="shared" ref="FG175:FG181" si="2988">IF(CA175="","","|n"&amp;FG$2&amp;"+"&amp;CA175&amp;FG$1)</f>
        <v/>
      </c>
      <c r="FH175" s="43" t="str">
        <f t="shared" ref="FH175:FH181" si="2989">IF(CB175="","","|n"&amp;FH$2&amp;"+"&amp;CB175&amp;FH$1)</f>
        <v/>
      </c>
      <c r="FI175" s="43" t="str">
        <f t="shared" ref="FI175:FI181" si="2990">IF(CC175="","","|n"&amp;FI$2&amp;"+"&amp;CC175&amp;FI$1)</f>
        <v/>
      </c>
      <c r="FJ175" s="43" t="str">
        <f t="shared" ref="FJ175:FJ181" si="2991">IF(CD175="","","|n"&amp;FJ$2&amp;"+"&amp;CD175&amp;FJ$1)</f>
        <v/>
      </c>
      <c r="FK175" s="43" t="str">
        <f t="shared" ref="FK175:FK181" si="2992">IF(CE175="","","|n"&amp;FK$2&amp;"+"&amp;CE175&amp;FK$1)</f>
        <v/>
      </c>
      <c r="FL175" s="43" t="str">
        <f t="shared" ref="FL175:FL181" si="2993">IF(CF175="","","|n"&amp;FL$2&amp;"+"&amp;CF175&amp;FL$1)</f>
        <v/>
      </c>
      <c r="FM175" s="43" t="str">
        <f t="shared" ref="FM175:FM181" si="2994">IF(CG175="","","|n"&amp;FM$2&amp;"+"&amp;CG175&amp;FM$1)</f>
        <v/>
      </c>
      <c r="FN175" s="43" t="str">
        <f t="shared" ref="FN175:FN181" si="2995">IF(CH175="","","|n"&amp;FN$2&amp;"+"&amp;CH175&amp;FN$1)</f>
        <v/>
      </c>
      <c r="FO175" s="43" t="str">
        <f t="shared" ref="FO175:FO181" si="2996">IF(CI175="","","|n"&amp;FO$2&amp;"+"&amp;CI175&amp;FO$1)</f>
        <v/>
      </c>
      <c r="FP175" s="43" t="str">
        <f t="shared" ref="FP175:FP181" si="2997">IF(CJ175="","","|n"&amp;FP$2&amp;"+"&amp;CJ175&amp;FP$1)</f>
        <v/>
      </c>
      <c r="FQ175" s="43" t="str">
        <f t="shared" ref="FQ175:FQ181" si="2998">IF(CK175="","","|n"&amp;FQ$2&amp;"+"&amp;CK175&amp;FQ$1)</f>
        <v/>
      </c>
      <c r="FR175" s="43" t="str">
        <f t="shared" ref="FR175:FR181" si="2999">IF(CL175="","","|n"&amp;FR$2&amp;"+"&amp;CL175&amp;FR$1)</f>
        <v/>
      </c>
      <c r="FS175" s="43" t="str">
        <f t="shared" ref="FS175:FS181" si="3000">IF(CM175="","","|n"&amp;FS$2&amp;"+"&amp;CM175&amp;FS$1)</f>
        <v/>
      </c>
    </row>
    <row r="176" ht="15" spans="1:175">
      <c r="A176" s="88"/>
      <c r="B176" s="4" t="s">
        <v>588</v>
      </c>
      <c r="C176" s="88" t="s">
        <v>589</v>
      </c>
      <c r="T176" s="88" t="s">
        <v>590</v>
      </c>
      <c r="U176" s="59" t="str">
        <f t="shared" si="2783"/>
        <v>ReplaceableTextures\\CommandButtons\\BTNIH03.blp</v>
      </c>
      <c r="CN176" s="12" t="str">
        <f t="shared" si="2406"/>
        <v>InitUnitState('IH03',,,,,,,,,,)</v>
      </c>
      <c r="CO176" s="12" t="str">
        <f t="shared" si="2407"/>
        <v>InitUnitNormal('IH03',,,,,,,,,,)</v>
      </c>
      <c r="CP176" s="12" t="str">
        <f t="shared" si="2408"/>
        <v>InitUnitMagic('IH03',,,,,,,,,,)</v>
      </c>
      <c r="CQ176" s="12" t="str">
        <f t="shared" si="2409"/>
        <v>InitUnitAdd('IH03',,,,,,,,,,)</v>
      </c>
      <c r="CR176" s="12" t="str">
        <f t="shared" si="2856"/>
        <v>InitEquipData('IH03',,"",,,,,'','','','','','',"ReplaceableTextures\\CommandButtons\\BTNIH04.blp")</v>
      </c>
      <c r="CU176" s="71" t="str">
        <f t="shared" si="2929"/>
        <v>|n</v>
      </c>
      <c r="CV176" s="5" t="str">
        <f t="shared" si="2930"/>
        <v>|Cff999999基础属性：|n|r生命+40%|n|n|Cff999999神通传承：|n|r|Cffff0000八荒斗神|r</v>
      </c>
      <c r="CW176" s="6"/>
      <c r="CX176" s="6"/>
      <c r="CY176" s="6"/>
      <c r="CZ176" s="6"/>
      <c r="DA176" s="6"/>
      <c r="DB176" s="43" t="str">
        <f t="shared" si="2931"/>
        <v/>
      </c>
      <c r="DC176" s="43" t="str">
        <f t="shared" si="2932"/>
        <v/>
      </c>
      <c r="DD176" s="43" t="str">
        <f t="shared" si="2933"/>
        <v/>
      </c>
      <c r="DE176" s="43" t="str">
        <f t="shared" si="2934"/>
        <v/>
      </c>
      <c r="DF176" s="43" t="str">
        <f t="shared" si="2935"/>
        <v/>
      </c>
      <c r="DG176" s="43" t="str">
        <f t="shared" si="2936"/>
        <v/>
      </c>
      <c r="DH176" s="43" t="str">
        <f t="shared" si="2937"/>
        <v/>
      </c>
      <c r="DI176" s="43" t="str">
        <f t="shared" si="2938"/>
        <v/>
      </c>
      <c r="DJ176" s="43" t="str">
        <f t="shared" si="2939"/>
        <v/>
      </c>
      <c r="DK176" s="43" t="str">
        <f t="shared" si="2940"/>
        <v/>
      </c>
      <c r="DL176" s="43" t="str">
        <f t="shared" si="2941"/>
        <v/>
      </c>
      <c r="DM176" s="43" t="str">
        <f t="shared" si="2942"/>
        <v/>
      </c>
      <c r="DN176" s="43" t="str">
        <f t="shared" si="2943"/>
        <v/>
      </c>
      <c r="DO176" s="43" t="str">
        <f t="shared" si="2944"/>
        <v/>
      </c>
      <c r="DP176" s="43" t="str">
        <f t="shared" si="2945"/>
        <v/>
      </c>
      <c r="DQ176" s="43" t="str">
        <f t="shared" si="2946"/>
        <v/>
      </c>
      <c r="DR176" s="43" t="str">
        <f t="shared" si="2947"/>
        <v/>
      </c>
      <c r="DS176" s="43" t="str">
        <f t="shared" si="2948"/>
        <v/>
      </c>
      <c r="DT176" s="43" t="str">
        <f t="shared" si="2949"/>
        <v/>
      </c>
      <c r="DU176" s="43" t="str">
        <f t="shared" si="2950"/>
        <v/>
      </c>
      <c r="DV176" s="43" t="str">
        <f t="shared" si="2951"/>
        <v/>
      </c>
      <c r="DW176" s="43" t="str">
        <f t="shared" si="2952"/>
        <v/>
      </c>
      <c r="DX176" s="43" t="str">
        <f t="shared" si="2953"/>
        <v/>
      </c>
      <c r="DY176" s="43" t="str">
        <f t="shared" si="2954"/>
        <v/>
      </c>
      <c r="DZ176" s="43" t="str">
        <f t="shared" si="2955"/>
        <v/>
      </c>
      <c r="EA176" s="43" t="str">
        <f t="shared" si="2956"/>
        <v/>
      </c>
      <c r="EB176" s="43" t="str">
        <f t="shared" si="2957"/>
        <v/>
      </c>
      <c r="EC176" s="43" t="str">
        <f t="shared" si="2958"/>
        <v/>
      </c>
      <c r="ED176" s="43" t="str">
        <f t="shared" si="2959"/>
        <v/>
      </c>
      <c r="EE176" s="43" t="str">
        <f t="shared" si="2960"/>
        <v/>
      </c>
      <c r="EF176" s="43" t="str">
        <f t="shared" si="2961"/>
        <v/>
      </c>
      <c r="EG176" s="43" t="str">
        <f t="shared" si="2962"/>
        <v/>
      </c>
      <c r="EH176" s="43" t="str">
        <f t="shared" si="2963"/>
        <v/>
      </c>
      <c r="EI176" s="43" t="str">
        <f t="shared" si="2964"/>
        <v/>
      </c>
      <c r="EJ176" s="43" t="str">
        <f t="shared" si="2965"/>
        <v/>
      </c>
      <c r="EK176" s="43" t="str">
        <f t="shared" si="2966"/>
        <v/>
      </c>
      <c r="EL176" s="43" t="str">
        <f t="shared" si="2967"/>
        <v/>
      </c>
      <c r="EM176" s="43" t="str">
        <f t="shared" si="2968"/>
        <v/>
      </c>
      <c r="EN176" s="43" t="str">
        <f t="shared" si="2969"/>
        <v/>
      </c>
      <c r="EO176" s="43" t="str">
        <f t="shared" si="2970"/>
        <v/>
      </c>
      <c r="EP176" s="43" t="str">
        <f t="shared" si="2971"/>
        <v/>
      </c>
      <c r="EQ176" s="43" t="str">
        <f t="shared" si="2972"/>
        <v/>
      </c>
      <c r="ER176" s="43" t="str">
        <f t="shared" si="2973"/>
        <v/>
      </c>
      <c r="ES176" s="43" t="str">
        <f t="shared" si="2974"/>
        <v/>
      </c>
      <c r="ET176" s="43" t="str">
        <f t="shared" si="2975"/>
        <v/>
      </c>
      <c r="EU176" s="43" t="str">
        <f t="shared" si="2976"/>
        <v/>
      </c>
      <c r="EV176" s="43" t="str">
        <f t="shared" si="2977"/>
        <v/>
      </c>
      <c r="EW176" s="43" t="str">
        <f t="shared" si="2978"/>
        <v/>
      </c>
      <c r="EX176" s="43" t="str">
        <f t="shared" si="2979"/>
        <v/>
      </c>
      <c r="EY176" s="43" t="str">
        <f t="shared" si="2980"/>
        <v/>
      </c>
      <c r="EZ176" s="43" t="str">
        <f t="shared" si="2981"/>
        <v/>
      </c>
      <c r="FA176" s="43" t="str">
        <f t="shared" si="2982"/>
        <v/>
      </c>
      <c r="FB176" s="43" t="str">
        <f t="shared" si="2983"/>
        <v/>
      </c>
      <c r="FC176" s="43" t="str">
        <f t="shared" si="2984"/>
        <v/>
      </c>
      <c r="FD176" s="43" t="str">
        <f t="shared" si="2985"/>
        <v/>
      </c>
      <c r="FE176" s="43" t="str">
        <f t="shared" si="2986"/>
        <v/>
      </c>
      <c r="FF176" s="43" t="str">
        <f t="shared" si="2987"/>
        <v/>
      </c>
      <c r="FG176" s="43" t="str">
        <f t="shared" si="2988"/>
        <v/>
      </c>
      <c r="FH176" s="43" t="str">
        <f t="shared" si="2989"/>
        <v/>
      </c>
      <c r="FI176" s="43" t="str">
        <f t="shared" si="2990"/>
        <v/>
      </c>
      <c r="FJ176" s="43" t="str">
        <f t="shared" si="2991"/>
        <v/>
      </c>
      <c r="FK176" s="43" t="str">
        <f t="shared" si="2992"/>
        <v/>
      </c>
      <c r="FL176" s="43" t="str">
        <f t="shared" si="2993"/>
        <v/>
      </c>
      <c r="FM176" s="43" t="str">
        <f t="shared" si="2994"/>
        <v/>
      </c>
      <c r="FN176" s="43" t="str">
        <f t="shared" si="2995"/>
        <v/>
      </c>
      <c r="FO176" s="43" t="str">
        <f t="shared" si="2996"/>
        <v/>
      </c>
      <c r="FP176" s="43" t="str">
        <f t="shared" si="2997"/>
        <v/>
      </c>
      <c r="FQ176" s="43" t="str">
        <f t="shared" si="2998"/>
        <v/>
      </c>
      <c r="FR176" s="43" t="str">
        <f t="shared" si="2999"/>
        <v/>
      </c>
      <c r="FS176" s="43" t="str">
        <f t="shared" si="3000"/>
        <v/>
      </c>
    </row>
    <row r="177" ht="15" spans="1:175">
      <c r="A177" s="88"/>
      <c r="B177" s="4" t="s">
        <v>591</v>
      </c>
      <c r="C177" s="88" t="s">
        <v>592</v>
      </c>
      <c r="T177" s="88" t="s">
        <v>593</v>
      </c>
      <c r="U177" s="59" t="str">
        <f t="shared" si="2783"/>
        <v>ReplaceableTextures\\CommandButtons\\BTNIH04.blp</v>
      </c>
      <c r="CN177" s="12" t="str">
        <f t="shared" si="2406"/>
        <v>InitUnitState('IH04',,,,,,,,,,)</v>
      </c>
      <c r="CO177" s="12" t="str">
        <f t="shared" si="2407"/>
        <v>InitUnitNormal('IH04',,,,,,,,,,)</v>
      </c>
      <c r="CP177" s="12" t="str">
        <f t="shared" si="2408"/>
        <v>InitUnitMagic('IH04',,,,,,,,,,)</v>
      </c>
      <c r="CQ177" s="12" t="str">
        <f t="shared" si="2409"/>
        <v>InitUnitAdd('IH04',,,,,,,,,,)</v>
      </c>
      <c r="CR177" s="12" t="str">
        <f t="shared" si="2856"/>
        <v>InitEquipData('IH04',,"",,,,,'','','','','','',"ReplaceableTextures\\CommandButtons\\BTNIH05.blp")</v>
      </c>
      <c r="CU177" s="71" t="str">
        <f t="shared" si="2929"/>
        <v>|n</v>
      </c>
      <c r="CV177" s="5" t="str">
        <f t="shared" si="2930"/>
        <v>|Cff999999基础属性：|n|r物穿+10%|n|n|Cff999999神通传承：|n|r|Cffff0000冰封之域|r</v>
      </c>
      <c r="CW177" s="6"/>
      <c r="CX177" s="6"/>
      <c r="CY177" s="6"/>
      <c r="CZ177" s="6"/>
      <c r="DA177" s="6"/>
      <c r="DB177" s="43" t="str">
        <f t="shared" si="2931"/>
        <v/>
      </c>
      <c r="DC177" s="43" t="str">
        <f t="shared" si="2932"/>
        <v/>
      </c>
      <c r="DD177" s="43" t="str">
        <f t="shared" si="2933"/>
        <v/>
      </c>
      <c r="DE177" s="43" t="str">
        <f t="shared" si="2934"/>
        <v/>
      </c>
      <c r="DF177" s="43" t="str">
        <f t="shared" si="2935"/>
        <v/>
      </c>
      <c r="DG177" s="43" t="str">
        <f t="shared" si="2936"/>
        <v/>
      </c>
      <c r="DH177" s="43" t="str">
        <f t="shared" si="2937"/>
        <v/>
      </c>
      <c r="DI177" s="43" t="str">
        <f t="shared" si="2938"/>
        <v/>
      </c>
      <c r="DJ177" s="43" t="str">
        <f t="shared" si="2939"/>
        <v/>
      </c>
      <c r="DK177" s="43" t="str">
        <f t="shared" si="2940"/>
        <v/>
      </c>
      <c r="DL177" s="43" t="str">
        <f t="shared" si="2941"/>
        <v/>
      </c>
      <c r="DM177" s="43" t="str">
        <f t="shared" si="2942"/>
        <v/>
      </c>
      <c r="DN177" s="43" t="str">
        <f t="shared" si="2943"/>
        <v/>
      </c>
      <c r="DO177" s="43" t="str">
        <f t="shared" si="2944"/>
        <v/>
      </c>
      <c r="DP177" s="43" t="str">
        <f t="shared" si="2945"/>
        <v/>
      </c>
      <c r="DQ177" s="43" t="str">
        <f t="shared" si="2946"/>
        <v/>
      </c>
      <c r="DR177" s="43" t="str">
        <f t="shared" si="2947"/>
        <v/>
      </c>
      <c r="DS177" s="43" t="str">
        <f t="shared" si="2948"/>
        <v/>
      </c>
      <c r="DT177" s="43" t="str">
        <f t="shared" si="2949"/>
        <v/>
      </c>
      <c r="DU177" s="43" t="str">
        <f t="shared" si="2950"/>
        <v/>
      </c>
      <c r="DV177" s="43" t="str">
        <f t="shared" si="2951"/>
        <v/>
      </c>
      <c r="DW177" s="43" t="str">
        <f t="shared" si="2952"/>
        <v/>
      </c>
      <c r="DX177" s="43" t="str">
        <f t="shared" si="2953"/>
        <v/>
      </c>
      <c r="DY177" s="43" t="str">
        <f t="shared" si="2954"/>
        <v/>
      </c>
      <c r="DZ177" s="43" t="str">
        <f t="shared" si="2955"/>
        <v/>
      </c>
      <c r="EA177" s="43" t="str">
        <f t="shared" si="2956"/>
        <v/>
      </c>
      <c r="EB177" s="43" t="str">
        <f t="shared" si="2957"/>
        <v/>
      </c>
      <c r="EC177" s="43" t="str">
        <f t="shared" si="2958"/>
        <v/>
      </c>
      <c r="ED177" s="43" t="str">
        <f t="shared" si="2959"/>
        <v/>
      </c>
      <c r="EE177" s="43" t="str">
        <f t="shared" si="2960"/>
        <v/>
      </c>
      <c r="EF177" s="43" t="str">
        <f t="shared" si="2961"/>
        <v/>
      </c>
      <c r="EG177" s="43" t="str">
        <f t="shared" si="2962"/>
        <v/>
      </c>
      <c r="EH177" s="43" t="str">
        <f t="shared" si="2963"/>
        <v/>
      </c>
      <c r="EI177" s="43" t="str">
        <f t="shared" si="2964"/>
        <v/>
      </c>
      <c r="EJ177" s="43" t="str">
        <f t="shared" si="2965"/>
        <v/>
      </c>
      <c r="EK177" s="43" t="str">
        <f t="shared" si="2966"/>
        <v/>
      </c>
      <c r="EL177" s="43" t="str">
        <f t="shared" si="2967"/>
        <v/>
      </c>
      <c r="EM177" s="43" t="str">
        <f t="shared" si="2968"/>
        <v/>
      </c>
      <c r="EN177" s="43" t="str">
        <f t="shared" si="2969"/>
        <v/>
      </c>
      <c r="EO177" s="43" t="str">
        <f t="shared" si="2970"/>
        <v/>
      </c>
      <c r="EP177" s="43" t="str">
        <f t="shared" si="2971"/>
        <v/>
      </c>
      <c r="EQ177" s="43" t="str">
        <f t="shared" si="2972"/>
        <v/>
      </c>
      <c r="ER177" s="43" t="str">
        <f t="shared" si="2973"/>
        <v/>
      </c>
      <c r="ES177" s="43" t="str">
        <f t="shared" si="2974"/>
        <v/>
      </c>
      <c r="ET177" s="43" t="str">
        <f t="shared" si="2975"/>
        <v/>
      </c>
      <c r="EU177" s="43" t="str">
        <f t="shared" si="2976"/>
        <v/>
      </c>
      <c r="EV177" s="43" t="str">
        <f t="shared" si="2977"/>
        <v/>
      </c>
      <c r="EW177" s="43" t="str">
        <f t="shared" si="2978"/>
        <v/>
      </c>
      <c r="EX177" s="43" t="str">
        <f t="shared" si="2979"/>
        <v/>
      </c>
      <c r="EY177" s="43" t="str">
        <f t="shared" si="2980"/>
        <v/>
      </c>
      <c r="EZ177" s="43" t="str">
        <f t="shared" si="2981"/>
        <v/>
      </c>
      <c r="FA177" s="43" t="str">
        <f t="shared" si="2982"/>
        <v/>
      </c>
      <c r="FB177" s="43" t="str">
        <f t="shared" si="2983"/>
        <v/>
      </c>
      <c r="FC177" s="43" t="str">
        <f t="shared" si="2984"/>
        <v/>
      </c>
      <c r="FD177" s="43" t="str">
        <f t="shared" si="2985"/>
        <v/>
      </c>
      <c r="FE177" s="43" t="str">
        <f t="shared" si="2986"/>
        <v/>
      </c>
      <c r="FF177" s="43" t="str">
        <f t="shared" si="2987"/>
        <v/>
      </c>
      <c r="FG177" s="43" t="str">
        <f t="shared" si="2988"/>
        <v/>
      </c>
      <c r="FH177" s="43" t="str">
        <f t="shared" si="2989"/>
        <v/>
      </c>
      <c r="FI177" s="43" t="str">
        <f t="shared" si="2990"/>
        <v/>
      </c>
      <c r="FJ177" s="43" t="str">
        <f t="shared" si="2991"/>
        <v/>
      </c>
      <c r="FK177" s="43" t="str">
        <f t="shared" si="2992"/>
        <v/>
      </c>
      <c r="FL177" s="43" t="str">
        <f t="shared" si="2993"/>
        <v/>
      </c>
      <c r="FM177" s="43" t="str">
        <f t="shared" si="2994"/>
        <v/>
      </c>
      <c r="FN177" s="43" t="str">
        <f t="shared" si="2995"/>
        <v/>
      </c>
      <c r="FO177" s="43" t="str">
        <f t="shared" si="2996"/>
        <v/>
      </c>
      <c r="FP177" s="43" t="str">
        <f t="shared" si="2997"/>
        <v/>
      </c>
      <c r="FQ177" s="43" t="str">
        <f t="shared" si="2998"/>
        <v/>
      </c>
      <c r="FR177" s="43" t="str">
        <f t="shared" si="2999"/>
        <v/>
      </c>
      <c r="FS177" s="43" t="str">
        <f t="shared" si="3000"/>
        <v/>
      </c>
    </row>
    <row r="178" ht="15" spans="1:175">
      <c r="A178" s="88"/>
      <c r="B178" s="4" t="s">
        <v>594</v>
      </c>
      <c r="C178" s="88" t="s">
        <v>595</v>
      </c>
      <c r="T178" s="88" t="s">
        <v>596</v>
      </c>
      <c r="U178" s="59" t="str">
        <f t="shared" si="2783"/>
        <v>ReplaceableTextures\\CommandButtons\\BTNIH05.blp</v>
      </c>
      <c r="CN178" s="12" t="str">
        <f t="shared" si="2406"/>
        <v>InitUnitState('IH05',,,,,,,,,,)</v>
      </c>
      <c r="CO178" s="12" t="str">
        <f t="shared" si="2407"/>
        <v>InitUnitNormal('IH05',,,,,,,,,,)</v>
      </c>
      <c r="CP178" s="12" t="str">
        <f t="shared" si="2408"/>
        <v>InitUnitMagic('IH05',,,,,,,,,,)</v>
      </c>
      <c r="CQ178" s="12" t="str">
        <f t="shared" si="2409"/>
        <v>InitUnitAdd('IH05',,,,,,,,,,)</v>
      </c>
      <c r="CR178" s="12" t="str">
        <f t="shared" si="2856"/>
        <v>InitEquipData('IH05',,"",,,,,'','','','','','',"ReplaceableTextures\\CommandButtons\\BTNIH06.blp")</v>
      </c>
      <c r="CU178" s="71" t="str">
        <f t="shared" si="2929"/>
        <v>|n</v>
      </c>
      <c r="CV178" s="5" t="str">
        <f t="shared" si="2930"/>
        <v>|Cff999999基础属性：|n|r法穿+10%|n|n|Cff999999神通传承：|n|r|Cffff0000离魂秘术|r</v>
      </c>
      <c r="CW178" s="6"/>
      <c r="CX178" s="6"/>
      <c r="CY178" s="6"/>
      <c r="CZ178" s="6"/>
      <c r="DA178" s="6"/>
      <c r="DB178" s="43" t="str">
        <f t="shared" si="2931"/>
        <v/>
      </c>
      <c r="DC178" s="43" t="str">
        <f t="shared" si="2932"/>
        <v/>
      </c>
      <c r="DD178" s="43" t="str">
        <f t="shared" si="2933"/>
        <v/>
      </c>
      <c r="DE178" s="43" t="str">
        <f t="shared" si="2934"/>
        <v/>
      </c>
      <c r="DF178" s="43" t="str">
        <f t="shared" si="2935"/>
        <v/>
      </c>
      <c r="DG178" s="43" t="str">
        <f t="shared" si="2936"/>
        <v/>
      </c>
      <c r="DH178" s="43" t="str">
        <f t="shared" si="2937"/>
        <v/>
      </c>
      <c r="DI178" s="43" t="str">
        <f t="shared" si="2938"/>
        <v/>
      </c>
      <c r="DJ178" s="43" t="str">
        <f t="shared" si="2939"/>
        <v/>
      </c>
      <c r="DK178" s="43" t="str">
        <f t="shared" si="2940"/>
        <v/>
      </c>
      <c r="DL178" s="43" t="str">
        <f t="shared" si="2941"/>
        <v/>
      </c>
      <c r="DM178" s="43" t="str">
        <f t="shared" si="2942"/>
        <v/>
      </c>
      <c r="DN178" s="43" t="str">
        <f t="shared" si="2943"/>
        <v/>
      </c>
      <c r="DO178" s="43" t="str">
        <f t="shared" si="2944"/>
        <v/>
      </c>
      <c r="DP178" s="43" t="str">
        <f t="shared" si="2945"/>
        <v/>
      </c>
      <c r="DQ178" s="43" t="str">
        <f t="shared" si="2946"/>
        <v/>
      </c>
      <c r="DR178" s="43" t="str">
        <f t="shared" si="2947"/>
        <v/>
      </c>
      <c r="DS178" s="43" t="str">
        <f t="shared" si="2948"/>
        <v/>
      </c>
      <c r="DT178" s="43" t="str">
        <f t="shared" si="2949"/>
        <v/>
      </c>
      <c r="DU178" s="43" t="str">
        <f t="shared" si="2950"/>
        <v/>
      </c>
      <c r="DV178" s="43" t="str">
        <f t="shared" si="2951"/>
        <v/>
      </c>
      <c r="DW178" s="43" t="str">
        <f t="shared" si="2952"/>
        <v/>
      </c>
      <c r="DX178" s="43" t="str">
        <f t="shared" si="2953"/>
        <v/>
      </c>
      <c r="DY178" s="43" t="str">
        <f t="shared" si="2954"/>
        <v/>
      </c>
      <c r="DZ178" s="43" t="str">
        <f t="shared" si="2955"/>
        <v/>
      </c>
      <c r="EA178" s="43" t="str">
        <f t="shared" si="2956"/>
        <v/>
      </c>
      <c r="EB178" s="43" t="str">
        <f t="shared" si="2957"/>
        <v/>
      </c>
      <c r="EC178" s="43" t="str">
        <f t="shared" si="2958"/>
        <v/>
      </c>
      <c r="ED178" s="43" t="str">
        <f t="shared" si="2959"/>
        <v/>
      </c>
      <c r="EE178" s="43" t="str">
        <f t="shared" si="2960"/>
        <v/>
      </c>
      <c r="EF178" s="43" t="str">
        <f t="shared" si="2961"/>
        <v/>
      </c>
      <c r="EG178" s="43" t="str">
        <f t="shared" si="2962"/>
        <v/>
      </c>
      <c r="EH178" s="43" t="str">
        <f t="shared" si="2963"/>
        <v/>
      </c>
      <c r="EI178" s="43" t="str">
        <f t="shared" si="2964"/>
        <v/>
      </c>
      <c r="EJ178" s="43" t="str">
        <f t="shared" si="2965"/>
        <v/>
      </c>
      <c r="EK178" s="43" t="str">
        <f t="shared" si="2966"/>
        <v/>
      </c>
      <c r="EL178" s="43" t="str">
        <f t="shared" si="2967"/>
        <v/>
      </c>
      <c r="EM178" s="43" t="str">
        <f t="shared" si="2968"/>
        <v/>
      </c>
      <c r="EN178" s="43" t="str">
        <f t="shared" si="2969"/>
        <v/>
      </c>
      <c r="EO178" s="43" t="str">
        <f t="shared" si="2970"/>
        <v/>
      </c>
      <c r="EP178" s="43" t="str">
        <f t="shared" si="2971"/>
        <v/>
      </c>
      <c r="EQ178" s="43" t="str">
        <f t="shared" si="2972"/>
        <v/>
      </c>
      <c r="ER178" s="43" t="str">
        <f t="shared" si="2973"/>
        <v/>
      </c>
      <c r="ES178" s="43" t="str">
        <f t="shared" si="2974"/>
        <v/>
      </c>
      <c r="ET178" s="43" t="str">
        <f t="shared" si="2975"/>
        <v/>
      </c>
      <c r="EU178" s="43" t="str">
        <f t="shared" si="2976"/>
        <v/>
      </c>
      <c r="EV178" s="43" t="str">
        <f t="shared" si="2977"/>
        <v/>
      </c>
      <c r="EW178" s="43" t="str">
        <f t="shared" si="2978"/>
        <v/>
      </c>
      <c r="EX178" s="43" t="str">
        <f t="shared" si="2979"/>
        <v/>
      </c>
      <c r="EY178" s="43" t="str">
        <f t="shared" si="2980"/>
        <v/>
      </c>
      <c r="EZ178" s="43" t="str">
        <f t="shared" si="2981"/>
        <v/>
      </c>
      <c r="FA178" s="43" t="str">
        <f t="shared" si="2982"/>
        <v/>
      </c>
      <c r="FB178" s="43" t="str">
        <f t="shared" si="2983"/>
        <v/>
      </c>
      <c r="FC178" s="43" t="str">
        <f t="shared" si="2984"/>
        <v/>
      </c>
      <c r="FD178" s="43" t="str">
        <f t="shared" si="2985"/>
        <v/>
      </c>
      <c r="FE178" s="43" t="str">
        <f t="shared" si="2986"/>
        <v/>
      </c>
      <c r="FF178" s="43" t="str">
        <f t="shared" si="2987"/>
        <v/>
      </c>
      <c r="FG178" s="43" t="str">
        <f t="shared" si="2988"/>
        <v/>
      </c>
      <c r="FH178" s="43" t="str">
        <f t="shared" si="2989"/>
        <v/>
      </c>
      <c r="FI178" s="43" t="str">
        <f t="shared" si="2990"/>
        <v/>
      </c>
      <c r="FJ178" s="43" t="str">
        <f t="shared" si="2991"/>
        <v/>
      </c>
      <c r="FK178" s="43" t="str">
        <f t="shared" si="2992"/>
        <v/>
      </c>
      <c r="FL178" s="43" t="str">
        <f t="shared" si="2993"/>
        <v/>
      </c>
      <c r="FM178" s="43" t="str">
        <f t="shared" si="2994"/>
        <v/>
      </c>
      <c r="FN178" s="43" t="str">
        <f t="shared" si="2995"/>
        <v/>
      </c>
      <c r="FO178" s="43" t="str">
        <f t="shared" si="2996"/>
        <v/>
      </c>
      <c r="FP178" s="43" t="str">
        <f t="shared" si="2997"/>
        <v/>
      </c>
      <c r="FQ178" s="43" t="str">
        <f t="shared" si="2998"/>
        <v/>
      </c>
      <c r="FR178" s="43" t="str">
        <f t="shared" si="2999"/>
        <v/>
      </c>
      <c r="FS178" s="43" t="str">
        <f t="shared" si="3000"/>
        <v/>
      </c>
    </row>
    <row r="179" ht="15" spans="1:175">
      <c r="A179" s="88"/>
      <c r="B179" s="4" t="s">
        <v>597</v>
      </c>
      <c r="C179" s="88" t="s">
        <v>598</v>
      </c>
      <c r="T179" s="88" t="s">
        <v>599</v>
      </c>
      <c r="U179" s="59" t="str">
        <f t="shared" si="2783"/>
        <v>ReplaceableTextures\\CommandButtons\\BTNIH06.blp</v>
      </c>
      <c r="CN179" s="12" t="str">
        <f t="shared" si="2406"/>
        <v>InitUnitState('IH06',,,,,,,,,,)</v>
      </c>
      <c r="CO179" s="12" t="str">
        <f t="shared" si="2407"/>
        <v>InitUnitNormal('IH06',,,,,,,,,,)</v>
      </c>
      <c r="CP179" s="12" t="str">
        <f t="shared" si="2408"/>
        <v>InitUnitMagic('IH06',,,,,,,,,,)</v>
      </c>
      <c r="CQ179" s="12" t="str">
        <f t="shared" si="2409"/>
        <v>InitUnitAdd('IH06',,,,,,,,,,)</v>
      </c>
      <c r="CR179" s="12" t="str">
        <f t="shared" si="2856"/>
        <v>InitEquipData('IH06',,"",,,,,'','','','','','',"ReplaceableTextures\\CommandButtons\\BTNIH07.blp")</v>
      </c>
      <c r="CU179" s="71" t="str">
        <f t="shared" si="2929"/>
        <v>|n</v>
      </c>
      <c r="CV179" s="5" t="str">
        <f t="shared" si="2930"/>
        <v>|Cff999999基础属性：|n|r暴击+5%，爆伤+50%|n|n|Cff999999神通传承：|n|r|Cffff0000修罗之怒|r</v>
      </c>
      <c r="CW179" s="6"/>
      <c r="CX179" s="6"/>
      <c r="CY179" s="6"/>
      <c r="CZ179" s="6"/>
      <c r="DA179" s="6"/>
      <c r="DB179" s="43" t="str">
        <f t="shared" si="2931"/>
        <v/>
      </c>
      <c r="DC179" s="43" t="str">
        <f t="shared" si="2932"/>
        <v/>
      </c>
      <c r="DD179" s="43" t="str">
        <f t="shared" si="2933"/>
        <v/>
      </c>
      <c r="DE179" s="43" t="str">
        <f t="shared" si="2934"/>
        <v/>
      </c>
      <c r="DF179" s="43" t="str">
        <f t="shared" si="2935"/>
        <v/>
      </c>
      <c r="DG179" s="43" t="str">
        <f t="shared" si="2936"/>
        <v/>
      </c>
      <c r="DH179" s="43" t="str">
        <f t="shared" si="2937"/>
        <v/>
      </c>
      <c r="DI179" s="43" t="str">
        <f t="shared" si="2938"/>
        <v/>
      </c>
      <c r="DJ179" s="43" t="str">
        <f t="shared" si="2939"/>
        <v/>
      </c>
      <c r="DK179" s="43" t="str">
        <f t="shared" si="2940"/>
        <v/>
      </c>
      <c r="DL179" s="43" t="str">
        <f t="shared" si="2941"/>
        <v/>
      </c>
      <c r="DM179" s="43" t="str">
        <f t="shared" si="2942"/>
        <v/>
      </c>
      <c r="DN179" s="43" t="str">
        <f t="shared" si="2943"/>
        <v/>
      </c>
      <c r="DO179" s="43" t="str">
        <f t="shared" si="2944"/>
        <v/>
      </c>
      <c r="DP179" s="43" t="str">
        <f t="shared" si="2945"/>
        <v/>
      </c>
      <c r="DQ179" s="43" t="str">
        <f t="shared" si="2946"/>
        <v/>
      </c>
      <c r="DR179" s="43" t="str">
        <f t="shared" si="2947"/>
        <v/>
      </c>
      <c r="DS179" s="43" t="str">
        <f t="shared" si="2948"/>
        <v/>
      </c>
      <c r="DT179" s="43" t="str">
        <f t="shared" si="2949"/>
        <v/>
      </c>
      <c r="DU179" s="43" t="str">
        <f t="shared" si="2950"/>
        <v/>
      </c>
      <c r="DV179" s="43" t="str">
        <f t="shared" si="2951"/>
        <v/>
      </c>
      <c r="DW179" s="43" t="str">
        <f t="shared" si="2952"/>
        <v/>
      </c>
      <c r="DX179" s="43" t="str">
        <f t="shared" si="2953"/>
        <v/>
      </c>
      <c r="DY179" s="43" t="str">
        <f t="shared" si="2954"/>
        <v/>
      </c>
      <c r="DZ179" s="43" t="str">
        <f t="shared" si="2955"/>
        <v/>
      </c>
      <c r="EA179" s="43" t="str">
        <f t="shared" si="2956"/>
        <v/>
      </c>
      <c r="EB179" s="43" t="str">
        <f t="shared" si="2957"/>
        <v/>
      </c>
      <c r="EC179" s="43" t="str">
        <f t="shared" si="2958"/>
        <v/>
      </c>
      <c r="ED179" s="43" t="str">
        <f t="shared" si="2959"/>
        <v/>
      </c>
      <c r="EE179" s="43" t="str">
        <f t="shared" si="2960"/>
        <v/>
      </c>
      <c r="EF179" s="43" t="str">
        <f t="shared" si="2961"/>
        <v/>
      </c>
      <c r="EG179" s="43" t="str">
        <f t="shared" si="2962"/>
        <v/>
      </c>
      <c r="EH179" s="43" t="str">
        <f t="shared" si="2963"/>
        <v/>
      </c>
      <c r="EI179" s="43" t="str">
        <f t="shared" si="2964"/>
        <v/>
      </c>
      <c r="EJ179" s="43" t="str">
        <f t="shared" si="2965"/>
        <v/>
      </c>
      <c r="EK179" s="43" t="str">
        <f t="shared" si="2966"/>
        <v/>
      </c>
      <c r="EL179" s="43" t="str">
        <f t="shared" si="2967"/>
        <v/>
      </c>
      <c r="EM179" s="43" t="str">
        <f t="shared" si="2968"/>
        <v/>
      </c>
      <c r="EN179" s="43" t="str">
        <f t="shared" si="2969"/>
        <v/>
      </c>
      <c r="EO179" s="43" t="str">
        <f t="shared" si="2970"/>
        <v/>
      </c>
      <c r="EP179" s="43" t="str">
        <f t="shared" si="2971"/>
        <v/>
      </c>
      <c r="EQ179" s="43" t="str">
        <f t="shared" si="2972"/>
        <v/>
      </c>
      <c r="ER179" s="43" t="str">
        <f t="shared" si="2973"/>
        <v/>
      </c>
      <c r="ES179" s="43" t="str">
        <f t="shared" si="2974"/>
        <v/>
      </c>
      <c r="ET179" s="43" t="str">
        <f t="shared" si="2975"/>
        <v/>
      </c>
      <c r="EU179" s="43" t="str">
        <f t="shared" si="2976"/>
        <v/>
      </c>
      <c r="EV179" s="43" t="str">
        <f t="shared" si="2977"/>
        <v/>
      </c>
      <c r="EW179" s="43" t="str">
        <f t="shared" si="2978"/>
        <v/>
      </c>
      <c r="EX179" s="43" t="str">
        <f t="shared" si="2979"/>
        <v/>
      </c>
      <c r="EY179" s="43" t="str">
        <f t="shared" si="2980"/>
        <v/>
      </c>
      <c r="EZ179" s="43" t="str">
        <f t="shared" si="2981"/>
        <v/>
      </c>
      <c r="FA179" s="43" t="str">
        <f t="shared" si="2982"/>
        <v/>
      </c>
      <c r="FB179" s="43" t="str">
        <f t="shared" si="2983"/>
        <v/>
      </c>
      <c r="FC179" s="43" t="str">
        <f t="shared" si="2984"/>
        <v/>
      </c>
      <c r="FD179" s="43" t="str">
        <f t="shared" si="2985"/>
        <v/>
      </c>
      <c r="FE179" s="43" t="str">
        <f t="shared" si="2986"/>
        <v/>
      </c>
      <c r="FF179" s="43" t="str">
        <f t="shared" si="2987"/>
        <v/>
      </c>
      <c r="FG179" s="43" t="str">
        <f t="shared" si="2988"/>
        <v/>
      </c>
      <c r="FH179" s="43" t="str">
        <f t="shared" si="2989"/>
        <v/>
      </c>
      <c r="FI179" s="43" t="str">
        <f t="shared" si="2990"/>
        <v/>
      </c>
      <c r="FJ179" s="43" t="str">
        <f t="shared" si="2991"/>
        <v/>
      </c>
      <c r="FK179" s="43" t="str">
        <f t="shared" si="2992"/>
        <v/>
      </c>
      <c r="FL179" s="43" t="str">
        <f t="shared" si="2993"/>
        <v/>
      </c>
      <c r="FM179" s="43" t="str">
        <f t="shared" si="2994"/>
        <v/>
      </c>
      <c r="FN179" s="43" t="str">
        <f t="shared" si="2995"/>
        <v/>
      </c>
      <c r="FO179" s="43" t="str">
        <f t="shared" si="2996"/>
        <v/>
      </c>
      <c r="FP179" s="43" t="str">
        <f t="shared" si="2997"/>
        <v/>
      </c>
      <c r="FQ179" s="43" t="str">
        <f t="shared" si="2998"/>
        <v/>
      </c>
      <c r="FR179" s="43" t="str">
        <f t="shared" si="2999"/>
        <v/>
      </c>
      <c r="FS179" s="43" t="str">
        <f t="shared" si="3000"/>
        <v/>
      </c>
    </row>
    <row r="180" ht="15" spans="1:175">
      <c r="A180" s="88"/>
      <c r="B180" s="4" t="s">
        <v>600</v>
      </c>
      <c r="C180" s="88" t="s">
        <v>601</v>
      </c>
      <c r="T180" s="88" t="s">
        <v>602</v>
      </c>
      <c r="U180" s="59" t="str">
        <f t="shared" ref="U180:U198" si="3001">"ReplaceableTextures\\CommandButtons\\BTN"&amp;B180&amp;".blp"</f>
        <v>ReplaceableTextures\\CommandButtons\\BTNIH07.blp</v>
      </c>
      <c r="CN180" s="12" t="str">
        <f t="shared" si="2406"/>
        <v>InitUnitState('IH07',,,,,,,,,,)</v>
      </c>
      <c r="CO180" s="12" t="str">
        <f t="shared" si="2407"/>
        <v>InitUnitNormal('IH07',,,,,,,,,,)</v>
      </c>
      <c r="CP180" s="12" t="str">
        <f t="shared" si="2408"/>
        <v>InitUnitMagic('IH07',,,,,,,,,,)</v>
      </c>
      <c r="CQ180" s="12" t="str">
        <f t="shared" si="2409"/>
        <v>InitUnitAdd('IH07',,,,,,,,,,)</v>
      </c>
      <c r="CR180" s="12" t="str">
        <f t="shared" si="2856"/>
        <v>InitEquipData('IH07',,"",,,,,'','','','','','',"ReplaceableTextures\\CommandButtons\\BTNIH08.blp")</v>
      </c>
      <c r="CU180" s="71" t="str">
        <f t="shared" si="2929"/>
        <v>|n</v>
      </c>
      <c r="CV180" s="5" t="str">
        <f t="shared" si="2930"/>
        <v>|Cff999999基础属性：|n|r攻速+50%|n|n|Cff999999神通传承：|n|r|Cffff0000神威一击|r</v>
      </c>
      <c r="CW180" s="6"/>
      <c r="CX180" s="6"/>
      <c r="CY180" s="6"/>
      <c r="CZ180" s="6"/>
      <c r="DA180" s="6"/>
      <c r="DB180" s="43" t="str">
        <f t="shared" si="2931"/>
        <v/>
      </c>
      <c r="DC180" s="43" t="str">
        <f t="shared" si="2932"/>
        <v/>
      </c>
      <c r="DD180" s="43" t="str">
        <f t="shared" si="2933"/>
        <v/>
      </c>
      <c r="DE180" s="43" t="str">
        <f t="shared" si="2934"/>
        <v/>
      </c>
      <c r="DF180" s="43" t="str">
        <f t="shared" si="2935"/>
        <v/>
      </c>
      <c r="DG180" s="43" t="str">
        <f t="shared" si="2936"/>
        <v/>
      </c>
      <c r="DH180" s="43" t="str">
        <f t="shared" si="2937"/>
        <v/>
      </c>
      <c r="DI180" s="43" t="str">
        <f t="shared" si="2938"/>
        <v/>
      </c>
      <c r="DJ180" s="43" t="str">
        <f t="shared" si="2939"/>
        <v/>
      </c>
      <c r="DK180" s="43" t="str">
        <f t="shared" si="2940"/>
        <v/>
      </c>
      <c r="DL180" s="43" t="str">
        <f t="shared" si="2941"/>
        <v/>
      </c>
      <c r="DM180" s="43" t="str">
        <f t="shared" si="2942"/>
        <v/>
      </c>
      <c r="DN180" s="43" t="str">
        <f t="shared" si="2943"/>
        <v/>
      </c>
      <c r="DO180" s="43" t="str">
        <f t="shared" si="2944"/>
        <v/>
      </c>
      <c r="DP180" s="43" t="str">
        <f t="shared" si="2945"/>
        <v/>
      </c>
      <c r="DQ180" s="43" t="str">
        <f t="shared" si="2946"/>
        <v/>
      </c>
      <c r="DR180" s="43" t="str">
        <f t="shared" si="2947"/>
        <v/>
      </c>
      <c r="DS180" s="43" t="str">
        <f t="shared" si="2948"/>
        <v/>
      </c>
      <c r="DT180" s="43" t="str">
        <f t="shared" si="2949"/>
        <v/>
      </c>
      <c r="DU180" s="43" t="str">
        <f t="shared" si="2950"/>
        <v/>
      </c>
      <c r="DV180" s="43" t="str">
        <f t="shared" si="2951"/>
        <v/>
      </c>
      <c r="DW180" s="43" t="str">
        <f t="shared" si="2952"/>
        <v/>
      </c>
      <c r="DX180" s="43" t="str">
        <f t="shared" si="2953"/>
        <v/>
      </c>
      <c r="DY180" s="43" t="str">
        <f t="shared" si="2954"/>
        <v/>
      </c>
      <c r="DZ180" s="43" t="str">
        <f t="shared" si="2955"/>
        <v/>
      </c>
      <c r="EA180" s="43" t="str">
        <f t="shared" si="2956"/>
        <v/>
      </c>
      <c r="EB180" s="43" t="str">
        <f t="shared" si="2957"/>
        <v/>
      </c>
      <c r="EC180" s="43" t="str">
        <f t="shared" si="2958"/>
        <v/>
      </c>
      <c r="ED180" s="43" t="str">
        <f t="shared" si="2959"/>
        <v/>
      </c>
      <c r="EE180" s="43" t="str">
        <f t="shared" si="2960"/>
        <v/>
      </c>
      <c r="EF180" s="43" t="str">
        <f t="shared" si="2961"/>
        <v/>
      </c>
      <c r="EG180" s="43" t="str">
        <f t="shared" si="2962"/>
        <v/>
      </c>
      <c r="EH180" s="43" t="str">
        <f t="shared" si="2963"/>
        <v/>
      </c>
      <c r="EI180" s="43" t="str">
        <f t="shared" si="2964"/>
        <v/>
      </c>
      <c r="EJ180" s="43" t="str">
        <f t="shared" si="2965"/>
        <v/>
      </c>
      <c r="EK180" s="43" t="str">
        <f t="shared" si="2966"/>
        <v/>
      </c>
      <c r="EL180" s="43" t="str">
        <f t="shared" si="2967"/>
        <v/>
      </c>
      <c r="EM180" s="43" t="str">
        <f t="shared" si="2968"/>
        <v/>
      </c>
      <c r="EN180" s="43" t="str">
        <f t="shared" si="2969"/>
        <v/>
      </c>
      <c r="EO180" s="43" t="str">
        <f t="shared" si="2970"/>
        <v/>
      </c>
      <c r="EP180" s="43" t="str">
        <f t="shared" si="2971"/>
        <v/>
      </c>
      <c r="EQ180" s="43" t="str">
        <f t="shared" si="2972"/>
        <v/>
      </c>
      <c r="ER180" s="43" t="str">
        <f t="shared" si="2973"/>
        <v/>
      </c>
      <c r="ES180" s="43" t="str">
        <f t="shared" si="2974"/>
        <v/>
      </c>
      <c r="ET180" s="43" t="str">
        <f t="shared" si="2975"/>
        <v/>
      </c>
      <c r="EU180" s="43" t="str">
        <f t="shared" si="2976"/>
        <v/>
      </c>
      <c r="EV180" s="43" t="str">
        <f t="shared" si="2977"/>
        <v/>
      </c>
      <c r="EW180" s="43" t="str">
        <f t="shared" si="2978"/>
        <v/>
      </c>
      <c r="EX180" s="43" t="str">
        <f t="shared" si="2979"/>
        <v/>
      </c>
      <c r="EY180" s="43" t="str">
        <f t="shared" si="2980"/>
        <v/>
      </c>
      <c r="EZ180" s="43" t="str">
        <f t="shared" si="2981"/>
        <v/>
      </c>
      <c r="FA180" s="43" t="str">
        <f t="shared" si="2982"/>
        <v/>
      </c>
      <c r="FB180" s="43" t="str">
        <f t="shared" si="2983"/>
        <v/>
      </c>
      <c r="FC180" s="43" t="str">
        <f t="shared" si="2984"/>
        <v/>
      </c>
      <c r="FD180" s="43" t="str">
        <f t="shared" si="2985"/>
        <v/>
      </c>
      <c r="FE180" s="43" t="str">
        <f t="shared" si="2986"/>
        <v/>
      </c>
      <c r="FF180" s="43" t="str">
        <f t="shared" si="2987"/>
        <v/>
      </c>
      <c r="FG180" s="43" t="str">
        <f t="shared" si="2988"/>
        <v/>
      </c>
      <c r="FH180" s="43" t="str">
        <f t="shared" si="2989"/>
        <v/>
      </c>
      <c r="FI180" s="43" t="str">
        <f t="shared" si="2990"/>
        <v/>
      </c>
      <c r="FJ180" s="43" t="str">
        <f t="shared" si="2991"/>
        <v/>
      </c>
      <c r="FK180" s="43" t="str">
        <f t="shared" si="2992"/>
        <v/>
      </c>
      <c r="FL180" s="43" t="str">
        <f t="shared" si="2993"/>
        <v/>
      </c>
      <c r="FM180" s="43" t="str">
        <f t="shared" si="2994"/>
        <v/>
      </c>
      <c r="FN180" s="43" t="str">
        <f t="shared" si="2995"/>
        <v/>
      </c>
      <c r="FO180" s="43" t="str">
        <f t="shared" si="2996"/>
        <v/>
      </c>
      <c r="FP180" s="43" t="str">
        <f t="shared" si="2997"/>
        <v/>
      </c>
      <c r="FQ180" s="43" t="str">
        <f t="shared" si="2998"/>
        <v/>
      </c>
      <c r="FR180" s="43" t="str">
        <f t="shared" si="2999"/>
        <v/>
      </c>
      <c r="FS180" s="43" t="str">
        <f t="shared" si="3000"/>
        <v/>
      </c>
    </row>
    <row r="181" ht="15" spans="1:175">
      <c r="A181" s="88"/>
      <c r="B181" s="4" t="s">
        <v>603</v>
      </c>
      <c r="C181" s="88" t="s">
        <v>604</v>
      </c>
      <c r="T181" s="88" t="s">
        <v>605</v>
      </c>
      <c r="U181" s="59" t="str">
        <f t="shared" si="3001"/>
        <v>ReplaceableTextures\\CommandButtons\\BTNIH08.blp</v>
      </c>
      <c r="CN181" s="12" t="str">
        <f t="shared" si="2406"/>
        <v>InitUnitState('IH08',,,,,,,,,,)</v>
      </c>
      <c r="CO181" s="12" t="str">
        <f t="shared" si="2407"/>
        <v>InitUnitNormal('IH08',,,,,,,,,,)</v>
      </c>
      <c r="CP181" s="12" t="str">
        <f t="shared" si="2408"/>
        <v>InitUnitMagic('IH08',,,,,,,,,,)</v>
      </c>
      <c r="CQ181" s="12" t="str">
        <f t="shared" si="2409"/>
        <v>InitUnitAdd('IH08',,,,,,,,,,)</v>
      </c>
      <c r="CR181" s="12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200&amp;CR$1&amp;")"</f>
        <v>InitEquipData('IH08',,"",,,,,'','','','','','',"ReplaceableTextures\\CommandButtons\\BTNIF01.blp")</v>
      </c>
      <c r="CU181" s="71" t="str">
        <f t="shared" si="2929"/>
        <v>|n</v>
      </c>
      <c r="CV181" s="5" t="str">
        <f t="shared" si="2930"/>
        <v>|Cff999999基础属性：|n|r冷却+10%|n|n|Cff999999神通传承：|n|r|Cffff0000道法自然|r</v>
      </c>
      <c r="CW181" s="6"/>
      <c r="CX181" s="6"/>
      <c r="CY181" s="6"/>
      <c r="CZ181" s="6"/>
      <c r="DA181" s="6"/>
      <c r="DB181" s="43" t="str">
        <f t="shared" si="2931"/>
        <v/>
      </c>
      <c r="DC181" s="43" t="str">
        <f t="shared" si="2932"/>
        <v/>
      </c>
      <c r="DD181" s="43" t="str">
        <f t="shared" si="2933"/>
        <v/>
      </c>
      <c r="DE181" s="43" t="str">
        <f t="shared" si="2934"/>
        <v/>
      </c>
      <c r="DF181" s="43" t="str">
        <f t="shared" si="2935"/>
        <v/>
      </c>
      <c r="DG181" s="43" t="str">
        <f t="shared" si="2936"/>
        <v/>
      </c>
      <c r="DH181" s="43" t="str">
        <f t="shared" si="2937"/>
        <v/>
      </c>
      <c r="DI181" s="43" t="str">
        <f t="shared" si="2938"/>
        <v/>
      </c>
      <c r="DJ181" s="43" t="str">
        <f t="shared" si="2939"/>
        <v/>
      </c>
      <c r="DK181" s="43" t="str">
        <f t="shared" si="2940"/>
        <v/>
      </c>
      <c r="DL181" s="43" t="str">
        <f t="shared" si="2941"/>
        <v/>
      </c>
      <c r="DM181" s="43" t="str">
        <f t="shared" si="2942"/>
        <v/>
      </c>
      <c r="DN181" s="43" t="str">
        <f t="shared" si="2943"/>
        <v/>
      </c>
      <c r="DO181" s="43" t="str">
        <f t="shared" si="2944"/>
        <v/>
      </c>
      <c r="DP181" s="43" t="str">
        <f t="shared" si="2945"/>
        <v/>
      </c>
      <c r="DQ181" s="43" t="str">
        <f t="shared" si="2946"/>
        <v/>
      </c>
      <c r="DR181" s="43" t="str">
        <f t="shared" si="2947"/>
        <v/>
      </c>
      <c r="DS181" s="43" t="str">
        <f t="shared" si="2948"/>
        <v/>
      </c>
      <c r="DT181" s="43" t="str">
        <f t="shared" si="2949"/>
        <v/>
      </c>
      <c r="DU181" s="43" t="str">
        <f t="shared" si="2950"/>
        <v/>
      </c>
      <c r="DV181" s="43" t="str">
        <f t="shared" si="2951"/>
        <v/>
      </c>
      <c r="DW181" s="43" t="str">
        <f t="shared" si="2952"/>
        <v/>
      </c>
      <c r="DX181" s="43" t="str">
        <f t="shared" si="2953"/>
        <v/>
      </c>
      <c r="DY181" s="43" t="str">
        <f t="shared" si="2954"/>
        <v/>
      </c>
      <c r="DZ181" s="43" t="str">
        <f t="shared" si="2955"/>
        <v/>
      </c>
      <c r="EA181" s="43" t="str">
        <f t="shared" si="2956"/>
        <v/>
      </c>
      <c r="EB181" s="43" t="str">
        <f t="shared" si="2957"/>
        <v/>
      </c>
      <c r="EC181" s="43" t="str">
        <f t="shared" si="2958"/>
        <v/>
      </c>
      <c r="ED181" s="43" t="str">
        <f t="shared" si="2959"/>
        <v/>
      </c>
      <c r="EE181" s="43" t="str">
        <f t="shared" si="2960"/>
        <v/>
      </c>
      <c r="EF181" s="43" t="str">
        <f t="shared" si="2961"/>
        <v/>
      </c>
      <c r="EG181" s="43" t="str">
        <f t="shared" si="2962"/>
        <v/>
      </c>
      <c r="EH181" s="43" t="str">
        <f t="shared" si="2963"/>
        <v/>
      </c>
      <c r="EI181" s="43" t="str">
        <f t="shared" si="2964"/>
        <v/>
      </c>
      <c r="EJ181" s="43" t="str">
        <f t="shared" si="2965"/>
        <v/>
      </c>
      <c r="EK181" s="43" t="str">
        <f t="shared" si="2966"/>
        <v/>
      </c>
      <c r="EL181" s="43" t="str">
        <f t="shared" si="2967"/>
        <v/>
      </c>
      <c r="EM181" s="43" t="str">
        <f t="shared" si="2968"/>
        <v/>
      </c>
      <c r="EN181" s="43" t="str">
        <f t="shared" si="2969"/>
        <v/>
      </c>
      <c r="EO181" s="43" t="str">
        <f t="shared" si="2970"/>
        <v/>
      </c>
      <c r="EP181" s="43" t="str">
        <f t="shared" si="2971"/>
        <v/>
      </c>
      <c r="EQ181" s="43" t="str">
        <f t="shared" si="2972"/>
        <v/>
      </c>
      <c r="ER181" s="43" t="str">
        <f t="shared" si="2973"/>
        <v/>
      </c>
      <c r="ES181" s="43" t="str">
        <f t="shared" si="2974"/>
        <v/>
      </c>
      <c r="ET181" s="43" t="str">
        <f t="shared" si="2975"/>
        <v/>
      </c>
      <c r="EU181" s="43" t="str">
        <f t="shared" si="2976"/>
        <v/>
      </c>
      <c r="EV181" s="43" t="str">
        <f t="shared" si="2977"/>
        <v/>
      </c>
      <c r="EW181" s="43" t="str">
        <f t="shared" si="2978"/>
        <v/>
      </c>
      <c r="EX181" s="43" t="str">
        <f t="shared" si="2979"/>
        <v/>
      </c>
      <c r="EY181" s="43" t="str">
        <f t="shared" si="2980"/>
        <v/>
      </c>
      <c r="EZ181" s="43" t="str">
        <f t="shared" si="2981"/>
        <v/>
      </c>
      <c r="FA181" s="43" t="str">
        <f t="shared" si="2982"/>
        <v/>
      </c>
      <c r="FB181" s="43" t="str">
        <f t="shared" si="2983"/>
        <v/>
      </c>
      <c r="FC181" s="43" t="str">
        <f t="shared" si="2984"/>
        <v/>
      </c>
      <c r="FD181" s="43" t="str">
        <f t="shared" si="2985"/>
        <v/>
      </c>
      <c r="FE181" s="43" t="str">
        <f t="shared" si="2986"/>
        <v/>
      </c>
      <c r="FF181" s="43" t="str">
        <f t="shared" si="2987"/>
        <v/>
      </c>
      <c r="FG181" s="43" t="str">
        <f t="shared" si="2988"/>
        <v/>
      </c>
      <c r="FH181" s="43" t="str">
        <f t="shared" si="2989"/>
        <v/>
      </c>
      <c r="FI181" s="43" t="str">
        <f t="shared" si="2990"/>
        <v/>
      </c>
      <c r="FJ181" s="43" t="str">
        <f t="shared" si="2991"/>
        <v/>
      </c>
      <c r="FK181" s="43" t="str">
        <f t="shared" si="2992"/>
        <v/>
      </c>
      <c r="FL181" s="43" t="str">
        <f t="shared" si="2993"/>
        <v/>
      </c>
      <c r="FM181" s="43" t="str">
        <f t="shared" si="2994"/>
        <v/>
      </c>
      <c r="FN181" s="43" t="str">
        <f t="shared" si="2995"/>
        <v/>
      </c>
      <c r="FO181" s="43" t="str">
        <f t="shared" si="2996"/>
        <v/>
      </c>
      <c r="FP181" s="43" t="str">
        <f t="shared" si="2997"/>
        <v/>
      </c>
      <c r="FQ181" s="43" t="str">
        <f t="shared" si="2998"/>
        <v/>
      </c>
      <c r="FR181" s="43" t="str">
        <f t="shared" si="2999"/>
        <v/>
      </c>
      <c r="FS181" s="43" t="str">
        <f t="shared" si="3000"/>
        <v/>
      </c>
    </row>
    <row r="182" ht="14.4" spans="1:175">
      <c r="A182" s="88"/>
      <c r="B182" s="7" t="s">
        <v>606</v>
      </c>
      <c r="C182" s="89" t="s">
        <v>607</v>
      </c>
      <c r="T182" s="89" t="s">
        <v>607</v>
      </c>
      <c r="U182" s="59" t="str">
        <f t="shared" si="3001"/>
        <v>ReplaceableTextures\\CommandButtons\\BTNIB01.blp</v>
      </c>
      <c r="CN182" s="12" t="str">
        <f t="shared" si="2406"/>
        <v>InitUnitState('IB01',,,,,,,,,,)</v>
      </c>
      <c r="CO182" s="12" t="str">
        <f t="shared" si="2407"/>
        <v>InitUnitNormal('IB01',,,,,,,,,,)</v>
      </c>
      <c r="CP182" s="12" t="str">
        <f t="shared" si="2408"/>
        <v>InitUnitMagic('IB01',,,,,,,,,,)</v>
      </c>
      <c r="CQ182" s="12" t="str">
        <f t="shared" si="2409"/>
        <v>InitUnitAdd('IB01',,,,,,,,,,)</v>
      </c>
      <c r="CR182" s="1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InitEquipData('IB01',,"",,,,,'','','','','','',"ReplaceableTextures\\CommandButtons\\BTNIB02.blp")</v>
      </c>
      <c r="CU182" s="71" t="str">
        <f t="shared" ref="CU182:CU190" si="3002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5" t="str">
        <f t="shared" ref="CV182:CV190" si="3003">T182</f>
        <v>公众号礼包</v>
      </c>
      <c r="CW182" s="6"/>
      <c r="CX182" s="6"/>
      <c r="CY182" s="6"/>
      <c r="CZ182" s="6"/>
      <c r="DA182" s="6"/>
      <c r="DB182" s="43" t="str">
        <f t="shared" ref="DB182:DB189" si="3004">IF(V182="","","|n"&amp;DB$2&amp;"+"&amp;V182&amp;DB$1)</f>
        <v/>
      </c>
      <c r="DC182" s="43" t="str">
        <f t="shared" ref="DC182:DC189" si="3005">IF(W182="","","|n"&amp;DC$2&amp;"+"&amp;W182&amp;DC$1)</f>
        <v/>
      </c>
      <c r="DD182" s="43" t="str">
        <f t="shared" ref="DD182:DD189" si="3006">IF(X182="","","|n"&amp;DD$2&amp;"+"&amp;X182&amp;DD$1)</f>
        <v/>
      </c>
      <c r="DE182" s="43" t="str">
        <f t="shared" ref="DE182:DE189" si="3007">IF(Y182="","","|n"&amp;DE$2&amp;"+"&amp;Y182&amp;DE$1)</f>
        <v/>
      </c>
      <c r="DF182" s="43" t="str">
        <f t="shared" ref="DF182:DF189" si="3008">IF(Z182="","","|n"&amp;DF$2&amp;"+"&amp;Z182&amp;DF$1)</f>
        <v/>
      </c>
      <c r="DG182" s="43" t="str">
        <f t="shared" ref="DG182:DG189" si="3009">IF(AA182="","","|n"&amp;DG$2&amp;"+"&amp;AA182&amp;DG$1)</f>
        <v/>
      </c>
      <c r="DH182" s="43" t="str">
        <f t="shared" ref="DH182:DH189" si="3010">IF(AB182="","","|n"&amp;DH$2&amp;"+"&amp;AB182&amp;DH$1)</f>
        <v/>
      </c>
      <c r="DI182" s="43" t="str">
        <f t="shared" ref="DI182:DI189" si="3011">IF(AC182="","","|n"&amp;DI$2&amp;"+"&amp;AC182&amp;DI$1)</f>
        <v/>
      </c>
      <c r="DJ182" s="43" t="str">
        <f t="shared" ref="DJ182:DJ189" si="3012">IF(AD182="","","|n"&amp;DJ$2&amp;"+"&amp;AD182&amp;DJ$1)</f>
        <v/>
      </c>
      <c r="DK182" s="43" t="str">
        <f t="shared" ref="DK182:DK189" si="3013">IF(AE182="","","|n"&amp;DK$2&amp;"+"&amp;AE182&amp;DK$1)</f>
        <v/>
      </c>
      <c r="DL182" s="43" t="str">
        <f t="shared" ref="DL182:DL189" si="3014">IF(AF182="","","|n"&amp;DL$2&amp;"+"&amp;AF182&amp;DL$1)</f>
        <v/>
      </c>
      <c r="DM182" s="43" t="str">
        <f t="shared" ref="DM182:DM189" si="3015">IF(AG182="","","|n"&amp;DM$2&amp;"+"&amp;AG182&amp;DM$1)</f>
        <v/>
      </c>
      <c r="DN182" s="43" t="str">
        <f t="shared" ref="DN182:DN189" si="3016">IF(AH182="","","|n"&amp;DN$2&amp;"+"&amp;AH182&amp;DN$1)</f>
        <v/>
      </c>
      <c r="DO182" s="43" t="str">
        <f t="shared" ref="DO182:DO189" si="3017">IF(AI182="","","|n"&amp;DO$2&amp;"+"&amp;AI182&amp;DO$1)</f>
        <v/>
      </c>
      <c r="DP182" s="43" t="str">
        <f t="shared" ref="DP182:DP189" si="3018">IF(AJ182="","","|n"&amp;DP$2&amp;"+"&amp;AJ182&amp;DP$1)</f>
        <v/>
      </c>
      <c r="DQ182" s="43" t="str">
        <f t="shared" ref="DQ182:DQ189" si="3019">IF(AK182="","","|n"&amp;DQ$2&amp;"+"&amp;AK182&amp;DQ$1)</f>
        <v/>
      </c>
      <c r="DR182" s="43" t="str">
        <f t="shared" ref="DR182:DR189" si="3020">IF(AL182="","","|n"&amp;DR$2&amp;"+"&amp;AL182&amp;DR$1)</f>
        <v/>
      </c>
      <c r="DS182" s="43" t="str">
        <f t="shared" ref="DS182:DS189" si="3021">IF(AM182="","","|n"&amp;DS$2&amp;"+"&amp;AM182&amp;DS$1)</f>
        <v/>
      </c>
      <c r="DT182" s="43" t="str">
        <f t="shared" ref="DT182:DT189" si="3022">IF(AN182="","","|n"&amp;DT$2&amp;"+"&amp;AN182&amp;DT$1)</f>
        <v/>
      </c>
      <c r="DU182" s="43" t="str">
        <f t="shared" ref="DU182:DU189" si="3023">IF(AO182="","","|n"&amp;DU$2&amp;"+"&amp;AO182&amp;DU$1)</f>
        <v/>
      </c>
      <c r="DV182" s="43" t="str">
        <f t="shared" ref="DV182:DV189" si="3024">IF(AP182="","","|n"&amp;DV$2&amp;"+"&amp;AP182&amp;DV$1)</f>
        <v/>
      </c>
      <c r="DW182" s="43" t="str">
        <f t="shared" ref="DW182:DW189" si="3025">IF(AQ182="","","|n"&amp;DW$2&amp;"+"&amp;AQ182&amp;DW$1)</f>
        <v/>
      </c>
      <c r="DX182" s="43" t="str">
        <f t="shared" ref="DX182:DX189" si="3026">IF(AR182="","","|n"&amp;DX$2&amp;"+"&amp;AR182&amp;DX$1)</f>
        <v/>
      </c>
      <c r="DY182" s="43" t="str">
        <f t="shared" ref="DY182:DY189" si="3027">IF(AS182="","","|n"&amp;DY$2&amp;"+"&amp;AS182&amp;DY$1)</f>
        <v/>
      </c>
      <c r="DZ182" s="43" t="str">
        <f t="shared" ref="DZ182:DZ189" si="3028">IF(AT182="","","|n"&amp;DZ$2&amp;"+"&amp;AT182&amp;DZ$1)</f>
        <v/>
      </c>
      <c r="EA182" s="43" t="str">
        <f t="shared" ref="EA182:EA189" si="3029">IF(AU182="","","|n"&amp;EA$2&amp;"+"&amp;AU182&amp;EA$1)</f>
        <v/>
      </c>
      <c r="EB182" s="43" t="str">
        <f t="shared" ref="EB182:EB189" si="3030">IF(AV182="","","|n"&amp;EB$2&amp;"+"&amp;AV182&amp;EB$1)</f>
        <v/>
      </c>
      <c r="EC182" s="43" t="str">
        <f t="shared" ref="EC182:EC189" si="3031">IF(AW182="","","|n"&amp;EC$2&amp;"+"&amp;AW182&amp;EC$1)</f>
        <v/>
      </c>
      <c r="ED182" s="43" t="str">
        <f t="shared" ref="ED182:ED189" si="3032">IF(AX182="","","|n"&amp;ED$2&amp;"+"&amp;AX182&amp;ED$1)</f>
        <v/>
      </c>
      <c r="EE182" s="43" t="str">
        <f t="shared" ref="EE182:EE189" si="3033">IF(AY182="","","|n"&amp;EE$2&amp;"+"&amp;AY182&amp;EE$1)</f>
        <v/>
      </c>
      <c r="EF182" s="43" t="str">
        <f t="shared" ref="EF182:EF189" si="3034">IF(AZ182="","","|n"&amp;EF$2&amp;"+"&amp;AZ182&amp;EF$1)</f>
        <v/>
      </c>
      <c r="EG182" s="43" t="str">
        <f t="shared" ref="EG182:EG189" si="3035">IF(BA182="","","|n"&amp;EG$2&amp;"+"&amp;BA182&amp;EG$1)</f>
        <v/>
      </c>
      <c r="EH182" s="43" t="str">
        <f t="shared" ref="EH182:EH189" si="3036">IF(BB182="","","|n"&amp;EH$2&amp;"+"&amp;BB182&amp;EH$1)</f>
        <v/>
      </c>
      <c r="EI182" s="43" t="str">
        <f t="shared" ref="EI182:EI189" si="3037">IF(BC182="","","|n"&amp;EI$2&amp;"+"&amp;BC182&amp;EI$1)</f>
        <v/>
      </c>
      <c r="EJ182" s="43" t="str">
        <f t="shared" ref="EJ182:EJ189" si="3038">IF(BD182="","","|n"&amp;EJ$2&amp;"+"&amp;BD182&amp;EJ$1)</f>
        <v/>
      </c>
      <c r="EK182" s="43" t="str">
        <f t="shared" ref="EK182:EK189" si="3039">IF(BE182="","","|n"&amp;EK$2&amp;"+"&amp;BE182&amp;EK$1)</f>
        <v/>
      </c>
      <c r="EL182" s="43" t="str">
        <f t="shared" ref="EL182:EL189" si="3040">IF(BF182="","","|n"&amp;EL$2&amp;"+"&amp;BF182&amp;EL$1)</f>
        <v/>
      </c>
      <c r="EM182" s="43" t="str">
        <f t="shared" ref="EM182:EM189" si="3041">IF(BG182="","","|n"&amp;EM$2&amp;"+"&amp;BG182&amp;EM$1)</f>
        <v/>
      </c>
      <c r="EN182" s="43" t="str">
        <f t="shared" ref="EN182:EN189" si="3042">IF(BH182="","","|n"&amp;EN$2&amp;"+"&amp;BH182&amp;EN$1)</f>
        <v/>
      </c>
      <c r="EO182" s="43" t="str">
        <f t="shared" ref="EO182:EO189" si="3043">IF(BI182="","","|n"&amp;EO$2&amp;"+"&amp;BI182&amp;EO$1)</f>
        <v/>
      </c>
      <c r="EP182" s="43" t="str">
        <f t="shared" ref="EP182:EP189" si="3044">IF(BJ182="","","|n"&amp;EP$2&amp;"+"&amp;BJ182&amp;EP$1)</f>
        <v/>
      </c>
      <c r="EQ182" s="43" t="str">
        <f t="shared" ref="EQ182:EQ189" si="3045">IF(BK182="","","|n"&amp;EQ$2&amp;"+"&amp;BK182&amp;EQ$1)</f>
        <v/>
      </c>
      <c r="ER182" s="43" t="str">
        <f t="shared" ref="ER182:ER189" si="3046">IF(BL182="","","|n"&amp;ER$2&amp;"+"&amp;BL182&amp;ER$1)</f>
        <v/>
      </c>
      <c r="ES182" s="43" t="str">
        <f t="shared" ref="ES182:ES189" si="3047">IF(BM182="","","|n"&amp;ES$2&amp;"+"&amp;BM182&amp;ES$1)</f>
        <v/>
      </c>
      <c r="ET182" s="43" t="str">
        <f t="shared" ref="ET182:ET189" si="3048">IF(BN182="","","|n"&amp;ET$2&amp;"+"&amp;BN182&amp;ET$1)</f>
        <v/>
      </c>
      <c r="EU182" s="43" t="str">
        <f t="shared" ref="EU182:EU189" si="3049">IF(BO182="","","|n"&amp;EU$2&amp;"+"&amp;BO182&amp;EU$1)</f>
        <v/>
      </c>
      <c r="EV182" s="43" t="str">
        <f t="shared" ref="EV182:EV189" si="3050">IF(BP182="","","|n"&amp;EV$2&amp;"+"&amp;BP182&amp;EV$1)</f>
        <v/>
      </c>
      <c r="EW182" s="43" t="str">
        <f t="shared" ref="EW182:EW189" si="3051">IF(BQ182="","","|n"&amp;EW$2&amp;"+"&amp;BQ182&amp;EW$1)</f>
        <v/>
      </c>
      <c r="EX182" s="43" t="str">
        <f t="shared" ref="EX182:EX189" si="3052">IF(BR182="","","|n"&amp;EX$2&amp;"+"&amp;BR182&amp;EX$1)</f>
        <v/>
      </c>
      <c r="EY182" s="43" t="str">
        <f t="shared" ref="EY182:EY189" si="3053">IF(BS182="","","|n"&amp;EY$2&amp;"+"&amp;BS182&amp;EY$1)</f>
        <v/>
      </c>
      <c r="EZ182" s="43" t="str">
        <f t="shared" ref="EZ182:EZ189" si="3054">IF(BT182="","","|n"&amp;EZ$2&amp;"+"&amp;BT182&amp;EZ$1)</f>
        <v/>
      </c>
      <c r="FA182" s="43" t="str">
        <f t="shared" ref="FA182:FA189" si="3055">IF(BU182="","","|n"&amp;FA$2&amp;"+"&amp;BU182&amp;FA$1)</f>
        <v/>
      </c>
      <c r="FB182" s="43" t="str">
        <f t="shared" ref="FB182:FB189" si="3056">IF(BV182="","","|n"&amp;FB$2&amp;"+"&amp;BV182&amp;FB$1)</f>
        <v/>
      </c>
      <c r="FC182" s="43" t="str">
        <f t="shared" ref="FC182:FC189" si="3057">IF(BW182="","","|n"&amp;FC$2&amp;"+"&amp;BW182&amp;FC$1)</f>
        <v/>
      </c>
      <c r="FD182" s="43" t="str">
        <f t="shared" ref="FD182:FD189" si="3058">IF(BX182="","","|n"&amp;FD$2&amp;"+"&amp;BX182&amp;FD$1)</f>
        <v/>
      </c>
      <c r="FE182" s="43" t="str">
        <f t="shared" ref="FE182:FE189" si="3059">IF(BY182="","","|n"&amp;FE$2&amp;"+"&amp;BY182&amp;FE$1)</f>
        <v/>
      </c>
      <c r="FF182" s="43" t="str">
        <f t="shared" ref="FF182:FF189" si="3060">IF(BZ182="","","|n"&amp;FF$2&amp;"+"&amp;BZ182&amp;FF$1)</f>
        <v/>
      </c>
      <c r="FG182" s="43" t="str">
        <f t="shared" ref="FG182:FG189" si="3061">IF(CA182="","","|n"&amp;FG$2&amp;"+"&amp;CA182&amp;FG$1)</f>
        <v/>
      </c>
      <c r="FH182" s="43" t="str">
        <f t="shared" ref="FH182:FH189" si="3062">IF(CB182="","","|n"&amp;FH$2&amp;"+"&amp;CB182&amp;FH$1)</f>
        <v/>
      </c>
      <c r="FI182" s="43" t="str">
        <f t="shared" ref="FI182:FI189" si="3063">IF(CC182="","","|n"&amp;FI$2&amp;"+"&amp;CC182&amp;FI$1)</f>
        <v/>
      </c>
      <c r="FJ182" s="43" t="str">
        <f t="shared" ref="FJ182:FJ189" si="3064">IF(CD182="","","|n"&amp;FJ$2&amp;"+"&amp;CD182&amp;FJ$1)</f>
        <v/>
      </c>
      <c r="FK182" s="43" t="str">
        <f t="shared" ref="FK182:FK189" si="3065">IF(CE182="","","|n"&amp;FK$2&amp;"+"&amp;CE182&amp;FK$1)</f>
        <v/>
      </c>
      <c r="FL182" s="43" t="str">
        <f t="shared" ref="FL182:FL189" si="3066">IF(CF182="","","|n"&amp;FL$2&amp;"+"&amp;CF182&amp;FL$1)</f>
        <v/>
      </c>
      <c r="FM182" s="43" t="str">
        <f t="shared" ref="FM182:FM189" si="3067">IF(CG182="","","|n"&amp;FM$2&amp;"+"&amp;CG182&amp;FM$1)</f>
        <v/>
      </c>
      <c r="FN182" s="43" t="str">
        <f t="shared" ref="FN182:FN189" si="3068">IF(CH182="","","|n"&amp;FN$2&amp;"+"&amp;CH182&amp;FN$1)</f>
        <v/>
      </c>
      <c r="FO182" s="43" t="str">
        <f t="shared" ref="FO182:FO189" si="3069">IF(CI182="","","|n"&amp;FO$2&amp;"+"&amp;CI182&amp;FO$1)</f>
        <v/>
      </c>
      <c r="FP182" s="43" t="str">
        <f t="shared" ref="FP182:FP189" si="3070">IF(CJ182="","","|n"&amp;FP$2&amp;"+"&amp;CJ182&amp;FP$1)</f>
        <v/>
      </c>
      <c r="FQ182" s="43" t="str">
        <f t="shared" ref="FQ182:FQ189" si="3071">IF(CK182="","","|n"&amp;FQ$2&amp;"+"&amp;CK182&amp;FQ$1)</f>
        <v/>
      </c>
      <c r="FR182" s="43" t="str">
        <f t="shared" ref="FR182:FR189" si="3072">IF(CL182="","","|n"&amp;FR$2&amp;"+"&amp;CL182&amp;FR$1)</f>
        <v/>
      </c>
      <c r="FS182" s="43" t="str">
        <f t="shared" ref="FS182:FS189" si="3073">IF(CM182="","","|n"&amp;FS$2&amp;"+"&amp;CM182&amp;FS$1)</f>
        <v/>
      </c>
    </row>
    <row r="183" ht="14.4" spans="1:175">
      <c r="A183" s="88"/>
      <c r="B183" s="7" t="s">
        <v>608</v>
      </c>
      <c r="C183" s="89" t="s">
        <v>609</v>
      </c>
      <c r="T183" s="89" t="s">
        <v>609</v>
      </c>
      <c r="U183" s="59" t="str">
        <f t="shared" si="3001"/>
        <v>ReplaceableTextures\\CommandButtons\\BTNIB02.blp</v>
      </c>
      <c r="CN183" s="12" t="str">
        <f t="shared" si="2406"/>
        <v>InitUnitState('IB02',,,,,,,,,,)</v>
      </c>
      <c r="CO183" s="12" t="str">
        <f t="shared" si="2407"/>
        <v>InitUnitNormal('IB02',,,,,,,,,,)</v>
      </c>
      <c r="CP183" s="12" t="str">
        <f t="shared" si="2408"/>
        <v>InitUnitMagic('IB02',,,,,,,,,,)</v>
      </c>
      <c r="CQ183" s="12" t="str">
        <f t="shared" si="2409"/>
        <v>InitUnitAdd('IB02',,,,,,,,,,)</v>
      </c>
      <c r="CR183" s="12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InitEquipData('IB02',,"",,,,,'','','','','','',"ReplaceableTextures\\CommandButtons\\BTNIB03.blp")</v>
      </c>
      <c r="CU183" s="71" t="str">
        <f t="shared" si="3002"/>
        <v>|n</v>
      </c>
      <c r="CV183" s="5" t="str">
        <f t="shared" si="3003"/>
        <v>入群礼包</v>
      </c>
      <c r="CW183" s="6"/>
      <c r="CX183" s="6"/>
      <c r="CY183" s="6"/>
      <c r="CZ183" s="6"/>
      <c r="DA183" s="6"/>
      <c r="DB183" s="43" t="str">
        <f t="shared" si="3004"/>
        <v/>
      </c>
      <c r="DC183" s="43" t="str">
        <f t="shared" si="3005"/>
        <v/>
      </c>
      <c r="DD183" s="43" t="str">
        <f t="shared" si="3006"/>
        <v/>
      </c>
      <c r="DE183" s="43" t="str">
        <f t="shared" si="3007"/>
        <v/>
      </c>
      <c r="DF183" s="43" t="str">
        <f t="shared" si="3008"/>
        <v/>
      </c>
      <c r="DG183" s="43" t="str">
        <f t="shared" si="3009"/>
        <v/>
      </c>
      <c r="DH183" s="43" t="str">
        <f t="shared" si="3010"/>
        <v/>
      </c>
      <c r="DI183" s="43" t="str">
        <f t="shared" si="3011"/>
        <v/>
      </c>
      <c r="DJ183" s="43" t="str">
        <f t="shared" si="3012"/>
        <v/>
      </c>
      <c r="DK183" s="43" t="str">
        <f t="shared" si="3013"/>
        <v/>
      </c>
      <c r="DL183" s="43" t="str">
        <f t="shared" si="3014"/>
        <v/>
      </c>
      <c r="DM183" s="43" t="str">
        <f t="shared" si="3015"/>
        <v/>
      </c>
      <c r="DN183" s="43" t="str">
        <f t="shared" si="3016"/>
        <v/>
      </c>
      <c r="DO183" s="43" t="str">
        <f t="shared" si="3017"/>
        <v/>
      </c>
      <c r="DP183" s="43" t="str">
        <f t="shared" si="3018"/>
        <v/>
      </c>
      <c r="DQ183" s="43" t="str">
        <f t="shared" si="3019"/>
        <v/>
      </c>
      <c r="DR183" s="43" t="str">
        <f t="shared" si="3020"/>
        <v/>
      </c>
      <c r="DS183" s="43" t="str">
        <f t="shared" si="3021"/>
        <v/>
      </c>
      <c r="DT183" s="43" t="str">
        <f t="shared" si="3022"/>
        <v/>
      </c>
      <c r="DU183" s="43" t="str">
        <f t="shared" si="3023"/>
        <v/>
      </c>
      <c r="DV183" s="43" t="str">
        <f t="shared" si="3024"/>
        <v/>
      </c>
      <c r="DW183" s="43" t="str">
        <f t="shared" si="3025"/>
        <v/>
      </c>
      <c r="DX183" s="43" t="str">
        <f t="shared" si="3026"/>
        <v/>
      </c>
      <c r="DY183" s="43" t="str">
        <f t="shared" si="3027"/>
        <v/>
      </c>
      <c r="DZ183" s="43" t="str">
        <f t="shared" si="3028"/>
        <v/>
      </c>
      <c r="EA183" s="43" t="str">
        <f t="shared" si="3029"/>
        <v/>
      </c>
      <c r="EB183" s="43" t="str">
        <f t="shared" si="3030"/>
        <v/>
      </c>
      <c r="EC183" s="43" t="str">
        <f t="shared" si="3031"/>
        <v/>
      </c>
      <c r="ED183" s="43" t="str">
        <f t="shared" si="3032"/>
        <v/>
      </c>
      <c r="EE183" s="43" t="str">
        <f t="shared" si="3033"/>
        <v/>
      </c>
      <c r="EF183" s="43" t="str">
        <f t="shared" si="3034"/>
        <v/>
      </c>
      <c r="EG183" s="43" t="str">
        <f t="shared" si="3035"/>
        <v/>
      </c>
      <c r="EH183" s="43" t="str">
        <f t="shared" si="3036"/>
        <v/>
      </c>
      <c r="EI183" s="43" t="str">
        <f t="shared" si="3037"/>
        <v/>
      </c>
      <c r="EJ183" s="43" t="str">
        <f t="shared" si="3038"/>
        <v/>
      </c>
      <c r="EK183" s="43" t="str">
        <f t="shared" si="3039"/>
        <v/>
      </c>
      <c r="EL183" s="43" t="str">
        <f t="shared" si="3040"/>
        <v/>
      </c>
      <c r="EM183" s="43" t="str">
        <f t="shared" si="3041"/>
        <v/>
      </c>
      <c r="EN183" s="43" t="str">
        <f t="shared" si="3042"/>
        <v/>
      </c>
      <c r="EO183" s="43" t="str">
        <f t="shared" si="3043"/>
        <v/>
      </c>
      <c r="EP183" s="43" t="str">
        <f t="shared" si="3044"/>
        <v/>
      </c>
      <c r="EQ183" s="43" t="str">
        <f t="shared" si="3045"/>
        <v/>
      </c>
      <c r="ER183" s="43" t="str">
        <f t="shared" si="3046"/>
        <v/>
      </c>
      <c r="ES183" s="43" t="str">
        <f t="shared" si="3047"/>
        <v/>
      </c>
      <c r="ET183" s="43" t="str">
        <f t="shared" si="3048"/>
        <v/>
      </c>
      <c r="EU183" s="43" t="str">
        <f t="shared" si="3049"/>
        <v/>
      </c>
      <c r="EV183" s="43" t="str">
        <f t="shared" si="3050"/>
        <v/>
      </c>
      <c r="EW183" s="43" t="str">
        <f t="shared" si="3051"/>
        <v/>
      </c>
      <c r="EX183" s="43" t="str">
        <f t="shared" si="3052"/>
        <v/>
      </c>
      <c r="EY183" s="43" t="str">
        <f t="shared" si="3053"/>
        <v/>
      </c>
      <c r="EZ183" s="43" t="str">
        <f t="shared" si="3054"/>
        <v/>
      </c>
      <c r="FA183" s="43" t="str">
        <f t="shared" si="3055"/>
        <v/>
      </c>
      <c r="FB183" s="43" t="str">
        <f t="shared" si="3056"/>
        <v/>
      </c>
      <c r="FC183" s="43" t="str">
        <f t="shared" si="3057"/>
        <v/>
      </c>
      <c r="FD183" s="43" t="str">
        <f t="shared" si="3058"/>
        <v/>
      </c>
      <c r="FE183" s="43" t="str">
        <f t="shared" si="3059"/>
        <v/>
      </c>
      <c r="FF183" s="43" t="str">
        <f t="shared" si="3060"/>
        <v/>
      </c>
      <c r="FG183" s="43" t="str">
        <f t="shared" si="3061"/>
        <v/>
      </c>
      <c r="FH183" s="43" t="str">
        <f t="shared" si="3062"/>
        <v/>
      </c>
      <c r="FI183" s="43" t="str">
        <f t="shared" si="3063"/>
        <v/>
      </c>
      <c r="FJ183" s="43" t="str">
        <f t="shared" si="3064"/>
        <v/>
      </c>
      <c r="FK183" s="43" t="str">
        <f t="shared" si="3065"/>
        <v/>
      </c>
      <c r="FL183" s="43" t="str">
        <f t="shared" si="3066"/>
        <v/>
      </c>
      <c r="FM183" s="43" t="str">
        <f t="shared" si="3067"/>
        <v/>
      </c>
      <c r="FN183" s="43" t="str">
        <f t="shared" si="3068"/>
        <v/>
      </c>
      <c r="FO183" s="43" t="str">
        <f t="shared" si="3069"/>
        <v/>
      </c>
      <c r="FP183" s="43" t="str">
        <f t="shared" si="3070"/>
        <v/>
      </c>
      <c r="FQ183" s="43" t="str">
        <f t="shared" si="3071"/>
        <v/>
      </c>
      <c r="FR183" s="43" t="str">
        <f t="shared" si="3072"/>
        <v/>
      </c>
      <c r="FS183" s="43" t="str">
        <f t="shared" si="3073"/>
        <v/>
      </c>
    </row>
    <row r="184" ht="14.4" spans="1:175">
      <c r="A184" s="88"/>
      <c r="B184" s="7" t="s">
        <v>610</v>
      </c>
      <c r="C184" s="89" t="s">
        <v>611</v>
      </c>
      <c r="T184" s="89" t="s">
        <v>611</v>
      </c>
      <c r="U184" s="59" t="str">
        <f t="shared" si="3001"/>
        <v>ReplaceableTextures\\CommandButtons\\BTNIB03.blp</v>
      </c>
      <c r="CN184" s="12" t="str">
        <f t="shared" si="2406"/>
        <v>InitUnitState('IB03',,,,,,,,,,)</v>
      </c>
      <c r="CO184" s="12" t="str">
        <f t="shared" si="2407"/>
        <v>InitUnitNormal('IB03',,,,,,,,,,)</v>
      </c>
      <c r="CP184" s="12" t="str">
        <f t="shared" si="2408"/>
        <v>InitUnitMagic('IB03',,,,,,,,,,)</v>
      </c>
      <c r="CQ184" s="12" t="str">
        <f t="shared" si="2409"/>
        <v>InitUnitAdd('IB03',,,,,,,,,,)</v>
      </c>
      <c r="CR184" s="12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InitEquipData('IB03',,"",,,,,'','','','','','',"ReplaceableTextures\\CommandButtons\\BTNIB04.blp")</v>
      </c>
      <c r="CU184" s="71" t="str">
        <f t="shared" si="3002"/>
        <v>|n</v>
      </c>
      <c r="CV184" s="5" t="str">
        <f t="shared" si="3003"/>
        <v>拜年礼包</v>
      </c>
      <c r="CW184" s="6"/>
      <c r="CX184" s="6"/>
      <c r="CY184" s="6"/>
      <c r="CZ184" s="6"/>
      <c r="DA184" s="6"/>
      <c r="DB184" s="43" t="str">
        <f t="shared" si="3004"/>
        <v/>
      </c>
      <c r="DC184" s="43" t="str">
        <f t="shared" si="3005"/>
        <v/>
      </c>
      <c r="DD184" s="43" t="str">
        <f t="shared" si="3006"/>
        <v/>
      </c>
      <c r="DE184" s="43" t="str">
        <f t="shared" si="3007"/>
        <v/>
      </c>
      <c r="DF184" s="43" t="str">
        <f t="shared" si="3008"/>
        <v/>
      </c>
      <c r="DG184" s="43" t="str">
        <f t="shared" si="3009"/>
        <v/>
      </c>
      <c r="DH184" s="43" t="str">
        <f t="shared" si="3010"/>
        <v/>
      </c>
      <c r="DI184" s="43" t="str">
        <f t="shared" si="3011"/>
        <v/>
      </c>
      <c r="DJ184" s="43" t="str">
        <f t="shared" si="3012"/>
        <v/>
      </c>
      <c r="DK184" s="43" t="str">
        <f t="shared" si="3013"/>
        <v/>
      </c>
      <c r="DL184" s="43" t="str">
        <f t="shared" si="3014"/>
        <v/>
      </c>
      <c r="DM184" s="43" t="str">
        <f t="shared" si="3015"/>
        <v/>
      </c>
      <c r="DN184" s="43" t="str">
        <f t="shared" si="3016"/>
        <v/>
      </c>
      <c r="DO184" s="43" t="str">
        <f t="shared" si="3017"/>
        <v/>
      </c>
      <c r="DP184" s="43" t="str">
        <f t="shared" si="3018"/>
        <v/>
      </c>
      <c r="DQ184" s="43" t="str">
        <f t="shared" si="3019"/>
        <v/>
      </c>
      <c r="DR184" s="43" t="str">
        <f t="shared" si="3020"/>
        <v/>
      </c>
      <c r="DS184" s="43" t="str">
        <f t="shared" si="3021"/>
        <v/>
      </c>
      <c r="DT184" s="43" t="str">
        <f t="shared" si="3022"/>
        <v/>
      </c>
      <c r="DU184" s="43" t="str">
        <f t="shared" si="3023"/>
        <v/>
      </c>
      <c r="DV184" s="43" t="str">
        <f t="shared" si="3024"/>
        <v/>
      </c>
      <c r="DW184" s="43" t="str">
        <f t="shared" si="3025"/>
        <v/>
      </c>
      <c r="DX184" s="43" t="str">
        <f t="shared" si="3026"/>
        <v/>
      </c>
      <c r="DY184" s="43" t="str">
        <f t="shared" si="3027"/>
        <v/>
      </c>
      <c r="DZ184" s="43" t="str">
        <f t="shared" si="3028"/>
        <v/>
      </c>
      <c r="EA184" s="43" t="str">
        <f t="shared" si="3029"/>
        <v/>
      </c>
      <c r="EB184" s="43" t="str">
        <f t="shared" si="3030"/>
        <v/>
      </c>
      <c r="EC184" s="43" t="str">
        <f t="shared" si="3031"/>
        <v/>
      </c>
      <c r="ED184" s="43" t="str">
        <f t="shared" si="3032"/>
        <v/>
      </c>
      <c r="EE184" s="43" t="str">
        <f t="shared" si="3033"/>
        <v/>
      </c>
      <c r="EF184" s="43" t="str">
        <f t="shared" si="3034"/>
        <v/>
      </c>
      <c r="EG184" s="43" t="str">
        <f t="shared" si="3035"/>
        <v/>
      </c>
      <c r="EH184" s="43" t="str">
        <f t="shared" si="3036"/>
        <v/>
      </c>
      <c r="EI184" s="43" t="str">
        <f t="shared" si="3037"/>
        <v/>
      </c>
      <c r="EJ184" s="43" t="str">
        <f t="shared" si="3038"/>
        <v/>
      </c>
      <c r="EK184" s="43" t="str">
        <f t="shared" si="3039"/>
        <v/>
      </c>
      <c r="EL184" s="43" t="str">
        <f t="shared" si="3040"/>
        <v/>
      </c>
      <c r="EM184" s="43" t="str">
        <f t="shared" si="3041"/>
        <v/>
      </c>
      <c r="EN184" s="43" t="str">
        <f t="shared" si="3042"/>
        <v/>
      </c>
      <c r="EO184" s="43" t="str">
        <f t="shared" si="3043"/>
        <v/>
      </c>
      <c r="EP184" s="43" t="str">
        <f t="shared" si="3044"/>
        <v/>
      </c>
      <c r="EQ184" s="43" t="str">
        <f t="shared" si="3045"/>
        <v/>
      </c>
      <c r="ER184" s="43" t="str">
        <f t="shared" si="3046"/>
        <v/>
      </c>
      <c r="ES184" s="43" t="str">
        <f t="shared" si="3047"/>
        <v/>
      </c>
      <c r="ET184" s="43" t="str">
        <f t="shared" si="3048"/>
        <v/>
      </c>
      <c r="EU184" s="43" t="str">
        <f t="shared" si="3049"/>
        <v/>
      </c>
      <c r="EV184" s="43" t="str">
        <f t="shared" si="3050"/>
        <v/>
      </c>
      <c r="EW184" s="43" t="str">
        <f t="shared" si="3051"/>
        <v/>
      </c>
      <c r="EX184" s="43" t="str">
        <f t="shared" si="3052"/>
        <v/>
      </c>
      <c r="EY184" s="43" t="str">
        <f t="shared" si="3053"/>
        <v/>
      </c>
      <c r="EZ184" s="43" t="str">
        <f t="shared" si="3054"/>
        <v/>
      </c>
      <c r="FA184" s="43" t="str">
        <f t="shared" si="3055"/>
        <v/>
      </c>
      <c r="FB184" s="43" t="str">
        <f t="shared" si="3056"/>
        <v/>
      </c>
      <c r="FC184" s="43" t="str">
        <f t="shared" si="3057"/>
        <v/>
      </c>
      <c r="FD184" s="43" t="str">
        <f t="shared" si="3058"/>
        <v/>
      </c>
      <c r="FE184" s="43" t="str">
        <f t="shared" si="3059"/>
        <v/>
      </c>
      <c r="FF184" s="43" t="str">
        <f t="shared" si="3060"/>
        <v/>
      </c>
      <c r="FG184" s="43" t="str">
        <f t="shared" si="3061"/>
        <v/>
      </c>
      <c r="FH184" s="43" t="str">
        <f t="shared" si="3062"/>
        <v/>
      </c>
      <c r="FI184" s="43" t="str">
        <f t="shared" si="3063"/>
        <v/>
      </c>
      <c r="FJ184" s="43" t="str">
        <f t="shared" si="3064"/>
        <v/>
      </c>
      <c r="FK184" s="43" t="str">
        <f t="shared" si="3065"/>
        <v/>
      </c>
      <c r="FL184" s="43" t="str">
        <f t="shared" si="3066"/>
        <v/>
      </c>
      <c r="FM184" s="43" t="str">
        <f t="shared" si="3067"/>
        <v/>
      </c>
      <c r="FN184" s="43" t="str">
        <f t="shared" si="3068"/>
        <v/>
      </c>
      <c r="FO184" s="43" t="str">
        <f t="shared" si="3069"/>
        <v/>
      </c>
      <c r="FP184" s="43" t="str">
        <f t="shared" si="3070"/>
        <v/>
      </c>
      <c r="FQ184" s="43" t="str">
        <f t="shared" si="3071"/>
        <v/>
      </c>
      <c r="FR184" s="43" t="str">
        <f t="shared" si="3072"/>
        <v/>
      </c>
      <c r="FS184" s="43" t="str">
        <f t="shared" si="3073"/>
        <v/>
      </c>
    </row>
    <row r="185" ht="14.4" spans="1:175">
      <c r="A185" s="88"/>
      <c r="B185" s="7" t="s">
        <v>612</v>
      </c>
      <c r="C185" s="89" t="s">
        <v>613</v>
      </c>
      <c r="T185" s="89" t="s">
        <v>613</v>
      </c>
      <c r="U185" s="59" t="str">
        <f t="shared" si="3001"/>
        <v>ReplaceableTextures\\CommandButtons\\BTNIB04.blp</v>
      </c>
      <c r="CN185" s="12" t="str">
        <f t="shared" ref="CN185:CN191" si="3074">"InitUnitState('"&amp;B185&amp;"',"&amp;V185&amp;","&amp;W185&amp;","&amp;X185&amp;","&amp;Y185&amp;","&amp;Z185&amp;","&amp;AA185&amp;","&amp;AB185&amp;","&amp;AC185&amp;","&amp;AD185&amp;","&amp;AE185&amp;")"</f>
        <v>InitUnitState('IB04',,,,,,,,,,)</v>
      </c>
      <c r="CO185" s="12" t="str">
        <f t="shared" ref="CO185:CO191" si="3075">"InitUnitNormal('"&amp;B185&amp;"',"&amp;AF185&amp;","&amp;AG185&amp;","&amp;AH185&amp;","&amp;AI185&amp;","&amp;AJ185&amp;","&amp;AK185&amp;","&amp;AL185&amp;","&amp;AM185&amp;","&amp;AN185&amp;","&amp;AO185&amp;")"</f>
        <v>InitUnitNormal('IB04',,,,,,,,,,)</v>
      </c>
      <c r="CP185" s="12" t="str">
        <f t="shared" ref="CP185:CP191" si="3076">"InitUnitMagic('"&amp;B185&amp;"',"&amp;AP185&amp;","&amp;AQ185&amp;","&amp;AR185&amp;","&amp;AS185&amp;","&amp;AT185&amp;","&amp;AU185&amp;","&amp;AV185&amp;","&amp;AW185&amp;","&amp;BI185&amp;","&amp;BJ185&amp;")"</f>
        <v>InitUnitMagic('IB04',,,,,,,,,,)</v>
      </c>
      <c r="CQ185" s="12" t="str">
        <f t="shared" ref="CQ185:CQ191" si="3077">"InitUnitAdd('"&amp;B185&amp;"',"&amp;BK185&amp;","&amp;BL185&amp;","&amp;BM185&amp;","&amp;BN185&amp;","&amp;BO185&amp;","&amp;BP185&amp;","&amp;BQ185&amp;","&amp;BR185&amp;","&amp;BS185&amp;","&amp;BT185&amp;")"</f>
        <v>InitUnitAdd('IB04',,,,,,,,,,)</v>
      </c>
      <c r="CR185" s="12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InitEquipData('IB04',,"",,,,,'','','','','','',"ReplaceableTextures\\CommandButtons\\BTNIB05.blp")</v>
      </c>
      <c r="CU185" s="71" t="str">
        <f t="shared" si="3002"/>
        <v>|n</v>
      </c>
      <c r="CV185" s="5" t="str">
        <f t="shared" si="3003"/>
        <v>收藏礼包</v>
      </c>
      <c r="CW185" s="6"/>
      <c r="CX185" s="6"/>
      <c r="CY185" s="6"/>
      <c r="CZ185" s="6"/>
      <c r="DA185" s="6"/>
      <c r="DB185" s="43" t="str">
        <f t="shared" si="3004"/>
        <v/>
      </c>
      <c r="DC185" s="43" t="str">
        <f t="shared" si="3005"/>
        <v/>
      </c>
      <c r="DD185" s="43" t="str">
        <f t="shared" si="3006"/>
        <v/>
      </c>
      <c r="DE185" s="43" t="str">
        <f t="shared" si="3007"/>
        <v/>
      </c>
      <c r="DF185" s="43" t="str">
        <f t="shared" si="3008"/>
        <v/>
      </c>
      <c r="DG185" s="43" t="str">
        <f t="shared" si="3009"/>
        <v/>
      </c>
      <c r="DH185" s="43" t="str">
        <f t="shared" si="3010"/>
        <v/>
      </c>
      <c r="DI185" s="43" t="str">
        <f t="shared" si="3011"/>
        <v/>
      </c>
      <c r="DJ185" s="43" t="str">
        <f t="shared" si="3012"/>
        <v/>
      </c>
      <c r="DK185" s="43" t="str">
        <f t="shared" si="3013"/>
        <v/>
      </c>
      <c r="DL185" s="43" t="str">
        <f t="shared" si="3014"/>
        <v/>
      </c>
      <c r="DM185" s="43" t="str">
        <f t="shared" si="3015"/>
        <v/>
      </c>
      <c r="DN185" s="43" t="str">
        <f t="shared" si="3016"/>
        <v/>
      </c>
      <c r="DO185" s="43" t="str">
        <f t="shared" si="3017"/>
        <v/>
      </c>
      <c r="DP185" s="43" t="str">
        <f t="shared" si="3018"/>
        <v/>
      </c>
      <c r="DQ185" s="43" t="str">
        <f t="shared" si="3019"/>
        <v/>
      </c>
      <c r="DR185" s="43" t="str">
        <f t="shared" si="3020"/>
        <v/>
      </c>
      <c r="DS185" s="43" t="str">
        <f t="shared" si="3021"/>
        <v/>
      </c>
      <c r="DT185" s="43" t="str">
        <f t="shared" si="3022"/>
        <v/>
      </c>
      <c r="DU185" s="43" t="str">
        <f t="shared" si="3023"/>
        <v/>
      </c>
      <c r="DV185" s="43" t="str">
        <f t="shared" si="3024"/>
        <v/>
      </c>
      <c r="DW185" s="43" t="str">
        <f t="shared" si="3025"/>
        <v/>
      </c>
      <c r="DX185" s="43" t="str">
        <f t="shared" si="3026"/>
        <v/>
      </c>
      <c r="DY185" s="43" t="str">
        <f t="shared" si="3027"/>
        <v/>
      </c>
      <c r="DZ185" s="43" t="str">
        <f t="shared" si="3028"/>
        <v/>
      </c>
      <c r="EA185" s="43" t="str">
        <f t="shared" si="3029"/>
        <v/>
      </c>
      <c r="EB185" s="43" t="str">
        <f t="shared" si="3030"/>
        <v/>
      </c>
      <c r="EC185" s="43" t="str">
        <f t="shared" si="3031"/>
        <v/>
      </c>
      <c r="ED185" s="43" t="str">
        <f t="shared" si="3032"/>
        <v/>
      </c>
      <c r="EE185" s="43" t="str">
        <f t="shared" si="3033"/>
        <v/>
      </c>
      <c r="EF185" s="43" t="str">
        <f t="shared" si="3034"/>
        <v/>
      </c>
      <c r="EG185" s="43" t="str">
        <f t="shared" si="3035"/>
        <v/>
      </c>
      <c r="EH185" s="43" t="str">
        <f t="shared" si="3036"/>
        <v/>
      </c>
      <c r="EI185" s="43" t="str">
        <f t="shared" si="3037"/>
        <v/>
      </c>
      <c r="EJ185" s="43" t="str">
        <f t="shared" si="3038"/>
        <v/>
      </c>
      <c r="EK185" s="43" t="str">
        <f t="shared" si="3039"/>
        <v/>
      </c>
      <c r="EL185" s="43" t="str">
        <f t="shared" si="3040"/>
        <v/>
      </c>
      <c r="EM185" s="43" t="str">
        <f t="shared" si="3041"/>
        <v/>
      </c>
      <c r="EN185" s="43" t="str">
        <f t="shared" si="3042"/>
        <v/>
      </c>
      <c r="EO185" s="43" t="str">
        <f t="shared" si="3043"/>
        <v/>
      </c>
      <c r="EP185" s="43" t="str">
        <f t="shared" si="3044"/>
        <v/>
      </c>
      <c r="EQ185" s="43" t="str">
        <f t="shared" si="3045"/>
        <v/>
      </c>
      <c r="ER185" s="43" t="str">
        <f t="shared" si="3046"/>
        <v/>
      </c>
      <c r="ES185" s="43" t="str">
        <f t="shared" si="3047"/>
        <v/>
      </c>
      <c r="ET185" s="43" t="str">
        <f t="shared" si="3048"/>
        <v/>
      </c>
      <c r="EU185" s="43" t="str">
        <f t="shared" si="3049"/>
        <v/>
      </c>
      <c r="EV185" s="43" t="str">
        <f t="shared" si="3050"/>
        <v/>
      </c>
      <c r="EW185" s="43" t="str">
        <f t="shared" si="3051"/>
        <v/>
      </c>
      <c r="EX185" s="43" t="str">
        <f t="shared" si="3052"/>
        <v/>
      </c>
      <c r="EY185" s="43" t="str">
        <f t="shared" si="3053"/>
        <v/>
      </c>
      <c r="EZ185" s="43" t="str">
        <f t="shared" si="3054"/>
        <v/>
      </c>
      <c r="FA185" s="43" t="str">
        <f t="shared" si="3055"/>
        <v/>
      </c>
      <c r="FB185" s="43" t="str">
        <f t="shared" si="3056"/>
        <v/>
      </c>
      <c r="FC185" s="43" t="str">
        <f t="shared" si="3057"/>
        <v/>
      </c>
      <c r="FD185" s="43" t="str">
        <f t="shared" si="3058"/>
        <v/>
      </c>
      <c r="FE185" s="43" t="str">
        <f t="shared" si="3059"/>
        <v/>
      </c>
      <c r="FF185" s="43" t="str">
        <f t="shared" si="3060"/>
        <v/>
      </c>
      <c r="FG185" s="43" t="str">
        <f t="shared" si="3061"/>
        <v/>
      </c>
      <c r="FH185" s="43" t="str">
        <f t="shared" si="3062"/>
        <v/>
      </c>
      <c r="FI185" s="43" t="str">
        <f t="shared" si="3063"/>
        <v/>
      </c>
      <c r="FJ185" s="43" t="str">
        <f t="shared" si="3064"/>
        <v/>
      </c>
      <c r="FK185" s="43" t="str">
        <f t="shared" si="3065"/>
        <v/>
      </c>
      <c r="FL185" s="43" t="str">
        <f t="shared" si="3066"/>
        <v/>
      </c>
      <c r="FM185" s="43" t="str">
        <f t="shared" si="3067"/>
        <v/>
      </c>
      <c r="FN185" s="43" t="str">
        <f t="shared" si="3068"/>
        <v/>
      </c>
      <c r="FO185" s="43" t="str">
        <f t="shared" si="3069"/>
        <v/>
      </c>
      <c r="FP185" s="43" t="str">
        <f t="shared" si="3070"/>
        <v/>
      </c>
      <c r="FQ185" s="43" t="str">
        <f t="shared" si="3071"/>
        <v/>
      </c>
      <c r="FR185" s="43" t="str">
        <f t="shared" si="3072"/>
        <v/>
      </c>
      <c r="FS185" s="43" t="str">
        <f t="shared" si="3073"/>
        <v/>
      </c>
    </row>
    <row r="186" ht="14.4" spans="1:175">
      <c r="A186" s="88"/>
      <c r="B186" s="7" t="s">
        <v>614</v>
      </c>
      <c r="C186" s="89" t="s">
        <v>615</v>
      </c>
      <c r="T186" s="89" t="s">
        <v>615</v>
      </c>
      <c r="U186" s="59" t="str">
        <f t="shared" si="3001"/>
        <v>ReplaceableTextures\\CommandButtons\\BTNIB05.blp</v>
      </c>
      <c r="CN186" s="12" t="str">
        <f t="shared" si="3074"/>
        <v>InitUnitState('IB05',,,,,,,,,,)</v>
      </c>
      <c r="CO186" s="12" t="str">
        <f t="shared" si="3075"/>
        <v>InitUnitNormal('IB05',,,,,,,,,,)</v>
      </c>
      <c r="CP186" s="12" t="str">
        <f t="shared" si="3076"/>
        <v>InitUnitMagic('IB05',,,,,,,,,,)</v>
      </c>
      <c r="CQ186" s="12" t="str">
        <f t="shared" si="3077"/>
        <v>InitUnitAdd('IB05',,,,,,,,,,)</v>
      </c>
      <c r="CR186" s="12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205&amp;CR$1&amp;")"</f>
        <v>InitEquipData('IB05',,"",,,,,'','','','','','',"")</v>
      </c>
      <c r="CU186" s="71" t="str">
        <f t="shared" si="3002"/>
        <v>|n</v>
      </c>
      <c r="CV186" s="5" t="str">
        <f t="shared" si="3003"/>
        <v>重置版礼包</v>
      </c>
      <c r="CW186" s="6"/>
      <c r="CX186" s="6"/>
      <c r="CY186" s="6"/>
      <c r="CZ186" s="6"/>
      <c r="DA186" s="6"/>
      <c r="DB186" s="43" t="str">
        <f t="shared" si="3004"/>
        <v/>
      </c>
      <c r="DC186" s="43" t="str">
        <f t="shared" si="3005"/>
        <v/>
      </c>
      <c r="DD186" s="43" t="str">
        <f t="shared" si="3006"/>
        <v/>
      </c>
      <c r="DE186" s="43" t="str">
        <f t="shared" si="3007"/>
        <v/>
      </c>
      <c r="DF186" s="43" t="str">
        <f t="shared" si="3008"/>
        <v/>
      </c>
      <c r="DG186" s="43" t="str">
        <f t="shared" si="3009"/>
        <v/>
      </c>
      <c r="DH186" s="43" t="str">
        <f t="shared" si="3010"/>
        <v/>
      </c>
      <c r="DI186" s="43" t="str">
        <f t="shared" si="3011"/>
        <v/>
      </c>
      <c r="DJ186" s="43" t="str">
        <f t="shared" si="3012"/>
        <v/>
      </c>
      <c r="DK186" s="43" t="str">
        <f t="shared" si="3013"/>
        <v/>
      </c>
      <c r="DL186" s="43" t="str">
        <f t="shared" si="3014"/>
        <v/>
      </c>
      <c r="DM186" s="43" t="str">
        <f t="shared" si="3015"/>
        <v/>
      </c>
      <c r="DN186" s="43" t="str">
        <f t="shared" si="3016"/>
        <v/>
      </c>
      <c r="DO186" s="43" t="str">
        <f t="shared" si="3017"/>
        <v/>
      </c>
      <c r="DP186" s="43" t="str">
        <f t="shared" si="3018"/>
        <v/>
      </c>
      <c r="DQ186" s="43" t="str">
        <f t="shared" si="3019"/>
        <v/>
      </c>
      <c r="DR186" s="43" t="str">
        <f t="shared" si="3020"/>
        <v/>
      </c>
      <c r="DS186" s="43" t="str">
        <f t="shared" si="3021"/>
        <v/>
      </c>
      <c r="DT186" s="43" t="str">
        <f t="shared" si="3022"/>
        <v/>
      </c>
      <c r="DU186" s="43" t="str">
        <f t="shared" si="3023"/>
        <v/>
      </c>
      <c r="DV186" s="43" t="str">
        <f t="shared" si="3024"/>
        <v/>
      </c>
      <c r="DW186" s="43" t="str">
        <f t="shared" si="3025"/>
        <v/>
      </c>
      <c r="DX186" s="43" t="str">
        <f t="shared" si="3026"/>
        <v/>
      </c>
      <c r="DY186" s="43" t="str">
        <f t="shared" si="3027"/>
        <v/>
      </c>
      <c r="DZ186" s="43" t="str">
        <f t="shared" si="3028"/>
        <v/>
      </c>
      <c r="EA186" s="43" t="str">
        <f t="shared" si="3029"/>
        <v/>
      </c>
      <c r="EB186" s="43" t="str">
        <f t="shared" si="3030"/>
        <v/>
      </c>
      <c r="EC186" s="43" t="str">
        <f t="shared" si="3031"/>
        <v/>
      </c>
      <c r="ED186" s="43" t="str">
        <f t="shared" si="3032"/>
        <v/>
      </c>
      <c r="EE186" s="43" t="str">
        <f t="shared" si="3033"/>
        <v/>
      </c>
      <c r="EF186" s="43" t="str">
        <f t="shared" si="3034"/>
        <v/>
      </c>
      <c r="EG186" s="43" t="str">
        <f t="shared" si="3035"/>
        <v/>
      </c>
      <c r="EH186" s="43" t="str">
        <f t="shared" si="3036"/>
        <v/>
      </c>
      <c r="EI186" s="43" t="str">
        <f t="shared" si="3037"/>
        <v/>
      </c>
      <c r="EJ186" s="43" t="str">
        <f t="shared" si="3038"/>
        <v/>
      </c>
      <c r="EK186" s="43" t="str">
        <f t="shared" si="3039"/>
        <v/>
      </c>
      <c r="EL186" s="43" t="str">
        <f t="shared" si="3040"/>
        <v/>
      </c>
      <c r="EM186" s="43" t="str">
        <f t="shared" si="3041"/>
        <v/>
      </c>
      <c r="EN186" s="43" t="str">
        <f t="shared" si="3042"/>
        <v/>
      </c>
      <c r="EO186" s="43" t="str">
        <f t="shared" si="3043"/>
        <v/>
      </c>
      <c r="EP186" s="43" t="str">
        <f t="shared" si="3044"/>
        <v/>
      </c>
      <c r="EQ186" s="43" t="str">
        <f t="shared" si="3045"/>
        <v/>
      </c>
      <c r="ER186" s="43" t="str">
        <f t="shared" si="3046"/>
        <v/>
      </c>
      <c r="ES186" s="43" t="str">
        <f t="shared" si="3047"/>
        <v/>
      </c>
      <c r="ET186" s="43" t="str">
        <f t="shared" si="3048"/>
        <v/>
      </c>
      <c r="EU186" s="43" t="str">
        <f t="shared" si="3049"/>
        <v/>
      </c>
      <c r="EV186" s="43" t="str">
        <f t="shared" si="3050"/>
        <v/>
      </c>
      <c r="EW186" s="43" t="str">
        <f t="shared" si="3051"/>
        <v/>
      </c>
      <c r="EX186" s="43" t="str">
        <f t="shared" si="3052"/>
        <v/>
      </c>
      <c r="EY186" s="43" t="str">
        <f t="shared" si="3053"/>
        <v/>
      </c>
      <c r="EZ186" s="43" t="str">
        <f t="shared" si="3054"/>
        <v/>
      </c>
      <c r="FA186" s="43" t="str">
        <f t="shared" si="3055"/>
        <v/>
      </c>
      <c r="FB186" s="43" t="str">
        <f t="shared" si="3056"/>
        <v/>
      </c>
      <c r="FC186" s="43" t="str">
        <f t="shared" si="3057"/>
        <v/>
      </c>
      <c r="FD186" s="43" t="str">
        <f t="shared" si="3058"/>
        <v/>
      </c>
      <c r="FE186" s="43" t="str">
        <f t="shared" si="3059"/>
        <v/>
      </c>
      <c r="FF186" s="43" t="str">
        <f t="shared" si="3060"/>
        <v/>
      </c>
      <c r="FG186" s="43" t="str">
        <f t="shared" si="3061"/>
        <v/>
      </c>
      <c r="FH186" s="43" t="str">
        <f t="shared" si="3062"/>
        <v/>
      </c>
      <c r="FI186" s="43" t="str">
        <f t="shared" si="3063"/>
        <v/>
      </c>
      <c r="FJ186" s="43" t="str">
        <f t="shared" si="3064"/>
        <v/>
      </c>
      <c r="FK186" s="43" t="str">
        <f t="shared" si="3065"/>
        <v/>
      </c>
      <c r="FL186" s="43" t="str">
        <f t="shared" si="3066"/>
        <v/>
      </c>
      <c r="FM186" s="43" t="str">
        <f t="shared" si="3067"/>
        <v/>
      </c>
      <c r="FN186" s="43" t="str">
        <f t="shared" si="3068"/>
        <v/>
      </c>
      <c r="FO186" s="43" t="str">
        <f t="shared" si="3069"/>
        <v/>
      </c>
      <c r="FP186" s="43" t="str">
        <f t="shared" si="3070"/>
        <v/>
      </c>
      <c r="FQ186" s="43" t="str">
        <f t="shared" si="3071"/>
        <v/>
      </c>
      <c r="FR186" s="43" t="str">
        <f t="shared" si="3072"/>
        <v/>
      </c>
      <c r="FS186" s="43" t="str">
        <f t="shared" si="3073"/>
        <v/>
      </c>
    </row>
    <row r="187" ht="14.4" spans="1:175">
      <c r="A187" s="88"/>
      <c r="B187" s="7" t="s">
        <v>616</v>
      </c>
      <c r="C187" s="89" t="s">
        <v>617</v>
      </c>
      <c r="T187" s="89" t="s">
        <v>617</v>
      </c>
      <c r="U187" s="59" t="str">
        <f t="shared" si="3001"/>
        <v>ReplaceableTextures\\CommandButtons\\BTNIB06.blp</v>
      </c>
      <c r="CN187" s="12" t="str">
        <f t="shared" si="3074"/>
        <v>InitUnitState('IB06',,,,,,,,,,)</v>
      </c>
      <c r="CO187" s="12" t="str">
        <f t="shared" si="3075"/>
        <v>InitUnitNormal('IB06',,,,,,,,,,)</v>
      </c>
      <c r="CP187" s="12" t="str">
        <f t="shared" si="3076"/>
        <v>InitUnitMagic('IB06',,,,,,,,,,)</v>
      </c>
      <c r="CQ187" s="12" t="str">
        <f t="shared" si="3077"/>
        <v>InitUnitAdd('IB06',,,,,,,,,,)</v>
      </c>
      <c r="CR187" s="12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InitEquipData('IB06',,"",,,,,'','','','','','',"ReplaceableTextures\\CommandButtons\\BTNIB07.blp")</v>
      </c>
      <c r="CU187" s="71" t="str">
        <f t="shared" si="3002"/>
        <v>|n</v>
      </c>
      <c r="CV187" s="5" t="str">
        <f t="shared" si="3003"/>
        <v>公会福利</v>
      </c>
      <c r="CW187" s="6"/>
      <c r="CX187" s="6"/>
      <c r="CY187" s="6"/>
      <c r="CZ187" s="6"/>
      <c r="DA187" s="6"/>
      <c r="DB187" s="43" t="str">
        <f t="shared" si="3004"/>
        <v/>
      </c>
      <c r="DC187" s="43" t="str">
        <f t="shared" si="3005"/>
        <v/>
      </c>
      <c r="DD187" s="43" t="str">
        <f t="shared" si="3006"/>
        <v/>
      </c>
      <c r="DE187" s="43" t="str">
        <f t="shared" si="3007"/>
        <v/>
      </c>
      <c r="DF187" s="43" t="str">
        <f t="shared" si="3008"/>
        <v/>
      </c>
      <c r="DG187" s="43" t="str">
        <f t="shared" si="3009"/>
        <v/>
      </c>
      <c r="DH187" s="43" t="str">
        <f t="shared" si="3010"/>
        <v/>
      </c>
      <c r="DI187" s="43" t="str">
        <f t="shared" si="3011"/>
        <v/>
      </c>
      <c r="DJ187" s="43" t="str">
        <f t="shared" si="3012"/>
        <v/>
      </c>
      <c r="DK187" s="43" t="str">
        <f t="shared" si="3013"/>
        <v/>
      </c>
      <c r="DL187" s="43" t="str">
        <f t="shared" si="3014"/>
        <v/>
      </c>
      <c r="DM187" s="43" t="str">
        <f t="shared" si="3015"/>
        <v/>
      </c>
      <c r="DN187" s="43" t="str">
        <f t="shared" si="3016"/>
        <v/>
      </c>
      <c r="DO187" s="43" t="str">
        <f t="shared" si="3017"/>
        <v/>
      </c>
      <c r="DP187" s="43" t="str">
        <f t="shared" si="3018"/>
        <v/>
      </c>
      <c r="DQ187" s="43" t="str">
        <f t="shared" si="3019"/>
        <v/>
      </c>
      <c r="DR187" s="43" t="str">
        <f t="shared" si="3020"/>
        <v/>
      </c>
      <c r="DS187" s="43" t="str">
        <f t="shared" si="3021"/>
        <v/>
      </c>
      <c r="DT187" s="43" t="str">
        <f t="shared" si="3022"/>
        <v/>
      </c>
      <c r="DU187" s="43" t="str">
        <f t="shared" si="3023"/>
        <v/>
      </c>
      <c r="DV187" s="43" t="str">
        <f t="shared" si="3024"/>
        <v/>
      </c>
      <c r="DW187" s="43" t="str">
        <f t="shared" si="3025"/>
        <v/>
      </c>
      <c r="DX187" s="43" t="str">
        <f t="shared" si="3026"/>
        <v/>
      </c>
      <c r="DY187" s="43" t="str">
        <f t="shared" si="3027"/>
        <v/>
      </c>
      <c r="DZ187" s="43" t="str">
        <f t="shared" si="3028"/>
        <v/>
      </c>
      <c r="EA187" s="43" t="str">
        <f t="shared" si="3029"/>
        <v/>
      </c>
      <c r="EB187" s="43" t="str">
        <f t="shared" si="3030"/>
        <v/>
      </c>
      <c r="EC187" s="43" t="str">
        <f t="shared" si="3031"/>
        <v/>
      </c>
      <c r="ED187" s="43" t="str">
        <f t="shared" si="3032"/>
        <v/>
      </c>
      <c r="EE187" s="43" t="str">
        <f t="shared" si="3033"/>
        <v/>
      </c>
      <c r="EF187" s="43" t="str">
        <f t="shared" si="3034"/>
        <v/>
      </c>
      <c r="EG187" s="43" t="str">
        <f t="shared" si="3035"/>
        <v/>
      </c>
      <c r="EH187" s="43" t="str">
        <f t="shared" si="3036"/>
        <v/>
      </c>
      <c r="EI187" s="43" t="str">
        <f t="shared" si="3037"/>
        <v/>
      </c>
      <c r="EJ187" s="43" t="str">
        <f t="shared" si="3038"/>
        <v/>
      </c>
      <c r="EK187" s="43" t="str">
        <f t="shared" si="3039"/>
        <v/>
      </c>
      <c r="EL187" s="43" t="str">
        <f t="shared" si="3040"/>
        <v/>
      </c>
      <c r="EM187" s="43" t="str">
        <f t="shared" si="3041"/>
        <v/>
      </c>
      <c r="EN187" s="43" t="str">
        <f t="shared" si="3042"/>
        <v/>
      </c>
      <c r="EO187" s="43" t="str">
        <f t="shared" si="3043"/>
        <v/>
      </c>
      <c r="EP187" s="43" t="str">
        <f t="shared" si="3044"/>
        <v/>
      </c>
      <c r="EQ187" s="43" t="str">
        <f t="shared" si="3045"/>
        <v/>
      </c>
      <c r="ER187" s="43" t="str">
        <f t="shared" si="3046"/>
        <v/>
      </c>
      <c r="ES187" s="43" t="str">
        <f t="shared" si="3047"/>
        <v/>
      </c>
      <c r="ET187" s="43" t="str">
        <f t="shared" si="3048"/>
        <v/>
      </c>
      <c r="EU187" s="43" t="str">
        <f t="shared" si="3049"/>
        <v/>
      </c>
      <c r="EV187" s="43" t="str">
        <f t="shared" si="3050"/>
        <v/>
      </c>
      <c r="EW187" s="43" t="str">
        <f t="shared" si="3051"/>
        <v/>
      </c>
      <c r="EX187" s="43" t="str">
        <f t="shared" si="3052"/>
        <v/>
      </c>
      <c r="EY187" s="43" t="str">
        <f t="shared" si="3053"/>
        <v/>
      </c>
      <c r="EZ187" s="43" t="str">
        <f t="shared" si="3054"/>
        <v/>
      </c>
      <c r="FA187" s="43" t="str">
        <f t="shared" si="3055"/>
        <v/>
      </c>
      <c r="FB187" s="43" t="str">
        <f t="shared" si="3056"/>
        <v/>
      </c>
      <c r="FC187" s="43" t="str">
        <f t="shared" si="3057"/>
        <v/>
      </c>
      <c r="FD187" s="43" t="str">
        <f t="shared" si="3058"/>
        <v/>
      </c>
      <c r="FE187" s="43" t="str">
        <f t="shared" si="3059"/>
        <v/>
      </c>
      <c r="FF187" s="43" t="str">
        <f t="shared" si="3060"/>
        <v/>
      </c>
      <c r="FG187" s="43" t="str">
        <f t="shared" si="3061"/>
        <v/>
      </c>
      <c r="FH187" s="43" t="str">
        <f t="shared" si="3062"/>
        <v/>
      </c>
      <c r="FI187" s="43" t="str">
        <f t="shared" si="3063"/>
        <v/>
      </c>
      <c r="FJ187" s="43" t="str">
        <f t="shared" si="3064"/>
        <v/>
      </c>
      <c r="FK187" s="43" t="str">
        <f t="shared" si="3065"/>
        <v/>
      </c>
      <c r="FL187" s="43" t="str">
        <f t="shared" si="3066"/>
        <v/>
      </c>
      <c r="FM187" s="43" t="str">
        <f t="shared" si="3067"/>
        <v/>
      </c>
      <c r="FN187" s="43" t="str">
        <f t="shared" si="3068"/>
        <v/>
      </c>
      <c r="FO187" s="43" t="str">
        <f t="shared" si="3069"/>
        <v/>
      </c>
      <c r="FP187" s="43" t="str">
        <f t="shared" si="3070"/>
        <v/>
      </c>
      <c r="FQ187" s="43" t="str">
        <f t="shared" si="3071"/>
        <v/>
      </c>
      <c r="FR187" s="43" t="str">
        <f t="shared" si="3072"/>
        <v/>
      </c>
      <c r="FS187" s="43" t="str">
        <f t="shared" si="3073"/>
        <v/>
      </c>
    </row>
    <row r="188" ht="14.4" spans="1:175">
      <c r="A188" s="88"/>
      <c r="B188" s="7" t="s">
        <v>618</v>
      </c>
      <c r="C188" s="89" t="s">
        <v>619</v>
      </c>
      <c r="T188" s="89" t="s">
        <v>619</v>
      </c>
      <c r="U188" s="59" t="str">
        <f t="shared" si="3001"/>
        <v>ReplaceableTextures\\CommandButtons\\BTNIB07.blp</v>
      </c>
      <c r="CN188" s="12" t="str">
        <f t="shared" si="3074"/>
        <v>InitUnitState('IB07',,,,,,,,,,)</v>
      </c>
      <c r="CO188" s="12" t="str">
        <f t="shared" si="3075"/>
        <v>InitUnitNormal('IB07',,,,,,,,,,)</v>
      </c>
      <c r="CP188" s="12" t="str">
        <f t="shared" si="3076"/>
        <v>InitUnitMagic('IB07',,,,,,,,,,)</v>
      </c>
      <c r="CQ188" s="12" t="str">
        <f t="shared" si="3077"/>
        <v>InitUnitAdd('IB07',,,,,,,,,,)</v>
      </c>
      <c r="CR188" s="12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InitEquipData('IB07',,"",,,,,'','','','','','',"ReplaceableTextures\\CommandButtons\\BTNIB08.blp")</v>
      </c>
      <c r="CU188" s="71" t="str">
        <f t="shared" si="3002"/>
        <v>|n</v>
      </c>
      <c r="CV188" s="5" t="str">
        <f t="shared" si="3003"/>
        <v>星耀礼包</v>
      </c>
      <c r="CW188" s="6"/>
      <c r="CX188" s="6"/>
      <c r="CY188" s="6"/>
      <c r="CZ188" s="6"/>
      <c r="DA188" s="6"/>
      <c r="DB188" s="43" t="str">
        <f t="shared" si="3004"/>
        <v/>
      </c>
      <c r="DC188" s="43" t="str">
        <f t="shared" si="3005"/>
        <v/>
      </c>
      <c r="DD188" s="43" t="str">
        <f t="shared" si="3006"/>
        <v/>
      </c>
      <c r="DE188" s="43" t="str">
        <f t="shared" si="3007"/>
        <v/>
      </c>
      <c r="DF188" s="43" t="str">
        <f t="shared" si="3008"/>
        <v/>
      </c>
      <c r="DG188" s="43" t="str">
        <f t="shared" si="3009"/>
        <v/>
      </c>
      <c r="DH188" s="43" t="str">
        <f t="shared" si="3010"/>
        <v/>
      </c>
      <c r="DI188" s="43" t="str">
        <f t="shared" si="3011"/>
        <v/>
      </c>
      <c r="DJ188" s="43" t="str">
        <f t="shared" si="3012"/>
        <v/>
      </c>
      <c r="DK188" s="43" t="str">
        <f t="shared" si="3013"/>
        <v/>
      </c>
      <c r="DL188" s="43" t="str">
        <f t="shared" si="3014"/>
        <v/>
      </c>
      <c r="DM188" s="43" t="str">
        <f t="shared" si="3015"/>
        <v/>
      </c>
      <c r="DN188" s="43" t="str">
        <f t="shared" si="3016"/>
        <v/>
      </c>
      <c r="DO188" s="43" t="str">
        <f t="shared" si="3017"/>
        <v/>
      </c>
      <c r="DP188" s="43" t="str">
        <f t="shared" si="3018"/>
        <v/>
      </c>
      <c r="DQ188" s="43" t="str">
        <f t="shared" si="3019"/>
        <v/>
      </c>
      <c r="DR188" s="43" t="str">
        <f t="shared" si="3020"/>
        <v/>
      </c>
      <c r="DS188" s="43" t="str">
        <f t="shared" si="3021"/>
        <v/>
      </c>
      <c r="DT188" s="43" t="str">
        <f t="shared" si="3022"/>
        <v/>
      </c>
      <c r="DU188" s="43" t="str">
        <f t="shared" si="3023"/>
        <v/>
      </c>
      <c r="DV188" s="43" t="str">
        <f t="shared" si="3024"/>
        <v/>
      </c>
      <c r="DW188" s="43" t="str">
        <f t="shared" si="3025"/>
        <v/>
      </c>
      <c r="DX188" s="43" t="str">
        <f t="shared" si="3026"/>
        <v/>
      </c>
      <c r="DY188" s="43" t="str">
        <f t="shared" si="3027"/>
        <v/>
      </c>
      <c r="DZ188" s="43" t="str">
        <f t="shared" si="3028"/>
        <v/>
      </c>
      <c r="EA188" s="43" t="str">
        <f t="shared" si="3029"/>
        <v/>
      </c>
      <c r="EB188" s="43" t="str">
        <f t="shared" si="3030"/>
        <v/>
      </c>
      <c r="EC188" s="43" t="str">
        <f t="shared" si="3031"/>
        <v/>
      </c>
      <c r="ED188" s="43" t="str">
        <f t="shared" si="3032"/>
        <v/>
      </c>
      <c r="EE188" s="43" t="str">
        <f t="shared" si="3033"/>
        <v/>
      </c>
      <c r="EF188" s="43" t="str">
        <f t="shared" si="3034"/>
        <v/>
      </c>
      <c r="EG188" s="43" t="str">
        <f t="shared" si="3035"/>
        <v/>
      </c>
      <c r="EH188" s="43" t="str">
        <f t="shared" si="3036"/>
        <v/>
      </c>
      <c r="EI188" s="43" t="str">
        <f t="shared" si="3037"/>
        <v/>
      </c>
      <c r="EJ188" s="43" t="str">
        <f t="shared" si="3038"/>
        <v/>
      </c>
      <c r="EK188" s="43" t="str">
        <f t="shared" si="3039"/>
        <v/>
      </c>
      <c r="EL188" s="43" t="str">
        <f t="shared" si="3040"/>
        <v/>
      </c>
      <c r="EM188" s="43" t="str">
        <f t="shared" si="3041"/>
        <v/>
      </c>
      <c r="EN188" s="43" t="str">
        <f t="shared" si="3042"/>
        <v/>
      </c>
      <c r="EO188" s="43" t="str">
        <f t="shared" si="3043"/>
        <v/>
      </c>
      <c r="EP188" s="43" t="str">
        <f t="shared" si="3044"/>
        <v/>
      </c>
      <c r="EQ188" s="43" t="str">
        <f t="shared" si="3045"/>
        <v/>
      </c>
      <c r="ER188" s="43" t="str">
        <f t="shared" si="3046"/>
        <v/>
      </c>
      <c r="ES188" s="43" t="str">
        <f t="shared" si="3047"/>
        <v/>
      </c>
      <c r="ET188" s="43" t="str">
        <f t="shared" si="3048"/>
        <v/>
      </c>
      <c r="EU188" s="43" t="str">
        <f t="shared" si="3049"/>
        <v/>
      </c>
      <c r="EV188" s="43" t="str">
        <f t="shared" si="3050"/>
        <v/>
      </c>
      <c r="EW188" s="43" t="str">
        <f t="shared" si="3051"/>
        <v/>
      </c>
      <c r="EX188" s="43" t="str">
        <f t="shared" si="3052"/>
        <v/>
      </c>
      <c r="EY188" s="43" t="str">
        <f t="shared" si="3053"/>
        <v/>
      </c>
      <c r="EZ188" s="43" t="str">
        <f t="shared" si="3054"/>
        <v/>
      </c>
      <c r="FA188" s="43" t="str">
        <f t="shared" si="3055"/>
        <v/>
      </c>
      <c r="FB188" s="43" t="str">
        <f t="shared" si="3056"/>
        <v/>
      </c>
      <c r="FC188" s="43" t="str">
        <f t="shared" si="3057"/>
        <v/>
      </c>
      <c r="FD188" s="43" t="str">
        <f t="shared" si="3058"/>
        <v/>
      </c>
      <c r="FE188" s="43" t="str">
        <f t="shared" si="3059"/>
        <v/>
      </c>
      <c r="FF188" s="43" t="str">
        <f t="shared" si="3060"/>
        <v/>
      </c>
      <c r="FG188" s="43" t="str">
        <f t="shared" si="3061"/>
        <v/>
      </c>
      <c r="FH188" s="43" t="str">
        <f t="shared" si="3062"/>
        <v/>
      </c>
      <c r="FI188" s="43" t="str">
        <f t="shared" si="3063"/>
        <v/>
      </c>
      <c r="FJ188" s="43" t="str">
        <f t="shared" si="3064"/>
        <v/>
      </c>
      <c r="FK188" s="43" t="str">
        <f t="shared" si="3065"/>
        <v/>
      </c>
      <c r="FL188" s="43" t="str">
        <f t="shared" si="3066"/>
        <v/>
      </c>
      <c r="FM188" s="43" t="str">
        <f t="shared" si="3067"/>
        <v/>
      </c>
      <c r="FN188" s="43" t="str">
        <f t="shared" si="3068"/>
        <v/>
      </c>
      <c r="FO188" s="43" t="str">
        <f t="shared" si="3069"/>
        <v/>
      </c>
      <c r="FP188" s="43" t="str">
        <f t="shared" si="3070"/>
        <v/>
      </c>
      <c r="FQ188" s="43" t="str">
        <f t="shared" si="3071"/>
        <v/>
      </c>
      <c r="FR188" s="43" t="str">
        <f t="shared" si="3072"/>
        <v/>
      </c>
      <c r="FS188" s="43" t="str">
        <f t="shared" si="3073"/>
        <v/>
      </c>
    </row>
    <row r="189" ht="14.4" spans="1:175">
      <c r="A189" s="88"/>
      <c r="B189" s="7" t="s">
        <v>620</v>
      </c>
      <c r="C189" s="89" t="s">
        <v>621</v>
      </c>
      <c r="T189" s="89" t="s">
        <v>621</v>
      </c>
      <c r="U189" s="59" t="str">
        <f t="shared" si="3001"/>
        <v>ReplaceableTextures\\CommandButtons\\BTNIB08.blp</v>
      </c>
      <c r="CN189" s="12" t="str">
        <f t="shared" si="3074"/>
        <v>InitUnitState('IB08',,,,,,,,,,)</v>
      </c>
      <c r="CO189" s="12" t="str">
        <f t="shared" si="3075"/>
        <v>InitUnitNormal('IB08',,,,,,,,,,)</v>
      </c>
      <c r="CP189" s="12" t="str">
        <f t="shared" si="3076"/>
        <v>InitUnitMagic('IB08',,,,,,,,,,)</v>
      </c>
      <c r="CQ189" s="12" t="str">
        <f t="shared" si="3077"/>
        <v>InitUnitAdd('IB08',,,,,,,,,,)</v>
      </c>
      <c r="CR189" s="12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208&amp;CR$1&amp;")"</f>
        <v>InitEquipData('IB08',,"",,,,,'','','','','','',"")</v>
      </c>
      <c r="CU189" s="71" t="str">
        <f t="shared" si="3002"/>
        <v>|n</v>
      </c>
      <c r="CV189" s="5" t="str">
        <f t="shared" si="3003"/>
        <v>魔芝RPG礼包</v>
      </c>
      <c r="CW189" s="6"/>
      <c r="CX189" s="6"/>
      <c r="CY189" s="6"/>
      <c r="CZ189" s="6"/>
      <c r="DA189" s="6"/>
      <c r="DB189" s="43" t="str">
        <f t="shared" si="3004"/>
        <v/>
      </c>
      <c r="DC189" s="43" t="str">
        <f t="shared" si="3005"/>
        <v/>
      </c>
      <c r="DD189" s="43" t="str">
        <f t="shared" si="3006"/>
        <v/>
      </c>
      <c r="DE189" s="43" t="str">
        <f t="shared" si="3007"/>
        <v/>
      </c>
      <c r="DF189" s="43" t="str">
        <f t="shared" si="3008"/>
        <v/>
      </c>
      <c r="DG189" s="43" t="str">
        <f t="shared" si="3009"/>
        <v/>
      </c>
      <c r="DH189" s="43" t="str">
        <f t="shared" si="3010"/>
        <v/>
      </c>
      <c r="DI189" s="43" t="str">
        <f t="shared" si="3011"/>
        <v/>
      </c>
      <c r="DJ189" s="43" t="str">
        <f t="shared" si="3012"/>
        <v/>
      </c>
      <c r="DK189" s="43" t="str">
        <f t="shared" si="3013"/>
        <v/>
      </c>
      <c r="DL189" s="43" t="str">
        <f t="shared" si="3014"/>
        <v/>
      </c>
      <c r="DM189" s="43" t="str">
        <f t="shared" si="3015"/>
        <v/>
      </c>
      <c r="DN189" s="43" t="str">
        <f t="shared" si="3016"/>
        <v/>
      </c>
      <c r="DO189" s="43" t="str">
        <f t="shared" si="3017"/>
        <v/>
      </c>
      <c r="DP189" s="43" t="str">
        <f t="shared" si="3018"/>
        <v/>
      </c>
      <c r="DQ189" s="43" t="str">
        <f t="shared" si="3019"/>
        <v/>
      </c>
      <c r="DR189" s="43" t="str">
        <f t="shared" si="3020"/>
        <v/>
      </c>
      <c r="DS189" s="43" t="str">
        <f t="shared" si="3021"/>
        <v/>
      </c>
      <c r="DT189" s="43" t="str">
        <f t="shared" si="3022"/>
        <v/>
      </c>
      <c r="DU189" s="43" t="str">
        <f t="shared" si="3023"/>
        <v/>
      </c>
      <c r="DV189" s="43" t="str">
        <f t="shared" si="3024"/>
        <v/>
      </c>
      <c r="DW189" s="43" t="str">
        <f t="shared" si="3025"/>
        <v/>
      </c>
      <c r="DX189" s="43" t="str">
        <f t="shared" si="3026"/>
        <v/>
      </c>
      <c r="DY189" s="43" t="str">
        <f t="shared" si="3027"/>
        <v/>
      </c>
      <c r="DZ189" s="43" t="str">
        <f t="shared" si="3028"/>
        <v/>
      </c>
      <c r="EA189" s="43" t="str">
        <f t="shared" si="3029"/>
        <v/>
      </c>
      <c r="EB189" s="43" t="str">
        <f t="shared" si="3030"/>
        <v/>
      </c>
      <c r="EC189" s="43" t="str">
        <f t="shared" si="3031"/>
        <v/>
      </c>
      <c r="ED189" s="43" t="str">
        <f t="shared" si="3032"/>
        <v/>
      </c>
      <c r="EE189" s="43" t="str">
        <f t="shared" si="3033"/>
        <v/>
      </c>
      <c r="EF189" s="43" t="str">
        <f t="shared" si="3034"/>
        <v/>
      </c>
      <c r="EG189" s="43" t="str">
        <f t="shared" si="3035"/>
        <v/>
      </c>
      <c r="EH189" s="43" t="str">
        <f t="shared" si="3036"/>
        <v/>
      </c>
      <c r="EI189" s="43" t="str">
        <f t="shared" si="3037"/>
        <v/>
      </c>
      <c r="EJ189" s="43" t="str">
        <f t="shared" si="3038"/>
        <v/>
      </c>
      <c r="EK189" s="43" t="str">
        <f t="shared" si="3039"/>
        <v/>
      </c>
      <c r="EL189" s="43" t="str">
        <f t="shared" si="3040"/>
        <v/>
      </c>
      <c r="EM189" s="43" t="str">
        <f t="shared" si="3041"/>
        <v/>
      </c>
      <c r="EN189" s="43" t="str">
        <f t="shared" si="3042"/>
        <v/>
      </c>
      <c r="EO189" s="43" t="str">
        <f t="shared" si="3043"/>
        <v/>
      </c>
      <c r="EP189" s="43" t="str">
        <f t="shared" si="3044"/>
        <v/>
      </c>
      <c r="EQ189" s="43" t="str">
        <f t="shared" si="3045"/>
        <v/>
      </c>
      <c r="ER189" s="43" t="str">
        <f t="shared" si="3046"/>
        <v/>
      </c>
      <c r="ES189" s="43" t="str">
        <f t="shared" si="3047"/>
        <v/>
      </c>
      <c r="ET189" s="43" t="str">
        <f t="shared" si="3048"/>
        <v/>
      </c>
      <c r="EU189" s="43" t="str">
        <f t="shared" si="3049"/>
        <v/>
      </c>
      <c r="EV189" s="43" t="str">
        <f t="shared" si="3050"/>
        <v/>
      </c>
      <c r="EW189" s="43" t="str">
        <f t="shared" si="3051"/>
        <v/>
      </c>
      <c r="EX189" s="43" t="str">
        <f t="shared" si="3052"/>
        <v/>
      </c>
      <c r="EY189" s="43" t="str">
        <f t="shared" si="3053"/>
        <v/>
      </c>
      <c r="EZ189" s="43" t="str">
        <f t="shared" si="3054"/>
        <v/>
      </c>
      <c r="FA189" s="43" t="str">
        <f t="shared" si="3055"/>
        <v/>
      </c>
      <c r="FB189" s="43" t="str">
        <f t="shared" si="3056"/>
        <v/>
      </c>
      <c r="FC189" s="43" t="str">
        <f t="shared" si="3057"/>
        <v/>
      </c>
      <c r="FD189" s="43" t="str">
        <f t="shared" si="3058"/>
        <v/>
      </c>
      <c r="FE189" s="43" t="str">
        <f t="shared" si="3059"/>
        <v/>
      </c>
      <c r="FF189" s="43" t="str">
        <f t="shared" si="3060"/>
        <v/>
      </c>
      <c r="FG189" s="43" t="str">
        <f t="shared" si="3061"/>
        <v/>
      </c>
      <c r="FH189" s="43" t="str">
        <f t="shared" si="3062"/>
        <v/>
      </c>
      <c r="FI189" s="43" t="str">
        <f t="shared" si="3063"/>
        <v/>
      </c>
      <c r="FJ189" s="43" t="str">
        <f t="shared" si="3064"/>
        <v/>
      </c>
      <c r="FK189" s="43" t="str">
        <f t="shared" si="3065"/>
        <v/>
      </c>
      <c r="FL189" s="43" t="str">
        <f t="shared" si="3066"/>
        <v/>
      </c>
      <c r="FM189" s="43" t="str">
        <f t="shared" si="3067"/>
        <v/>
      </c>
      <c r="FN189" s="43" t="str">
        <f t="shared" si="3068"/>
        <v/>
      </c>
      <c r="FO189" s="43" t="str">
        <f t="shared" si="3069"/>
        <v/>
      </c>
      <c r="FP189" s="43" t="str">
        <f t="shared" si="3070"/>
        <v/>
      </c>
      <c r="FQ189" s="43" t="str">
        <f t="shared" si="3071"/>
        <v/>
      </c>
      <c r="FR189" s="43" t="str">
        <f t="shared" si="3072"/>
        <v/>
      </c>
      <c r="FS189" s="43" t="str">
        <f t="shared" si="3073"/>
        <v/>
      </c>
    </row>
    <row r="190" s="5" customFormat="1" ht="14.4" spans="1:175">
      <c r="A190" s="88"/>
      <c r="B190" s="7" t="s">
        <v>622</v>
      </c>
      <c r="C190" s="89" t="s">
        <v>623</v>
      </c>
      <c r="D190" s="13"/>
      <c r="E190" s="13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37"/>
      <c r="Q190" s="37"/>
      <c r="R190" s="37"/>
      <c r="S190" s="37"/>
      <c r="T190" s="89" t="s">
        <v>623</v>
      </c>
      <c r="U190" s="59" t="str">
        <f t="shared" si="3001"/>
        <v>ReplaceableTextures\\CommandButtons\\BTNIB09.blp</v>
      </c>
      <c r="V190" s="40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2"/>
      <c r="AS190" s="42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12" t="str">
        <f t="shared" si="3074"/>
        <v>InitUnitState('IB09',,,,,,,,,,)</v>
      </c>
      <c r="CO190" s="12" t="str">
        <f t="shared" si="3075"/>
        <v>InitUnitNormal('IB09',,,,,,,,,,)</v>
      </c>
      <c r="CP190" s="12" t="str">
        <f t="shared" si="3076"/>
        <v>InitUnitMagic('IB09',,,,,,,,,,)</v>
      </c>
      <c r="CQ190" s="12" t="str">
        <f t="shared" si="3077"/>
        <v>InitUnitAdd('IB09',,,,,,,,,,)</v>
      </c>
      <c r="CR190" s="12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209&amp;CR$1&amp;")"</f>
        <v>InitEquipData('IB09',,"",,,,,'','','','','','',"")</v>
      </c>
      <c r="CS190" s="12"/>
      <c r="CT190" s="12"/>
      <c r="CU190" s="71" t="str">
        <f t="shared" si="3002"/>
        <v>|n</v>
      </c>
      <c r="CV190" s="5" t="str">
        <f t="shared" si="3003"/>
        <v>老铁礼包</v>
      </c>
      <c r="CW190" s="6"/>
      <c r="CX190" s="6"/>
      <c r="CY190" s="6"/>
      <c r="CZ190" s="6"/>
      <c r="DA190" s="6"/>
      <c r="DB190" s="43" t="str">
        <f t="shared" ref="DB190:FM190" si="3078">IF(V190="","","|n"&amp;DB$2&amp;"+"&amp;V190&amp;DB$1)</f>
        <v/>
      </c>
      <c r="DC190" s="43" t="str">
        <f t="shared" si="3078"/>
        <v/>
      </c>
      <c r="DD190" s="43" t="str">
        <f t="shared" si="3078"/>
        <v/>
      </c>
      <c r="DE190" s="43" t="str">
        <f t="shared" si="3078"/>
        <v/>
      </c>
      <c r="DF190" s="43" t="str">
        <f t="shared" si="3078"/>
        <v/>
      </c>
      <c r="DG190" s="43" t="str">
        <f t="shared" si="3078"/>
        <v/>
      </c>
      <c r="DH190" s="43" t="str">
        <f t="shared" si="3078"/>
        <v/>
      </c>
      <c r="DI190" s="43" t="str">
        <f t="shared" si="3078"/>
        <v/>
      </c>
      <c r="DJ190" s="43" t="str">
        <f t="shared" si="3078"/>
        <v/>
      </c>
      <c r="DK190" s="43" t="str">
        <f t="shared" si="3078"/>
        <v/>
      </c>
      <c r="DL190" s="43" t="str">
        <f t="shared" si="3078"/>
        <v/>
      </c>
      <c r="DM190" s="43" t="str">
        <f t="shared" si="3078"/>
        <v/>
      </c>
      <c r="DN190" s="43" t="str">
        <f t="shared" si="3078"/>
        <v/>
      </c>
      <c r="DO190" s="43" t="str">
        <f t="shared" si="3078"/>
        <v/>
      </c>
      <c r="DP190" s="43" t="str">
        <f t="shared" si="3078"/>
        <v/>
      </c>
      <c r="DQ190" s="43" t="str">
        <f t="shared" si="3078"/>
        <v/>
      </c>
      <c r="DR190" s="43" t="str">
        <f t="shared" si="3078"/>
        <v/>
      </c>
      <c r="DS190" s="43" t="str">
        <f t="shared" si="3078"/>
        <v/>
      </c>
      <c r="DT190" s="43" t="str">
        <f t="shared" si="3078"/>
        <v/>
      </c>
      <c r="DU190" s="43" t="str">
        <f t="shared" si="3078"/>
        <v/>
      </c>
      <c r="DV190" s="43" t="str">
        <f t="shared" si="3078"/>
        <v/>
      </c>
      <c r="DW190" s="43" t="str">
        <f t="shared" si="3078"/>
        <v/>
      </c>
      <c r="DX190" s="43" t="str">
        <f t="shared" si="3078"/>
        <v/>
      </c>
      <c r="DY190" s="43" t="str">
        <f t="shared" si="3078"/>
        <v/>
      </c>
      <c r="DZ190" s="43" t="str">
        <f t="shared" si="3078"/>
        <v/>
      </c>
      <c r="EA190" s="43" t="str">
        <f t="shared" si="3078"/>
        <v/>
      </c>
      <c r="EB190" s="43" t="str">
        <f t="shared" si="3078"/>
        <v/>
      </c>
      <c r="EC190" s="43" t="str">
        <f t="shared" si="3078"/>
        <v/>
      </c>
      <c r="ED190" s="43" t="str">
        <f t="shared" si="3078"/>
        <v/>
      </c>
      <c r="EE190" s="43" t="str">
        <f t="shared" si="3078"/>
        <v/>
      </c>
      <c r="EF190" s="43" t="str">
        <f t="shared" si="3078"/>
        <v/>
      </c>
      <c r="EG190" s="43" t="str">
        <f t="shared" si="3078"/>
        <v/>
      </c>
      <c r="EH190" s="43" t="str">
        <f t="shared" si="3078"/>
        <v/>
      </c>
      <c r="EI190" s="43" t="str">
        <f t="shared" si="3078"/>
        <v/>
      </c>
      <c r="EJ190" s="43" t="str">
        <f t="shared" si="3078"/>
        <v/>
      </c>
      <c r="EK190" s="43" t="str">
        <f t="shared" si="3078"/>
        <v/>
      </c>
      <c r="EL190" s="43" t="str">
        <f t="shared" si="3078"/>
        <v/>
      </c>
      <c r="EM190" s="43" t="str">
        <f t="shared" si="3078"/>
        <v/>
      </c>
      <c r="EN190" s="43" t="str">
        <f t="shared" si="3078"/>
        <v/>
      </c>
      <c r="EO190" s="43" t="str">
        <f t="shared" si="3078"/>
        <v/>
      </c>
      <c r="EP190" s="43" t="str">
        <f t="shared" si="3078"/>
        <v/>
      </c>
      <c r="EQ190" s="43" t="str">
        <f t="shared" si="3078"/>
        <v/>
      </c>
      <c r="ER190" s="43" t="str">
        <f t="shared" si="3078"/>
        <v/>
      </c>
      <c r="ES190" s="43" t="str">
        <f t="shared" si="3078"/>
        <v/>
      </c>
      <c r="ET190" s="43" t="str">
        <f t="shared" si="3078"/>
        <v/>
      </c>
      <c r="EU190" s="43" t="str">
        <f t="shared" si="3078"/>
        <v/>
      </c>
      <c r="EV190" s="43" t="str">
        <f t="shared" si="3078"/>
        <v/>
      </c>
      <c r="EW190" s="43" t="str">
        <f t="shared" si="3078"/>
        <v/>
      </c>
      <c r="EX190" s="43" t="str">
        <f t="shared" si="3078"/>
        <v/>
      </c>
      <c r="EY190" s="43" t="str">
        <f t="shared" si="3078"/>
        <v/>
      </c>
      <c r="EZ190" s="43" t="str">
        <f t="shared" si="3078"/>
        <v/>
      </c>
      <c r="FA190" s="43" t="str">
        <f t="shared" si="3078"/>
        <v/>
      </c>
      <c r="FB190" s="43" t="str">
        <f t="shared" si="3078"/>
        <v/>
      </c>
      <c r="FC190" s="43" t="str">
        <f t="shared" si="3078"/>
        <v/>
      </c>
      <c r="FD190" s="43" t="str">
        <f t="shared" si="3078"/>
        <v/>
      </c>
      <c r="FE190" s="43" t="str">
        <f t="shared" si="3078"/>
        <v/>
      </c>
      <c r="FF190" s="43" t="str">
        <f t="shared" si="3078"/>
        <v/>
      </c>
      <c r="FG190" s="43" t="str">
        <f t="shared" si="3078"/>
        <v/>
      </c>
      <c r="FH190" s="43" t="str">
        <f t="shared" si="3078"/>
        <v/>
      </c>
      <c r="FI190" s="43" t="str">
        <f t="shared" si="3078"/>
        <v/>
      </c>
      <c r="FJ190" s="43" t="str">
        <f t="shared" si="3078"/>
        <v/>
      </c>
      <c r="FK190" s="43" t="str">
        <f t="shared" si="3078"/>
        <v/>
      </c>
      <c r="FL190" s="43" t="str">
        <f t="shared" si="3078"/>
        <v/>
      </c>
      <c r="FM190" s="43" t="str">
        <f t="shared" si="3078"/>
        <v/>
      </c>
      <c r="FN190" s="43" t="str">
        <f t="shared" ref="FN190:FS190" si="3079">IF(CH190="","","|n"&amp;FN$2&amp;"+"&amp;CH190&amp;FN$1)</f>
        <v/>
      </c>
      <c r="FO190" s="43" t="str">
        <f t="shared" si="3079"/>
        <v/>
      </c>
      <c r="FP190" s="43" t="str">
        <f t="shared" si="3079"/>
        <v/>
      </c>
      <c r="FQ190" s="43" t="str">
        <f t="shared" si="3079"/>
        <v/>
      </c>
      <c r="FR190" s="43" t="str">
        <f t="shared" si="3079"/>
        <v/>
      </c>
      <c r="FS190" s="43" t="str">
        <f t="shared" si="3079"/>
        <v/>
      </c>
    </row>
    <row r="191" ht="14.4" spans="1:175">
      <c r="A191" s="88"/>
      <c r="B191" s="7" t="s">
        <v>624</v>
      </c>
      <c r="C191" s="89" t="str">
        <f>"已领取"&amp;C182</f>
        <v>已领取公众号礼包</v>
      </c>
      <c r="T191" s="89" t="s">
        <v>625</v>
      </c>
      <c r="U191" s="59" t="str">
        <f t="shared" ref="U191:U200" si="3080">"ReplaceableTextures\\CommandButtons\\BTN"&amp;B191&amp;".blp"</f>
        <v>ReplaceableTextures\\CommandButtons\\BTNIB51.blp</v>
      </c>
      <c r="CN191" s="12" t="str">
        <f t="shared" si="3074"/>
        <v>InitUnitState('IB51',,,,,,,,,,)</v>
      </c>
      <c r="CO191" s="12" t="str">
        <f t="shared" si="3075"/>
        <v>InitUnitNormal('IB51',,,,,,,,,,)</v>
      </c>
      <c r="CP191" s="12" t="str">
        <f t="shared" si="3076"/>
        <v>InitUnitMagic('IB51',,,,,,,,,,)</v>
      </c>
      <c r="CQ191" s="12" t="str">
        <f t="shared" si="3077"/>
        <v>InitUnitAdd('IB51',,,,,,,,,,)</v>
      </c>
      <c r="CR191" s="12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InitEquipData('IB51',,"",,,,,'','','','','','',"ReplaceableTextures\\CommandButtons\\BTNIB52.blp")</v>
      </c>
      <c r="CU191" s="71" t="str">
        <f t="shared" ref="CU191:CU199" si="3081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5" t="str">
        <f t="shared" ref="CV191:CV199" si="3082">T191</f>
        <v>已领取公众号礼包</v>
      </c>
      <c r="CW191" s="6"/>
      <c r="CX191" s="6"/>
      <c r="CY191" s="6"/>
      <c r="CZ191" s="6"/>
      <c r="DA191" s="6"/>
      <c r="DB191" s="43" t="str">
        <f t="shared" ref="DB191:DB198" si="3083">IF(V191="","","|n"&amp;DB$2&amp;"+"&amp;V191&amp;DB$1)</f>
        <v/>
      </c>
      <c r="DC191" s="43" t="str">
        <f t="shared" ref="DC191:DC198" si="3084">IF(W191="","","|n"&amp;DC$2&amp;"+"&amp;W191&amp;DC$1)</f>
        <v/>
      </c>
      <c r="DD191" s="43" t="str">
        <f t="shared" ref="DD191:DD198" si="3085">IF(X191="","","|n"&amp;DD$2&amp;"+"&amp;X191&amp;DD$1)</f>
        <v/>
      </c>
      <c r="DE191" s="43" t="str">
        <f t="shared" ref="DE191:DE198" si="3086">IF(Y191="","","|n"&amp;DE$2&amp;"+"&amp;Y191&amp;DE$1)</f>
        <v/>
      </c>
      <c r="DF191" s="43" t="str">
        <f t="shared" ref="DF191:DF198" si="3087">IF(Z191="","","|n"&amp;DF$2&amp;"+"&amp;Z191&amp;DF$1)</f>
        <v/>
      </c>
      <c r="DG191" s="43" t="str">
        <f t="shared" ref="DG191:DG198" si="3088">IF(AA191="","","|n"&amp;DG$2&amp;"+"&amp;AA191&amp;DG$1)</f>
        <v/>
      </c>
      <c r="DH191" s="43" t="str">
        <f t="shared" ref="DH191:DH198" si="3089">IF(AB191="","","|n"&amp;DH$2&amp;"+"&amp;AB191&amp;DH$1)</f>
        <v/>
      </c>
      <c r="DI191" s="43" t="str">
        <f t="shared" ref="DI191:DI198" si="3090">IF(AC191="","","|n"&amp;DI$2&amp;"+"&amp;AC191&amp;DI$1)</f>
        <v/>
      </c>
      <c r="DJ191" s="43" t="str">
        <f t="shared" ref="DJ191:DJ198" si="3091">IF(AD191="","","|n"&amp;DJ$2&amp;"+"&amp;AD191&amp;DJ$1)</f>
        <v/>
      </c>
      <c r="DK191" s="43" t="str">
        <f t="shared" ref="DK191:DK198" si="3092">IF(AE191="","","|n"&amp;DK$2&amp;"+"&amp;AE191&amp;DK$1)</f>
        <v/>
      </c>
      <c r="DL191" s="43" t="str">
        <f t="shared" ref="DL191:DL198" si="3093">IF(AF191="","","|n"&amp;DL$2&amp;"+"&amp;AF191&amp;DL$1)</f>
        <v/>
      </c>
      <c r="DM191" s="43" t="str">
        <f t="shared" ref="DM191:DM198" si="3094">IF(AG191="","","|n"&amp;DM$2&amp;"+"&amp;AG191&amp;DM$1)</f>
        <v/>
      </c>
      <c r="DN191" s="43" t="str">
        <f t="shared" ref="DN191:DN198" si="3095">IF(AH191="","","|n"&amp;DN$2&amp;"+"&amp;AH191&amp;DN$1)</f>
        <v/>
      </c>
      <c r="DO191" s="43" t="str">
        <f t="shared" ref="DO191:DO198" si="3096">IF(AI191="","","|n"&amp;DO$2&amp;"+"&amp;AI191&amp;DO$1)</f>
        <v/>
      </c>
      <c r="DP191" s="43" t="str">
        <f t="shared" ref="DP191:DP198" si="3097">IF(AJ191="","","|n"&amp;DP$2&amp;"+"&amp;AJ191&amp;DP$1)</f>
        <v/>
      </c>
      <c r="DQ191" s="43" t="str">
        <f t="shared" ref="DQ191:DQ198" si="3098">IF(AK191="","","|n"&amp;DQ$2&amp;"+"&amp;AK191&amp;DQ$1)</f>
        <v/>
      </c>
      <c r="DR191" s="43" t="str">
        <f t="shared" ref="DR191:DR198" si="3099">IF(AL191="","","|n"&amp;DR$2&amp;"+"&amp;AL191&amp;DR$1)</f>
        <v/>
      </c>
      <c r="DS191" s="43" t="str">
        <f t="shared" ref="DS191:DS198" si="3100">IF(AM191="","","|n"&amp;DS$2&amp;"+"&amp;AM191&amp;DS$1)</f>
        <v/>
      </c>
      <c r="DT191" s="43" t="str">
        <f t="shared" ref="DT191:DT198" si="3101">IF(AN191="","","|n"&amp;DT$2&amp;"+"&amp;AN191&amp;DT$1)</f>
        <v/>
      </c>
      <c r="DU191" s="43" t="str">
        <f t="shared" ref="DU191:DU198" si="3102">IF(AO191="","","|n"&amp;DU$2&amp;"+"&amp;AO191&amp;DU$1)</f>
        <v/>
      </c>
      <c r="DV191" s="43" t="str">
        <f t="shared" ref="DV191:DV198" si="3103">IF(AP191="","","|n"&amp;DV$2&amp;"+"&amp;AP191&amp;DV$1)</f>
        <v/>
      </c>
      <c r="DW191" s="43" t="str">
        <f t="shared" ref="DW191:DW198" si="3104">IF(AQ191="","","|n"&amp;DW$2&amp;"+"&amp;AQ191&amp;DW$1)</f>
        <v/>
      </c>
      <c r="DX191" s="43" t="str">
        <f t="shared" ref="DX191:DX198" si="3105">IF(AR191="","","|n"&amp;DX$2&amp;"+"&amp;AR191&amp;DX$1)</f>
        <v/>
      </c>
      <c r="DY191" s="43" t="str">
        <f t="shared" ref="DY191:DY198" si="3106">IF(AS191="","","|n"&amp;DY$2&amp;"+"&amp;AS191&amp;DY$1)</f>
        <v/>
      </c>
      <c r="DZ191" s="43" t="str">
        <f t="shared" ref="DZ191:DZ198" si="3107">IF(AT191="","","|n"&amp;DZ$2&amp;"+"&amp;AT191&amp;DZ$1)</f>
        <v/>
      </c>
      <c r="EA191" s="43" t="str">
        <f t="shared" ref="EA191:EA198" si="3108">IF(AU191="","","|n"&amp;EA$2&amp;"+"&amp;AU191&amp;EA$1)</f>
        <v/>
      </c>
      <c r="EB191" s="43" t="str">
        <f t="shared" ref="EB191:EB198" si="3109">IF(AV191="","","|n"&amp;EB$2&amp;"+"&amp;AV191&amp;EB$1)</f>
        <v/>
      </c>
      <c r="EC191" s="43" t="str">
        <f t="shared" ref="EC191:EC198" si="3110">IF(AW191="","","|n"&amp;EC$2&amp;"+"&amp;AW191&amp;EC$1)</f>
        <v/>
      </c>
      <c r="ED191" s="43" t="str">
        <f t="shared" ref="ED191:ED198" si="3111">IF(AX191="","","|n"&amp;ED$2&amp;"+"&amp;AX191&amp;ED$1)</f>
        <v/>
      </c>
      <c r="EE191" s="43" t="str">
        <f t="shared" ref="EE191:EE198" si="3112">IF(AY191="","","|n"&amp;EE$2&amp;"+"&amp;AY191&amp;EE$1)</f>
        <v/>
      </c>
      <c r="EF191" s="43" t="str">
        <f t="shared" ref="EF191:EF198" si="3113">IF(AZ191="","","|n"&amp;EF$2&amp;"+"&amp;AZ191&amp;EF$1)</f>
        <v/>
      </c>
      <c r="EG191" s="43" t="str">
        <f t="shared" ref="EG191:EG198" si="3114">IF(BA191="","","|n"&amp;EG$2&amp;"+"&amp;BA191&amp;EG$1)</f>
        <v/>
      </c>
      <c r="EH191" s="43" t="str">
        <f t="shared" ref="EH191:EH198" si="3115">IF(BB191="","","|n"&amp;EH$2&amp;"+"&amp;BB191&amp;EH$1)</f>
        <v/>
      </c>
      <c r="EI191" s="43" t="str">
        <f t="shared" ref="EI191:EI198" si="3116">IF(BC191="","","|n"&amp;EI$2&amp;"+"&amp;BC191&amp;EI$1)</f>
        <v/>
      </c>
      <c r="EJ191" s="43" t="str">
        <f t="shared" ref="EJ191:EJ198" si="3117">IF(BD191="","","|n"&amp;EJ$2&amp;"+"&amp;BD191&amp;EJ$1)</f>
        <v/>
      </c>
      <c r="EK191" s="43" t="str">
        <f t="shared" ref="EK191:EK198" si="3118">IF(BE191="","","|n"&amp;EK$2&amp;"+"&amp;BE191&amp;EK$1)</f>
        <v/>
      </c>
      <c r="EL191" s="43" t="str">
        <f t="shared" ref="EL191:EL198" si="3119">IF(BF191="","","|n"&amp;EL$2&amp;"+"&amp;BF191&amp;EL$1)</f>
        <v/>
      </c>
      <c r="EM191" s="43" t="str">
        <f t="shared" ref="EM191:EM198" si="3120">IF(BG191="","","|n"&amp;EM$2&amp;"+"&amp;BG191&amp;EM$1)</f>
        <v/>
      </c>
      <c r="EN191" s="43" t="str">
        <f t="shared" ref="EN191:EN198" si="3121">IF(BH191="","","|n"&amp;EN$2&amp;"+"&amp;BH191&amp;EN$1)</f>
        <v/>
      </c>
      <c r="EO191" s="43" t="str">
        <f t="shared" ref="EO191:EO198" si="3122">IF(BI191="","","|n"&amp;EO$2&amp;"+"&amp;BI191&amp;EO$1)</f>
        <v/>
      </c>
      <c r="EP191" s="43" t="str">
        <f t="shared" ref="EP191:EP198" si="3123">IF(BJ191="","","|n"&amp;EP$2&amp;"+"&amp;BJ191&amp;EP$1)</f>
        <v/>
      </c>
      <c r="EQ191" s="43" t="str">
        <f t="shared" ref="EQ191:EQ198" si="3124">IF(BK191="","","|n"&amp;EQ$2&amp;"+"&amp;BK191&amp;EQ$1)</f>
        <v/>
      </c>
      <c r="ER191" s="43" t="str">
        <f t="shared" ref="ER191:ER198" si="3125">IF(BL191="","","|n"&amp;ER$2&amp;"+"&amp;BL191&amp;ER$1)</f>
        <v/>
      </c>
      <c r="ES191" s="43" t="str">
        <f t="shared" ref="ES191:ES198" si="3126">IF(BM191="","","|n"&amp;ES$2&amp;"+"&amp;BM191&amp;ES$1)</f>
        <v/>
      </c>
      <c r="ET191" s="43" t="str">
        <f t="shared" ref="ET191:ET198" si="3127">IF(BN191="","","|n"&amp;ET$2&amp;"+"&amp;BN191&amp;ET$1)</f>
        <v/>
      </c>
      <c r="EU191" s="43" t="str">
        <f t="shared" ref="EU191:EU198" si="3128">IF(BO191="","","|n"&amp;EU$2&amp;"+"&amp;BO191&amp;EU$1)</f>
        <v/>
      </c>
      <c r="EV191" s="43" t="str">
        <f t="shared" ref="EV191:EV198" si="3129">IF(BP191="","","|n"&amp;EV$2&amp;"+"&amp;BP191&amp;EV$1)</f>
        <v/>
      </c>
      <c r="EW191" s="43" t="str">
        <f t="shared" ref="EW191:EW198" si="3130">IF(BQ191="","","|n"&amp;EW$2&amp;"+"&amp;BQ191&amp;EW$1)</f>
        <v/>
      </c>
      <c r="EX191" s="43" t="str">
        <f t="shared" ref="EX191:EX198" si="3131">IF(BR191="","","|n"&amp;EX$2&amp;"+"&amp;BR191&amp;EX$1)</f>
        <v/>
      </c>
      <c r="EY191" s="43" t="str">
        <f t="shared" ref="EY191:EY198" si="3132">IF(BS191="","","|n"&amp;EY$2&amp;"+"&amp;BS191&amp;EY$1)</f>
        <v/>
      </c>
      <c r="EZ191" s="43" t="str">
        <f t="shared" ref="EZ191:EZ198" si="3133">IF(BT191="","","|n"&amp;EZ$2&amp;"+"&amp;BT191&amp;EZ$1)</f>
        <v/>
      </c>
      <c r="FA191" s="43" t="str">
        <f t="shared" ref="FA191:FA198" si="3134">IF(BU191="","","|n"&amp;FA$2&amp;"+"&amp;BU191&amp;FA$1)</f>
        <v/>
      </c>
      <c r="FB191" s="43" t="str">
        <f t="shared" ref="FB191:FB198" si="3135">IF(BV191="","","|n"&amp;FB$2&amp;"+"&amp;BV191&amp;FB$1)</f>
        <v/>
      </c>
      <c r="FC191" s="43" t="str">
        <f t="shared" ref="FC191:FC198" si="3136">IF(BW191="","","|n"&amp;FC$2&amp;"+"&amp;BW191&amp;FC$1)</f>
        <v/>
      </c>
      <c r="FD191" s="43" t="str">
        <f t="shared" ref="FD191:FD198" si="3137">IF(BX191="","","|n"&amp;FD$2&amp;"+"&amp;BX191&amp;FD$1)</f>
        <v/>
      </c>
      <c r="FE191" s="43" t="str">
        <f t="shared" ref="FE191:FE198" si="3138">IF(BY191="","","|n"&amp;FE$2&amp;"+"&amp;BY191&amp;FE$1)</f>
        <v/>
      </c>
      <c r="FF191" s="43" t="str">
        <f t="shared" ref="FF191:FF198" si="3139">IF(BZ191="","","|n"&amp;FF$2&amp;"+"&amp;BZ191&amp;FF$1)</f>
        <v/>
      </c>
      <c r="FG191" s="43" t="str">
        <f t="shared" ref="FG191:FG198" si="3140">IF(CA191="","","|n"&amp;FG$2&amp;"+"&amp;CA191&amp;FG$1)</f>
        <v/>
      </c>
      <c r="FH191" s="43" t="str">
        <f t="shared" ref="FH191:FH198" si="3141">IF(CB191="","","|n"&amp;FH$2&amp;"+"&amp;CB191&amp;FH$1)</f>
        <v/>
      </c>
      <c r="FI191" s="43" t="str">
        <f t="shared" ref="FI191:FI198" si="3142">IF(CC191="","","|n"&amp;FI$2&amp;"+"&amp;CC191&amp;FI$1)</f>
        <v/>
      </c>
      <c r="FJ191" s="43" t="str">
        <f t="shared" ref="FJ191:FJ198" si="3143">IF(CD191="","","|n"&amp;FJ$2&amp;"+"&amp;CD191&amp;FJ$1)</f>
        <v/>
      </c>
      <c r="FK191" s="43" t="str">
        <f t="shared" ref="FK191:FK198" si="3144">IF(CE191="","","|n"&amp;FK$2&amp;"+"&amp;CE191&amp;FK$1)</f>
        <v/>
      </c>
      <c r="FL191" s="43" t="str">
        <f t="shared" ref="FL191:FL198" si="3145">IF(CF191="","","|n"&amp;FL$2&amp;"+"&amp;CF191&amp;FL$1)</f>
        <v/>
      </c>
      <c r="FM191" s="43" t="str">
        <f t="shared" ref="FM191:FM198" si="3146">IF(CG191="","","|n"&amp;FM$2&amp;"+"&amp;CG191&amp;FM$1)</f>
        <v/>
      </c>
      <c r="FN191" s="43" t="str">
        <f t="shared" ref="FN191:FN198" si="3147">IF(CH191="","","|n"&amp;FN$2&amp;"+"&amp;CH191&amp;FN$1)</f>
        <v/>
      </c>
      <c r="FO191" s="43" t="str">
        <f t="shared" ref="FO191:FO198" si="3148">IF(CI191="","","|n"&amp;FO$2&amp;"+"&amp;CI191&amp;FO$1)</f>
        <v/>
      </c>
      <c r="FP191" s="43" t="str">
        <f t="shared" ref="FP191:FP198" si="3149">IF(CJ191="","","|n"&amp;FP$2&amp;"+"&amp;CJ191&amp;FP$1)</f>
        <v/>
      </c>
      <c r="FQ191" s="43" t="str">
        <f t="shared" ref="FQ191:FQ198" si="3150">IF(CK191="","","|n"&amp;FQ$2&amp;"+"&amp;CK191&amp;FQ$1)</f>
        <v/>
      </c>
      <c r="FR191" s="43" t="str">
        <f t="shared" ref="FR191:FR198" si="3151">IF(CL191="","","|n"&amp;FR$2&amp;"+"&amp;CL191&amp;FR$1)</f>
        <v/>
      </c>
      <c r="FS191" s="43" t="str">
        <f t="shared" ref="FS191:FS198" si="3152">IF(CM191="","","|n"&amp;FS$2&amp;"+"&amp;CM191&amp;FS$1)</f>
        <v/>
      </c>
    </row>
    <row r="192" ht="14.4" spans="1:175">
      <c r="A192" s="88"/>
      <c r="B192" s="7" t="s">
        <v>626</v>
      </c>
      <c r="C192" s="89" t="str">
        <f t="shared" ref="C192:C199" si="3153">"已领取"&amp;C183</f>
        <v>已领取入群礼包</v>
      </c>
      <c r="T192" s="89" t="s">
        <v>627</v>
      </c>
      <c r="U192" s="59" t="str">
        <f t="shared" si="3080"/>
        <v>ReplaceableTextures\\CommandButtons\\BTNIB52.blp</v>
      </c>
      <c r="CN192" s="12" t="str">
        <f t="shared" ref="CN192:CN199" si="3154">"InitUnitState('"&amp;B192&amp;"',"&amp;V192&amp;","&amp;W192&amp;","&amp;X192&amp;","&amp;Y192&amp;","&amp;Z192&amp;","&amp;AA192&amp;","&amp;AB192&amp;","&amp;AC192&amp;","&amp;AD192&amp;","&amp;AE192&amp;")"</f>
        <v>InitUnitState('IB52',,,,,,,,,,)</v>
      </c>
      <c r="CO192" s="12" t="str">
        <f t="shared" ref="CO192:CO199" si="3155">"InitUnitNormal('"&amp;B192&amp;"',"&amp;AF192&amp;","&amp;AG192&amp;","&amp;AH192&amp;","&amp;AI192&amp;","&amp;AJ192&amp;","&amp;AK192&amp;","&amp;AL192&amp;","&amp;AM192&amp;","&amp;AN192&amp;","&amp;AO192&amp;")"</f>
        <v>InitUnitNormal('IB52',,,,,,,,,,)</v>
      </c>
      <c r="CP192" s="12" t="str">
        <f t="shared" ref="CP192:CP199" si="3156">"InitUnitMagic('"&amp;B192&amp;"',"&amp;AP192&amp;","&amp;AQ192&amp;","&amp;AR192&amp;","&amp;AS192&amp;","&amp;AT192&amp;","&amp;AU192&amp;","&amp;AV192&amp;","&amp;AW192&amp;","&amp;BI192&amp;","&amp;BJ192&amp;")"</f>
        <v>InitUnitMagic('IB52',,,,,,,,,,)</v>
      </c>
      <c r="CQ192" s="12" t="str">
        <f t="shared" ref="CQ192:CQ199" si="3157">"InitUnitAdd('"&amp;B192&amp;"',"&amp;BK192&amp;","&amp;BL192&amp;","&amp;BM192&amp;","&amp;BN192&amp;","&amp;BO192&amp;","&amp;BP192&amp;","&amp;BQ192&amp;","&amp;BR192&amp;","&amp;BS192&amp;","&amp;BT192&amp;")"</f>
        <v>InitUnitAdd('IB52',,,,,,,,,,)</v>
      </c>
      <c r="CR192" s="12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InitEquipData('IB52',,"",,,,,'','','','','','',"ReplaceableTextures\\CommandButtons\\BTNIB53.blp")</v>
      </c>
      <c r="CU192" s="71" t="str">
        <f t="shared" si="3081"/>
        <v>|n</v>
      </c>
      <c r="CV192" s="5" t="str">
        <f t="shared" si="3082"/>
        <v>已领取入群礼包</v>
      </c>
      <c r="CW192" s="6"/>
      <c r="CX192" s="6"/>
      <c r="CY192" s="6"/>
      <c r="CZ192" s="6"/>
      <c r="DA192" s="6"/>
      <c r="DB192" s="43" t="str">
        <f t="shared" si="3083"/>
        <v/>
      </c>
      <c r="DC192" s="43" t="str">
        <f t="shared" si="3084"/>
        <v/>
      </c>
      <c r="DD192" s="43" t="str">
        <f t="shared" si="3085"/>
        <v/>
      </c>
      <c r="DE192" s="43" t="str">
        <f t="shared" si="3086"/>
        <v/>
      </c>
      <c r="DF192" s="43" t="str">
        <f t="shared" si="3087"/>
        <v/>
      </c>
      <c r="DG192" s="43" t="str">
        <f t="shared" si="3088"/>
        <v/>
      </c>
      <c r="DH192" s="43" t="str">
        <f t="shared" si="3089"/>
        <v/>
      </c>
      <c r="DI192" s="43" t="str">
        <f t="shared" si="3090"/>
        <v/>
      </c>
      <c r="DJ192" s="43" t="str">
        <f t="shared" si="3091"/>
        <v/>
      </c>
      <c r="DK192" s="43" t="str">
        <f t="shared" si="3092"/>
        <v/>
      </c>
      <c r="DL192" s="43" t="str">
        <f t="shared" si="3093"/>
        <v/>
      </c>
      <c r="DM192" s="43" t="str">
        <f t="shared" si="3094"/>
        <v/>
      </c>
      <c r="DN192" s="43" t="str">
        <f t="shared" si="3095"/>
        <v/>
      </c>
      <c r="DO192" s="43" t="str">
        <f t="shared" si="3096"/>
        <v/>
      </c>
      <c r="DP192" s="43" t="str">
        <f t="shared" si="3097"/>
        <v/>
      </c>
      <c r="DQ192" s="43" t="str">
        <f t="shared" si="3098"/>
        <v/>
      </c>
      <c r="DR192" s="43" t="str">
        <f t="shared" si="3099"/>
        <v/>
      </c>
      <c r="DS192" s="43" t="str">
        <f t="shared" si="3100"/>
        <v/>
      </c>
      <c r="DT192" s="43" t="str">
        <f t="shared" si="3101"/>
        <v/>
      </c>
      <c r="DU192" s="43" t="str">
        <f t="shared" si="3102"/>
        <v/>
      </c>
      <c r="DV192" s="43" t="str">
        <f t="shared" si="3103"/>
        <v/>
      </c>
      <c r="DW192" s="43" t="str">
        <f t="shared" si="3104"/>
        <v/>
      </c>
      <c r="DX192" s="43" t="str">
        <f t="shared" si="3105"/>
        <v/>
      </c>
      <c r="DY192" s="43" t="str">
        <f t="shared" si="3106"/>
        <v/>
      </c>
      <c r="DZ192" s="43" t="str">
        <f t="shared" si="3107"/>
        <v/>
      </c>
      <c r="EA192" s="43" t="str">
        <f t="shared" si="3108"/>
        <v/>
      </c>
      <c r="EB192" s="43" t="str">
        <f t="shared" si="3109"/>
        <v/>
      </c>
      <c r="EC192" s="43" t="str">
        <f t="shared" si="3110"/>
        <v/>
      </c>
      <c r="ED192" s="43" t="str">
        <f t="shared" si="3111"/>
        <v/>
      </c>
      <c r="EE192" s="43" t="str">
        <f t="shared" si="3112"/>
        <v/>
      </c>
      <c r="EF192" s="43" t="str">
        <f t="shared" si="3113"/>
        <v/>
      </c>
      <c r="EG192" s="43" t="str">
        <f t="shared" si="3114"/>
        <v/>
      </c>
      <c r="EH192" s="43" t="str">
        <f t="shared" si="3115"/>
        <v/>
      </c>
      <c r="EI192" s="43" t="str">
        <f t="shared" si="3116"/>
        <v/>
      </c>
      <c r="EJ192" s="43" t="str">
        <f t="shared" si="3117"/>
        <v/>
      </c>
      <c r="EK192" s="43" t="str">
        <f t="shared" si="3118"/>
        <v/>
      </c>
      <c r="EL192" s="43" t="str">
        <f t="shared" si="3119"/>
        <v/>
      </c>
      <c r="EM192" s="43" t="str">
        <f t="shared" si="3120"/>
        <v/>
      </c>
      <c r="EN192" s="43" t="str">
        <f t="shared" si="3121"/>
        <v/>
      </c>
      <c r="EO192" s="43" t="str">
        <f t="shared" si="3122"/>
        <v/>
      </c>
      <c r="EP192" s="43" t="str">
        <f t="shared" si="3123"/>
        <v/>
      </c>
      <c r="EQ192" s="43" t="str">
        <f t="shared" si="3124"/>
        <v/>
      </c>
      <c r="ER192" s="43" t="str">
        <f t="shared" si="3125"/>
        <v/>
      </c>
      <c r="ES192" s="43" t="str">
        <f t="shared" si="3126"/>
        <v/>
      </c>
      <c r="ET192" s="43" t="str">
        <f t="shared" si="3127"/>
        <v/>
      </c>
      <c r="EU192" s="43" t="str">
        <f t="shared" si="3128"/>
        <v/>
      </c>
      <c r="EV192" s="43" t="str">
        <f t="shared" si="3129"/>
        <v/>
      </c>
      <c r="EW192" s="43" t="str">
        <f t="shared" si="3130"/>
        <v/>
      </c>
      <c r="EX192" s="43" t="str">
        <f t="shared" si="3131"/>
        <v/>
      </c>
      <c r="EY192" s="43" t="str">
        <f t="shared" si="3132"/>
        <v/>
      </c>
      <c r="EZ192" s="43" t="str">
        <f t="shared" si="3133"/>
        <v/>
      </c>
      <c r="FA192" s="43" t="str">
        <f t="shared" si="3134"/>
        <v/>
      </c>
      <c r="FB192" s="43" t="str">
        <f t="shared" si="3135"/>
        <v/>
      </c>
      <c r="FC192" s="43" t="str">
        <f t="shared" si="3136"/>
        <v/>
      </c>
      <c r="FD192" s="43" t="str">
        <f t="shared" si="3137"/>
        <v/>
      </c>
      <c r="FE192" s="43" t="str">
        <f t="shared" si="3138"/>
        <v/>
      </c>
      <c r="FF192" s="43" t="str">
        <f t="shared" si="3139"/>
        <v/>
      </c>
      <c r="FG192" s="43" t="str">
        <f t="shared" si="3140"/>
        <v/>
      </c>
      <c r="FH192" s="43" t="str">
        <f t="shared" si="3141"/>
        <v/>
      </c>
      <c r="FI192" s="43" t="str">
        <f t="shared" si="3142"/>
        <v/>
      </c>
      <c r="FJ192" s="43" t="str">
        <f t="shared" si="3143"/>
        <v/>
      </c>
      <c r="FK192" s="43" t="str">
        <f t="shared" si="3144"/>
        <v/>
      </c>
      <c r="FL192" s="43" t="str">
        <f t="shared" si="3145"/>
        <v/>
      </c>
      <c r="FM192" s="43" t="str">
        <f t="shared" si="3146"/>
        <v/>
      </c>
      <c r="FN192" s="43" t="str">
        <f t="shared" si="3147"/>
        <v/>
      </c>
      <c r="FO192" s="43" t="str">
        <f t="shared" si="3148"/>
        <v/>
      </c>
      <c r="FP192" s="43" t="str">
        <f t="shared" si="3149"/>
        <v/>
      </c>
      <c r="FQ192" s="43" t="str">
        <f t="shared" si="3150"/>
        <v/>
      </c>
      <c r="FR192" s="43" t="str">
        <f t="shared" si="3151"/>
        <v/>
      </c>
      <c r="FS192" s="43" t="str">
        <f t="shared" si="3152"/>
        <v/>
      </c>
    </row>
    <row r="193" ht="14.4" spans="1:175">
      <c r="A193" s="88"/>
      <c r="B193" s="7" t="s">
        <v>628</v>
      </c>
      <c r="C193" s="89" t="str">
        <f t="shared" si="3153"/>
        <v>已领取拜年礼包</v>
      </c>
      <c r="T193" s="89" t="s">
        <v>629</v>
      </c>
      <c r="U193" s="59" t="str">
        <f t="shared" si="3080"/>
        <v>ReplaceableTextures\\CommandButtons\\BTNIB53.blp</v>
      </c>
      <c r="CN193" s="12" t="str">
        <f t="shared" si="3154"/>
        <v>InitUnitState('IB53',,,,,,,,,,)</v>
      </c>
      <c r="CO193" s="12" t="str">
        <f t="shared" si="3155"/>
        <v>InitUnitNormal('IB53',,,,,,,,,,)</v>
      </c>
      <c r="CP193" s="12" t="str">
        <f t="shared" si="3156"/>
        <v>InitUnitMagic('IB53',,,,,,,,,,)</v>
      </c>
      <c r="CQ193" s="12" t="str">
        <f t="shared" si="3157"/>
        <v>InitUnitAdd('IB53',,,,,,,,,,)</v>
      </c>
      <c r="CR193" s="12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InitEquipData('IB53',,"",,,,,'','','','','','',"ReplaceableTextures\\CommandButtons\\BTNIB54.blp")</v>
      </c>
      <c r="CU193" s="71" t="str">
        <f t="shared" si="3081"/>
        <v>|n</v>
      </c>
      <c r="CV193" s="5" t="str">
        <f t="shared" si="3082"/>
        <v>已领取拜年礼包</v>
      </c>
      <c r="CW193" s="6"/>
      <c r="CX193" s="6"/>
      <c r="CY193" s="6"/>
      <c r="CZ193" s="6"/>
      <c r="DA193" s="6"/>
      <c r="DB193" s="43" t="str">
        <f t="shared" si="3083"/>
        <v/>
      </c>
      <c r="DC193" s="43" t="str">
        <f t="shared" si="3084"/>
        <v/>
      </c>
      <c r="DD193" s="43" t="str">
        <f t="shared" si="3085"/>
        <v/>
      </c>
      <c r="DE193" s="43" t="str">
        <f t="shared" si="3086"/>
        <v/>
      </c>
      <c r="DF193" s="43" t="str">
        <f t="shared" si="3087"/>
        <v/>
      </c>
      <c r="DG193" s="43" t="str">
        <f t="shared" si="3088"/>
        <v/>
      </c>
      <c r="DH193" s="43" t="str">
        <f t="shared" si="3089"/>
        <v/>
      </c>
      <c r="DI193" s="43" t="str">
        <f t="shared" si="3090"/>
        <v/>
      </c>
      <c r="DJ193" s="43" t="str">
        <f t="shared" si="3091"/>
        <v/>
      </c>
      <c r="DK193" s="43" t="str">
        <f t="shared" si="3092"/>
        <v/>
      </c>
      <c r="DL193" s="43" t="str">
        <f t="shared" si="3093"/>
        <v/>
      </c>
      <c r="DM193" s="43" t="str">
        <f t="shared" si="3094"/>
        <v/>
      </c>
      <c r="DN193" s="43" t="str">
        <f t="shared" si="3095"/>
        <v/>
      </c>
      <c r="DO193" s="43" t="str">
        <f t="shared" si="3096"/>
        <v/>
      </c>
      <c r="DP193" s="43" t="str">
        <f t="shared" si="3097"/>
        <v/>
      </c>
      <c r="DQ193" s="43" t="str">
        <f t="shared" si="3098"/>
        <v/>
      </c>
      <c r="DR193" s="43" t="str">
        <f t="shared" si="3099"/>
        <v/>
      </c>
      <c r="DS193" s="43" t="str">
        <f t="shared" si="3100"/>
        <v/>
      </c>
      <c r="DT193" s="43" t="str">
        <f t="shared" si="3101"/>
        <v/>
      </c>
      <c r="DU193" s="43" t="str">
        <f t="shared" si="3102"/>
        <v/>
      </c>
      <c r="DV193" s="43" t="str">
        <f t="shared" si="3103"/>
        <v/>
      </c>
      <c r="DW193" s="43" t="str">
        <f t="shared" si="3104"/>
        <v/>
      </c>
      <c r="DX193" s="43" t="str">
        <f t="shared" si="3105"/>
        <v/>
      </c>
      <c r="DY193" s="43" t="str">
        <f t="shared" si="3106"/>
        <v/>
      </c>
      <c r="DZ193" s="43" t="str">
        <f t="shared" si="3107"/>
        <v/>
      </c>
      <c r="EA193" s="43" t="str">
        <f t="shared" si="3108"/>
        <v/>
      </c>
      <c r="EB193" s="43" t="str">
        <f t="shared" si="3109"/>
        <v/>
      </c>
      <c r="EC193" s="43" t="str">
        <f t="shared" si="3110"/>
        <v/>
      </c>
      <c r="ED193" s="43" t="str">
        <f t="shared" si="3111"/>
        <v/>
      </c>
      <c r="EE193" s="43" t="str">
        <f t="shared" si="3112"/>
        <v/>
      </c>
      <c r="EF193" s="43" t="str">
        <f t="shared" si="3113"/>
        <v/>
      </c>
      <c r="EG193" s="43" t="str">
        <f t="shared" si="3114"/>
        <v/>
      </c>
      <c r="EH193" s="43" t="str">
        <f t="shared" si="3115"/>
        <v/>
      </c>
      <c r="EI193" s="43" t="str">
        <f t="shared" si="3116"/>
        <v/>
      </c>
      <c r="EJ193" s="43" t="str">
        <f t="shared" si="3117"/>
        <v/>
      </c>
      <c r="EK193" s="43" t="str">
        <f t="shared" si="3118"/>
        <v/>
      </c>
      <c r="EL193" s="43" t="str">
        <f t="shared" si="3119"/>
        <v/>
      </c>
      <c r="EM193" s="43" t="str">
        <f t="shared" si="3120"/>
        <v/>
      </c>
      <c r="EN193" s="43" t="str">
        <f t="shared" si="3121"/>
        <v/>
      </c>
      <c r="EO193" s="43" t="str">
        <f t="shared" si="3122"/>
        <v/>
      </c>
      <c r="EP193" s="43" t="str">
        <f t="shared" si="3123"/>
        <v/>
      </c>
      <c r="EQ193" s="43" t="str">
        <f t="shared" si="3124"/>
        <v/>
      </c>
      <c r="ER193" s="43" t="str">
        <f t="shared" si="3125"/>
        <v/>
      </c>
      <c r="ES193" s="43" t="str">
        <f t="shared" si="3126"/>
        <v/>
      </c>
      <c r="ET193" s="43" t="str">
        <f t="shared" si="3127"/>
        <v/>
      </c>
      <c r="EU193" s="43" t="str">
        <f t="shared" si="3128"/>
        <v/>
      </c>
      <c r="EV193" s="43" t="str">
        <f t="shared" si="3129"/>
        <v/>
      </c>
      <c r="EW193" s="43" t="str">
        <f t="shared" si="3130"/>
        <v/>
      </c>
      <c r="EX193" s="43" t="str">
        <f t="shared" si="3131"/>
        <v/>
      </c>
      <c r="EY193" s="43" t="str">
        <f t="shared" si="3132"/>
        <v/>
      </c>
      <c r="EZ193" s="43" t="str">
        <f t="shared" si="3133"/>
        <v/>
      </c>
      <c r="FA193" s="43" t="str">
        <f t="shared" si="3134"/>
        <v/>
      </c>
      <c r="FB193" s="43" t="str">
        <f t="shared" si="3135"/>
        <v/>
      </c>
      <c r="FC193" s="43" t="str">
        <f t="shared" si="3136"/>
        <v/>
      </c>
      <c r="FD193" s="43" t="str">
        <f t="shared" si="3137"/>
        <v/>
      </c>
      <c r="FE193" s="43" t="str">
        <f t="shared" si="3138"/>
        <v/>
      </c>
      <c r="FF193" s="43" t="str">
        <f t="shared" si="3139"/>
        <v/>
      </c>
      <c r="FG193" s="43" t="str">
        <f t="shared" si="3140"/>
        <v/>
      </c>
      <c r="FH193" s="43" t="str">
        <f t="shared" si="3141"/>
        <v/>
      </c>
      <c r="FI193" s="43" t="str">
        <f t="shared" si="3142"/>
        <v/>
      </c>
      <c r="FJ193" s="43" t="str">
        <f t="shared" si="3143"/>
        <v/>
      </c>
      <c r="FK193" s="43" t="str">
        <f t="shared" si="3144"/>
        <v/>
      </c>
      <c r="FL193" s="43" t="str">
        <f t="shared" si="3145"/>
        <v/>
      </c>
      <c r="FM193" s="43" t="str">
        <f t="shared" si="3146"/>
        <v/>
      </c>
      <c r="FN193" s="43" t="str">
        <f t="shared" si="3147"/>
        <v/>
      </c>
      <c r="FO193" s="43" t="str">
        <f t="shared" si="3148"/>
        <v/>
      </c>
      <c r="FP193" s="43" t="str">
        <f t="shared" si="3149"/>
        <v/>
      </c>
      <c r="FQ193" s="43" t="str">
        <f t="shared" si="3150"/>
        <v/>
      </c>
      <c r="FR193" s="43" t="str">
        <f t="shared" si="3151"/>
        <v/>
      </c>
      <c r="FS193" s="43" t="str">
        <f t="shared" si="3152"/>
        <v/>
      </c>
    </row>
    <row r="194" ht="14.4" spans="1:175">
      <c r="A194" s="88"/>
      <c r="B194" s="7" t="s">
        <v>630</v>
      </c>
      <c r="C194" s="89" t="str">
        <f t="shared" si="3153"/>
        <v>已领取收藏礼包</v>
      </c>
      <c r="T194" s="89" t="s">
        <v>631</v>
      </c>
      <c r="U194" s="59" t="str">
        <f t="shared" si="3080"/>
        <v>ReplaceableTextures\\CommandButtons\\BTNIB54.blp</v>
      </c>
      <c r="CN194" s="12" t="str">
        <f t="shared" si="3154"/>
        <v>InitUnitState('IB54',,,,,,,,,,)</v>
      </c>
      <c r="CO194" s="12" t="str">
        <f t="shared" si="3155"/>
        <v>InitUnitNormal('IB54',,,,,,,,,,)</v>
      </c>
      <c r="CP194" s="12" t="str">
        <f t="shared" si="3156"/>
        <v>InitUnitMagic('IB54',,,,,,,,,,)</v>
      </c>
      <c r="CQ194" s="12" t="str">
        <f t="shared" si="3157"/>
        <v>InitUnitAdd('IB54',,,,,,,,,,)</v>
      </c>
      <c r="CR194" s="12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InitEquipData('IB54',,"",,,,,'','','','','','',"ReplaceableTextures\\CommandButtons\\BTNIB55.blp")</v>
      </c>
      <c r="CU194" s="71" t="str">
        <f t="shared" si="3081"/>
        <v>|n</v>
      </c>
      <c r="CV194" s="5" t="str">
        <f t="shared" si="3082"/>
        <v>已领取收藏礼包</v>
      </c>
      <c r="CW194" s="6"/>
      <c r="CX194" s="6"/>
      <c r="CY194" s="6"/>
      <c r="CZ194" s="6"/>
      <c r="DA194" s="6"/>
      <c r="DB194" s="43" t="str">
        <f t="shared" si="3083"/>
        <v/>
      </c>
      <c r="DC194" s="43" t="str">
        <f t="shared" si="3084"/>
        <v/>
      </c>
      <c r="DD194" s="43" t="str">
        <f t="shared" si="3085"/>
        <v/>
      </c>
      <c r="DE194" s="43" t="str">
        <f t="shared" si="3086"/>
        <v/>
      </c>
      <c r="DF194" s="43" t="str">
        <f t="shared" si="3087"/>
        <v/>
      </c>
      <c r="DG194" s="43" t="str">
        <f t="shared" si="3088"/>
        <v/>
      </c>
      <c r="DH194" s="43" t="str">
        <f t="shared" si="3089"/>
        <v/>
      </c>
      <c r="DI194" s="43" t="str">
        <f t="shared" si="3090"/>
        <v/>
      </c>
      <c r="DJ194" s="43" t="str">
        <f t="shared" si="3091"/>
        <v/>
      </c>
      <c r="DK194" s="43" t="str">
        <f t="shared" si="3092"/>
        <v/>
      </c>
      <c r="DL194" s="43" t="str">
        <f t="shared" si="3093"/>
        <v/>
      </c>
      <c r="DM194" s="43" t="str">
        <f t="shared" si="3094"/>
        <v/>
      </c>
      <c r="DN194" s="43" t="str">
        <f t="shared" si="3095"/>
        <v/>
      </c>
      <c r="DO194" s="43" t="str">
        <f t="shared" si="3096"/>
        <v/>
      </c>
      <c r="DP194" s="43" t="str">
        <f t="shared" si="3097"/>
        <v/>
      </c>
      <c r="DQ194" s="43" t="str">
        <f t="shared" si="3098"/>
        <v/>
      </c>
      <c r="DR194" s="43" t="str">
        <f t="shared" si="3099"/>
        <v/>
      </c>
      <c r="DS194" s="43" t="str">
        <f t="shared" si="3100"/>
        <v/>
      </c>
      <c r="DT194" s="43" t="str">
        <f t="shared" si="3101"/>
        <v/>
      </c>
      <c r="DU194" s="43" t="str">
        <f t="shared" si="3102"/>
        <v/>
      </c>
      <c r="DV194" s="43" t="str">
        <f t="shared" si="3103"/>
        <v/>
      </c>
      <c r="DW194" s="43" t="str">
        <f t="shared" si="3104"/>
        <v/>
      </c>
      <c r="DX194" s="43" t="str">
        <f t="shared" si="3105"/>
        <v/>
      </c>
      <c r="DY194" s="43" t="str">
        <f t="shared" si="3106"/>
        <v/>
      </c>
      <c r="DZ194" s="43" t="str">
        <f t="shared" si="3107"/>
        <v/>
      </c>
      <c r="EA194" s="43" t="str">
        <f t="shared" si="3108"/>
        <v/>
      </c>
      <c r="EB194" s="43" t="str">
        <f t="shared" si="3109"/>
        <v/>
      </c>
      <c r="EC194" s="43" t="str">
        <f t="shared" si="3110"/>
        <v/>
      </c>
      <c r="ED194" s="43" t="str">
        <f t="shared" si="3111"/>
        <v/>
      </c>
      <c r="EE194" s="43" t="str">
        <f t="shared" si="3112"/>
        <v/>
      </c>
      <c r="EF194" s="43" t="str">
        <f t="shared" si="3113"/>
        <v/>
      </c>
      <c r="EG194" s="43" t="str">
        <f t="shared" si="3114"/>
        <v/>
      </c>
      <c r="EH194" s="43" t="str">
        <f t="shared" si="3115"/>
        <v/>
      </c>
      <c r="EI194" s="43" t="str">
        <f t="shared" si="3116"/>
        <v/>
      </c>
      <c r="EJ194" s="43" t="str">
        <f t="shared" si="3117"/>
        <v/>
      </c>
      <c r="EK194" s="43" t="str">
        <f t="shared" si="3118"/>
        <v/>
      </c>
      <c r="EL194" s="43" t="str">
        <f t="shared" si="3119"/>
        <v/>
      </c>
      <c r="EM194" s="43" t="str">
        <f t="shared" si="3120"/>
        <v/>
      </c>
      <c r="EN194" s="43" t="str">
        <f t="shared" si="3121"/>
        <v/>
      </c>
      <c r="EO194" s="43" t="str">
        <f t="shared" si="3122"/>
        <v/>
      </c>
      <c r="EP194" s="43" t="str">
        <f t="shared" si="3123"/>
        <v/>
      </c>
      <c r="EQ194" s="43" t="str">
        <f t="shared" si="3124"/>
        <v/>
      </c>
      <c r="ER194" s="43" t="str">
        <f t="shared" si="3125"/>
        <v/>
      </c>
      <c r="ES194" s="43" t="str">
        <f t="shared" si="3126"/>
        <v/>
      </c>
      <c r="ET194" s="43" t="str">
        <f t="shared" si="3127"/>
        <v/>
      </c>
      <c r="EU194" s="43" t="str">
        <f t="shared" si="3128"/>
        <v/>
      </c>
      <c r="EV194" s="43" t="str">
        <f t="shared" si="3129"/>
        <v/>
      </c>
      <c r="EW194" s="43" t="str">
        <f t="shared" si="3130"/>
        <v/>
      </c>
      <c r="EX194" s="43" t="str">
        <f t="shared" si="3131"/>
        <v/>
      </c>
      <c r="EY194" s="43" t="str">
        <f t="shared" si="3132"/>
        <v/>
      </c>
      <c r="EZ194" s="43" t="str">
        <f t="shared" si="3133"/>
        <v/>
      </c>
      <c r="FA194" s="43" t="str">
        <f t="shared" si="3134"/>
        <v/>
      </c>
      <c r="FB194" s="43" t="str">
        <f t="shared" si="3135"/>
        <v/>
      </c>
      <c r="FC194" s="43" t="str">
        <f t="shared" si="3136"/>
        <v/>
      </c>
      <c r="FD194" s="43" t="str">
        <f t="shared" si="3137"/>
        <v/>
      </c>
      <c r="FE194" s="43" t="str">
        <f t="shared" si="3138"/>
        <v/>
      </c>
      <c r="FF194" s="43" t="str">
        <f t="shared" si="3139"/>
        <v/>
      </c>
      <c r="FG194" s="43" t="str">
        <f t="shared" si="3140"/>
        <v/>
      </c>
      <c r="FH194" s="43" t="str">
        <f t="shared" si="3141"/>
        <v/>
      </c>
      <c r="FI194" s="43" t="str">
        <f t="shared" si="3142"/>
        <v/>
      </c>
      <c r="FJ194" s="43" t="str">
        <f t="shared" si="3143"/>
        <v/>
      </c>
      <c r="FK194" s="43" t="str">
        <f t="shared" si="3144"/>
        <v/>
      </c>
      <c r="FL194" s="43" t="str">
        <f t="shared" si="3145"/>
        <v/>
      </c>
      <c r="FM194" s="43" t="str">
        <f t="shared" si="3146"/>
        <v/>
      </c>
      <c r="FN194" s="43" t="str">
        <f t="shared" si="3147"/>
        <v/>
      </c>
      <c r="FO194" s="43" t="str">
        <f t="shared" si="3148"/>
        <v/>
      </c>
      <c r="FP194" s="43" t="str">
        <f t="shared" si="3149"/>
        <v/>
      </c>
      <c r="FQ194" s="43" t="str">
        <f t="shared" si="3150"/>
        <v/>
      </c>
      <c r="FR194" s="43" t="str">
        <f t="shared" si="3151"/>
        <v/>
      </c>
      <c r="FS194" s="43" t="str">
        <f t="shared" si="3152"/>
        <v/>
      </c>
    </row>
    <row r="195" ht="14.4" spans="1:175">
      <c r="A195" s="88"/>
      <c r="B195" s="7" t="s">
        <v>632</v>
      </c>
      <c r="C195" s="89" t="str">
        <f t="shared" si="3153"/>
        <v>已领取重置版礼包</v>
      </c>
      <c r="T195" s="89" t="s">
        <v>633</v>
      </c>
      <c r="U195" s="59" t="str">
        <f t="shared" si="3080"/>
        <v>ReplaceableTextures\\CommandButtons\\BTNIB55.blp</v>
      </c>
      <c r="CN195" s="12" t="str">
        <f t="shared" si="3154"/>
        <v>InitUnitState('IB55',,,,,,,,,,)</v>
      </c>
      <c r="CO195" s="12" t="str">
        <f t="shared" si="3155"/>
        <v>InitUnitNormal('IB55',,,,,,,,,,)</v>
      </c>
      <c r="CP195" s="12" t="str">
        <f t="shared" si="3156"/>
        <v>InitUnitMagic('IB55',,,,,,,,,,)</v>
      </c>
      <c r="CQ195" s="12" t="str">
        <f t="shared" si="3157"/>
        <v>InitUnitAdd('IB55',,,,,,,,,,)</v>
      </c>
      <c r="CR195" s="12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213&amp;CR$1&amp;")"</f>
        <v>InitEquipData('IB55',,"",,,,,'','','','','','',"")</v>
      </c>
      <c r="CU195" s="71" t="str">
        <f t="shared" si="3081"/>
        <v>|n</v>
      </c>
      <c r="CV195" s="5" t="str">
        <f t="shared" si="3082"/>
        <v>已领取重置版礼包</v>
      </c>
      <c r="CW195" s="6"/>
      <c r="CX195" s="6"/>
      <c r="CY195" s="6"/>
      <c r="CZ195" s="6"/>
      <c r="DA195" s="6"/>
      <c r="DB195" s="43" t="str">
        <f t="shared" si="3083"/>
        <v/>
      </c>
      <c r="DC195" s="43" t="str">
        <f t="shared" si="3084"/>
        <v/>
      </c>
      <c r="DD195" s="43" t="str">
        <f t="shared" si="3085"/>
        <v/>
      </c>
      <c r="DE195" s="43" t="str">
        <f t="shared" si="3086"/>
        <v/>
      </c>
      <c r="DF195" s="43" t="str">
        <f t="shared" si="3087"/>
        <v/>
      </c>
      <c r="DG195" s="43" t="str">
        <f t="shared" si="3088"/>
        <v/>
      </c>
      <c r="DH195" s="43" t="str">
        <f t="shared" si="3089"/>
        <v/>
      </c>
      <c r="DI195" s="43" t="str">
        <f t="shared" si="3090"/>
        <v/>
      </c>
      <c r="DJ195" s="43" t="str">
        <f t="shared" si="3091"/>
        <v/>
      </c>
      <c r="DK195" s="43" t="str">
        <f t="shared" si="3092"/>
        <v/>
      </c>
      <c r="DL195" s="43" t="str">
        <f t="shared" si="3093"/>
        <v/>
      </c>
      <c r="DM195" s="43" t="str">
        <f t="shared" si="3094"/>
        <v/>
      </c>
      <c r="DN195" s="43" t="str">
        <f t="shared" si="3095"/>
        <v/>
      </c>
      <c r="DO195" s="43" t="str">
        <f t="shared" si="3096"/>
        <v/>
      </c>
      <c r="DP195" s="43" t="str">
        <f t="shared" si="3097"/>
        <v/>
      </c>
      <c r="DQ195" s="43" t="str">
        <f t="shared" si="3098"/>
        <v/>
      </c>
      <c r="DR195" s="43" t="str">
        <f t="shared" si="3099"/>
        <v/>
      </c>
      <c r="DS195" s="43" t="str">
        <f t="shared" si="3100"/>
        <v/>
      </c>
      <c r="DT195" s="43" t="str">
        <f t="shared" si="3101"/>
        <v/>
      </c>
      <c r="DU195" s="43" t="str">
        <f t="shared" si="3102"/>
        <v/>
      </c>
      <c r="DV195" s="43" t="str">
        <f t="shared" si="3103"/>
        <v/>
      </c>
      <c r="DW195" s="43" t="str">
        <f t="shared" si="3104"/>
        <v/>
      </c>
      <c r="DX195" s="43" t="str">
        <f t="shared" si="3105"/>
        <v/>
      </c>
      <c r="DY195" s="43" t="str">
        <f t="shared" si="3106"/>
        <v/>
      </c>
      <c r="DZ195" s="43" t="str">
        <f t="shared" si="3107"/>
        <v/>
      </c>
      <c r="EA195" s="43" t="str">
        <f t="shared" si="3108"/>
        <v/>
      </c>
      <c r="EB195" s="43" t="str">
        <f t="shared" si="3109"/>
        <v/>
      </c>
      <c r="EC195" s="43" t="str">
        <f t="shared" si="3110"/>
        <v/>
      </c>
      <c r="ED195" s="43" t="str">
        <f t="shared" si="3111"/>
        <v/>
      </c>
      <c r="EE195" s="43" t="str">
        <f t="shared" si="3112"/>
        <v/>
      </c>
      <c r="EF195" s="43" t="str">
        <f t="shared" si="3113"/>
        <v/>
      </c>
      <c r="EG195" s="43" t="str">
        <f t="shared" si="3114"/>
        <v/>
      </c>
      <c r="EH195" s="43" t="str">
        <f t="shared" si="3115"/>
        <v/>
      </c>
      <c r="EI195" s="43" t="str">
        <f t="shared" si="3116"/>
        <v/>
      </c>
      <c r="EJ195" s="43" t="str">
        <f t="shared" si="3117"/>
        <v/>
      </c>
      <c r="EK195" s="43" t="str">
        <f t="shared" si="3118"/>
        <v/>
      </c>
      <c r="EL195" s="43" t="str">
        <f t="shared" si="3119"/>
        <v/>
      </c>
      <c r="EM195" s="43" t="str">
        <f t="shared" si="3120"/>
        <v/>
      </c>
      <c r="EN195" s="43" t="str">
        <f t="shared" si="3121"/>
        <v/>
      </c>
      <c r="EO195" s="43" t="str">
        <f t="shared" si="3122"/>
        <v/>
      </c>
      <c r="EP195" s="43" t="str">
        <f t="shared" si="3123"/>
        <v/>
      </c>
      <c r="EQ195" s="43" t="str">
        <f t="shared" si="3124"/>
        <v/>
      </c>
      <c r="ER195" s="43" t="str">
        <f t="shared" si="3125"/>
        <v/>
      </c>
      <c r="ES195" s="43" t="str">
        <f t="shared" si="3126"/>
        <v/>
      </c>
      <c r="ET195" s="43" t="str">
        <f t="shared" si="3127"/>
        <v/>
      </c>
      <c r="EU195" s="43" t="str">
        <f t="shared" si="3128"/>
        <v/>
      </c>
      <c r="EV195" s="43" t="str">
        <f t="shared" si="3129"/>
        <v/>
      </c>
      <c r="EW195" s="43" t="str">
        <f t="shared" si="3130"/>
        <v/>
      </c>
      <c r="EX195" s="43" t="str">
        <f t="shared" si="3131"/>
        <v/>
      </c>
      <c r="EY195" s="43" t="str">
        <f t="shared" si="3132"/>
        <v/>
      </c>
      <c r="EZ195" s="43" t="str">
        <f t="shared" si="3133"/>
        <v/>
      </c>
      <c r="FA195" s="43" t="str">
        <f t="shared" si="3134"/>
        <v/>
      </c>
      <c r="FB195" s="43" t="str">
        <f t="shared" si="3135"/>
        <v/>
      </c>
      <c r="FC195" s="43" t="str">
        <f t="shared" si="3136"/>
        <v/>
      </c>
      <c r="FD195" s="43" t="str">
        <f t="shared" si="3137"/>
        <v/>
      </c>
      <c r="FE195" s="43" t="str">
        <f t="shared" si="3138"/>
        <v/>
      </c>
      <c r="FF195" s="43" t="str">
        <f t="shared" si="3139"/>
        <v/>
      </c>
      <c r="FG195" s="43" t="str">
        <f t="shared" si="3140"/>
        <v/>
      </c>
      <c r="FH195" s="43" t="str">
        <f t="shared" si="3141"/>
        <v/>
      </c>
      <c r="FI195" s="43" t="str">
        <f t="shared" si="3142"/>
        <v/>
      </c>
      <c r="FJ195" s="43" t="str">
        <f t="shared" si="3143"/>
        <v/>
      </c>
      <c r="FK195" s="43" t="str">
        <f t="shared" si="3144"/>
        <v/>
      </c>
      <c r="FL195" s="43" t="str">
        <f t="shared" si="3145"/>
        <v/>
      </c>
      <c r="FM195" s="43" t="str">
        <f t="shared" si="3146"/>
        <v/>
      </c>
      <c r="FN195" s="43" t="str">
        <f t="shared" si="3147"/>
        <v/>
      </c>
      <c r="FO195" s="43" t="str">
        <f t="shared" si="3148"/>
        <v/>
      </c>
      <c r="FP195" s="43" t="str">
        <f t="shared" si="3149"/>
        <v/>
      </c>
      <c r="FQ195" s="43" t="str">
        <f t="shared" si="3150"/>
        <v/>
      </c>
      <c r="FR195" s="43" t="str">
        <f t="shared" si="3151"/>
        <v/>
      </c>
      <c r="FS195" s="43" t="str">
        <f t="shared" si="3152"/>
        <v/>
      </c>
    </row>
    <row r="196" ht="14.4" spans="1:175">
      <c r="A196" s="88"/>
      <c r="B196" s="7" t="s">
        <v>634</v>
      </c>
      <c r="C196" s="89" t="str">
        <f t="shared" si="3153"/>
        <v>已领取公会福利</v>
      </c>
      <c r="T196" s="89" t="s">
        <v>635</v>
      </c>
      <c r="U196" s="59" t="str">
        <f t="shared" si="3080"/>
        <v>ReplaceableTextures\\CommandButtons\\BTNIB56.blp</v>
      </c>
      <c r="CN196" s="12" t="str">
        <f t="shared" si="3154"/>
        <v>InitUnitState('IB56',,,,,,,,,,)</v>
      </c>
      <c r="CO196" s="12" t="str">
        <f t="shared" si="3155"/>
        <v>InitUnitNormal('IB56',,,,,,,,,,)</v>
      </c>
      <c r="CP196" s="12" t="str">
        <f t="shared" si="3156"/>
        <v>InitUnitMagic('IB56',,,,,,,,,,)</v>
      </c>
      <c r="CQ196" s="12" t="str">
        <f t="shared" si="3157"/>
        <v>InitUnitAdd('IB56',,,,,,,,,,)</v>
      </c>
      <c r="CR196" s="12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InitEquipData('IB56',,"",,,,,'','','','','','',"ReplaceableTextures\\CommandButtons\\BTNIB57.blp")</v>
      </c>
      <c r="CU196" s="71" t="str">
        <f t="shared" si="3081"/>
        <v>|n</v>
      </c>
      <c r="CV196" s="5" t="str">
        <f t="shared" si="3082"/>
        <v>已领取公会福利</v>
      </c>
      <c r="CW196" s="6"/>
      <c r="CX196" s="6"/>
      <c r="CY196" s="6"/>
      <c r="CZ196" s="6"/>
      <c r="DA196" s="6"/>
      <c r="DB196" s="43" t="str">
        <f t="shared" si="3083"/>
        <v/>
      </c>
      <c r="DC196" s="43" t="str">
        <f t="shared" si="3084"/>
        <v/>
      </c>
      <c r="DD196" s="43" t="str">
        <f t="shared" si="3085"/>
        <v/>
      </c>
      <c r="DE196" s="43" t="str">
        <f t="shared" si="3086"/>
        <v/>
      </c>
      <c r="DF196" s="43" t="str">
        <f t="shared" si="3087"/>
        <v/>
      </c>
      <c r="DG196" s="43" t="str">
        <f t="shared" si="3088"/>
        <v/>
      </c>
      <c r="DH196" s="43" t="str">
        <f t="shared" si="3089"/>
        <v/>
      </c>
      <c r="DI196" s="43" t="str">
        <f t="shared" si="3090"/>
        <v/>
      </c>
      <c r="DJ196" s="43" t="str">
        <f t="shared" si="3091"/>
        <v/>
      </c>
      <c r="DK196" s="43" t="str">
        <f t="shared" si="3092"/>
        <v/>
      </c>
      <c r="DL196" s="43" t="str">
        <f t="shared" si="3093"/>
        <v/>
      </c>
      <c r="DM196" s="43" t="str">
        <f t="shared" si="3094"/>
        <v/>
      </c>
      <c r="DN196" s="43" t="str">
        <f t="shared" si="3095"/>
        <v/>
      </c>
      <c r="DO196" s="43" t="str">
        <f t="shared" si="3096"/>
        <v/>
      </c>
      <c r="DP196" s="43" t="str">
        <f t="shared" si="3097"/>
        <v/>
      </c>
      <c r="DQ196" s="43" t="str">
        <f t="shared" si="3098"/>
        <v/>
      </c>
      <c r="DR196" s="43" t="str">
        <f t="shared" si="3099"/>
        <v/>
      </c>
      <c r="DS196" s="43" t="str">
        <f t="shared" si="3100"/>
        <v/>
      </c>
      <c r="DT196" s="43" t="str">
        <f t="shared" si="3101"/>
        <v/>
      </c>
      <c r="DU196" s="43" t="str">
        <f t="shared" si="3102"/>
        <v/>
      </c>
      <c r="DV196" s="43" t="str">
        <f t="shared" si="3103"/>
        <v/>
      </c>
      <c r="DW196" s="43" t="str">
        <f t="shared" si="3104"/>
        <v/>
      </c>
      <c r="DX196" s="43" t="str">
        <f t="shared" si="3105"/>
        <v/>
      </c>
      <c r="DY196" s="43" t="str">
        <f t="shared" si="3106"/>
        <v/>
      </c>
      <c r="DZ196" s="43" t="str">
        <f t="shared" si="3107"/>
        <v/>
      </c>
      <c r="EA196" s="43" t="str">
        <f t="shared" si="3108"/>
        <v/>
      </c>
      <c r="EB196" s="43" t="str">
        <f t="shared" si="3109"/>
        <v/>
      </c>
      <c r="EC196" s="43" t="str">
        <f t="shared" si="3110"/>
        <v/>
      </c>
      <c r="ED196" s="43" t="str">
        <f t="shared" si="3111"/>
        <v/>
      </c>
      <c r="EE196" s="43" t="str">
        <f t="shared" si="3112"/>
        <v/>
      </c>
      <c r="EF196" s="43" t="str">
        <f t="shared" si="3113"/>
        <v/>
      </c>
      <c r="EG196" s="43" t="str">
        <f t="shared" si="3114"/>
        <v/>
      </c>
      <c r="EH196" s="43" t="str">
        <f t="shared" si="3115"/>
        <v/>
      </c>
      <c r="EI196" s="43" t="str">
        <f t="shared" si="3116"/>
        <v/>
      </c>
      <c r="EJ196" s="43" t="str">
        <f t="shared" si="3117"/>
        <v/>
      </c>
      <c r="EK196" s="43" t="str">
        <f t="shared" si="3118"/>
        <v/>
      </c>
      <c r="EL196" s="43" t="str">
        <f t="shared" si="3119"/>
        <v/>
      </c>
      <c r="EM196" s="43" t="str">
        <f t="shared" si="3120"/>
        <v/>
      </c>
      <c r="EN196" s="43" t="str">
        <f t="shared" si="3121"/>
        <v/>
      </c>
      <c r="EO196" s="43" t="str">
        <f t="shared" si="3122"/>
        <v/>
      </c>
      <c r="EP196" s="43" t="str">
        <f t="shared" si="3123"/>
        <v/>
      </c>
      <c r="EQ196" s="43" t="str">
        <f t="shared" si="3124"/>
        <v/>
      </c>
      <c r="ER196" s="43" t="str">
        <f t="shared" si="3125"/>
        <v/>
      </c>
      <c r="ES196" s="43" t="str">
        <f t="shared" si="3126"/>
        <v/>
      </c>
      <c r="ET196" s="43" t="str">
        <f t="shared" si="3127"/>
        <v/>
      </c>
      <c r="EU196" s="43" t="str">
        <f t="shared" si="3128"/>
        <v/>
      </c>
      <c r="EV196" s="43" t="str">
        <f t="shared" si="3129"/>
        <v/>
      </c>
      <c r="EW196" s="43" t="str">
        <f t="shared" si="3130"/>
        <v/>
      </c>
      <c r="EX196" s="43" t="str">
        <f t="shared" si="3131"/>
        <v/>
      </c>
      <c r="EY196" s="43" t="str">
        <f t="shared" si="3132"/>
        <v/>
      </c>
      <c r="EZ196" s="43" t="str">
        <f t="shared" si="3133"/>
        <v/>
      </c>
      <c r="FA196" s="43" t="str">
        <f t="shared" si="3134"/>
        <v/>
      </c>
      <c r="FB196" s="43" t="str">
        <f t="shared" si="3135"/>
        <v/>
      </c>
      <c r="FC196" s="43" t="str">
        <f t="shared" si="3136"/>
        <v/>
      </c>
      <c r="FD196" s="43" t="str">
        <f t="shared" si="3137"/>
        <v/>
      </c>
      <c r="FE196" s="43" t="str">
        <f t="shared" si="3138"/>
        <v/>
      </c>
      <c r="FF196" s="43" t="str">
        <f t="shared" si="3139"/>
        <v/>
      </c>
      <c r="FG196" s="43" t="str">
        <f t="shared" si="3140"/>
        <v/>
      </c>
      <c r="FH196" s="43" t="str">
        <f t="shared" si="3141"/>
        <v/>
      </c>
      <c r="FI196" s="43" t="str">
        <f t="shared" si="3142"/>
        <v/>
      </c>
      <c r="FJ196" s="43" t="str">
        <f t="shared" si="3143"/>
        <v/>
      </c>
      <c r="FK196" s="43" t="str">
        <f t="shared" si="3144"/>
        <v/>
      </c>
      <c r="FL196" s="43" t="str">
        <f t="shared" si="3145"/>
        <v/>
      </c>
      <c r="FM196" s="43" t="str">
        <f t="shared" si="3146"/>
        <v/>
      </c>
      <c r="FN196" s="43" t="str">
        <f t="shared" si="3147"/>
        <v/>
      </c>
      <c r="FO196" s="43" t="str">
        <f t="shared" si="3148"/>
        <v/>
      </c>
      <c r="FP196" s="43" t="str">
        <f t="shared" si="3149"/>
        <v/>
      </c>
      <c r="FQ196" s="43" t="str">
        <f t="shared" si="3150"/>
        <v/>
      </c>
      <c r="FR196" s="43" t="str">
        <f t="shared" si="3151"/>
        <v/>
      </c>
      <c r="FS196" s="43" t="str">
        <f t="shared" si="3152"/>
        <v/>
      </c>
    </row>
    <row r="197" ht="14.4" spans="1:175">
      <c r="A197" s="88"/>
      <c r="B197" s="7" t="s">
        <v>636</v>
      </c>
      <c r="C197" s="89" t="str">
        <f t="shared" si="3153"/>
        <v>已领取星耀礼包</v>
      </c>
      <c r="T197" s="89" t="s">
        <v>637</v>
      </c>
      <c r="U197" s="59" t="str">
        <f t="shared" si="3080"/>
        <v>ReplaceableTextures\\CommandButtons\\BTNIB57.blp</v>
      </c>
      <c r="CN197" s="12" t="str">
        <f t="shared" si="3154"/>
        <v>InitUnitState('IB57',,,,,,,,,,)</v>
      </c>
      <c r="CO197" s="12" t="str">
        <f t="shared" si="3155"/>
        <v>InitUnitNormal('IB57',,,,,,,,,,)</v>
      </c>
      <c r="CP197" s="12" t="str">
        <f t="shared" si="3156"/>
        <v>InitUnitMagic('IB57',,,,,,,,,,)</v>
      </c>
      <c r="CQ197" s="12" t="str">
        <f t="shared" si="3157"/>
        <v>InitUnitAdd('IB57',,,,,,,,,,)</v>
      </c>
      <c r="CR197" s="12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199&amp;CR$1&amp;")"</f>
        <v>InitEquipData('IB57',,"",,,,,'','','','','','',"ReplaceableTextures\\CommandButtons\\BTNIB59.blp")</v>
      </c>
      <c r="CU197" s="71" t="str">
        <f t="shared" si="3081"/>
        <v>|n</v>
      </c>
      <c r="CV197" s="5" t="str">
        <f t="shared" si="3082"/>
        <v>已领取星耀礼包</v>
      </c>
      <c r="CW197" s="6"/>
      <c r="CX197" s="6"/>
      <c r="CY197" s="6"/>
      <c r="CZ197" s="6"/>
      <c r="DA197" s="6"/>
      <c r="DB197" s="43" t="str">
        <f t="shared" si="3083"/>
        <v/>
      </c>
      <c r="DC197" s="43" t="str">
        <f t="shared" si="3084"/>
        <v/>
      </c>
      <c r="DD197" s="43" t="str">
        <f t="shared" si="3085"/>
        <v/>
      </c>
      <c r="DE197" s="43" t="str">
        <f t="shared" si="3086"/>
        <v/>
      </c>
      <c r="DF197" s="43" t="str">
        <f t="shared" si="3087"/>
        <v/>
      </c>
      <c r="DG197" s="43" t="str">
        <f t="shared" si="3088"/>
        <v/>
      </c>
      <c r="DH197" s="43" t="str">
        <f t="shared" si="3089"/>
        <v/>
      </c>
      <c r="DI197" s="43" t="str">
        <f t="shared" si="3090"/>
        <v/>
      </c>
      <c r="DJ197" s="43" t="str">
        <f t="shared" si="3091"/>
        <v/>
      </c>
      <c r="DK197" s="43" t="str">
        <f t="shared" si="3092"/>
        <v/>
      </c>
      <c r="DL197" s="43" t="str">
        <f t="shared" si="3093"/>
        <v/>
      </c>
      <c r="DM197" s="43" t="str">
        <f t="shared" si="3094"/>
        <v/>
      </c>
      <c r="DN197" s="43" t="str">
        <f t="shared" si="3095"/>
        <v/>
      </c>
      <c r="DO197" s="43" t="str">
        <f t="shared" si="3096"/>
        <v/>
      </c>
      <c r="DP197" s="43" t="str">
        <f t="shared" si="3097"/>
        <v/>
      </c>
      <c r="DQ197" s="43" t="str">
        <f t="shared" si="3098"/>
        <v/>
      </c>
      <c r="DR197" s="43" t="str">
        <f t="shared" si="3099"/>
        <v/>
      </c>
      <c r="DS197" s="43" t="str">
        <f t="shared" si="3100"/>
        <v/>
      </c>
      <c r="DT197" s="43" t="str">
        <f t="shared" si="3101"/>
        <v/>
      </c>
      <c r="DU197" s="43" t="str">
        <f t="shared" si="3102"/>
        <v/>
      </c>
      <c r="DV197" s="43" t="str">
        <f t="shared" si="3103"/>
        <v/>
      </c>
      <c r="DW197" s="43" t="str">
        <f t="shared" si="3104"/>
        <v/>
      </c>
      <c r="DX197" s="43" t="str">
        <f t="shared" si="3105"/>
        <v/>
      </c>
      <c r="DY197" s="43" t="str">
        <f t="shared" si="3106"/>
        <v/>
      </c>
      <c r="DZ197" s="43" t="str">
        <f t="shared" si="3107"/>
        <v/>
      </c>
      <c r="EA197" s="43" t="str">
        <f t="shared" si="3108"/>
        <v/>
      </c>
      <c r="EB197" s="43" t="str">
        <f t="shared" si="3109"/>
        <v/>
      </c>
      <c r="EC197" s="43" t="str">
        <f t="shared" si="3110"/>
        <v/>
      </c>
      <c r="ED197" s="43" t="str">
        <f t="shared" si="3111"/>
        <v/>
      </c>
      <c r="EE197" s="43" t="str">
        <f t="shared" si="3112"/>
        <v/>
      </c>
      <c r="EF197" s="43" t="str">
        <f t="shared" si="3113"/>
        <v/>
      </c>
      <c r="EG197" s="43" t="str">
        <f t="shared" si="3114"/>
        <v/>
      </c>
      <c r="EH197" s="43" t="str">
        <f t="shared" si="3115"/>
        <v/>
      </c>
      <c r="EI197" s="43" t="str">
        <f t="shared" si="3116"/>
        <v/>
      </c>
      <c r="EJ197" s="43" t="str">
        <f t="shared" si="3117"/>
        <v/>
      </c>
      <c r="EK197" s="43" t="str">
        <f t="shared" si="3118"/>
        <v/>
      </c>
      <c r="EL197" s="43" t="str">
        <f t="shared" si="3119"/>
        <v/>
      </c>
      <c r="EM197" s="43" t="str">
        <f t="shared" si="3120"/>
        <v/>
      </c>
      <c r="EN197" s="43" t="str">
        <f t="shared" si="3121"/>
        <v/>
      </c>
      <c r="EO197" s="43" t="str">
        <f t="shared" si="3122"/>
        <v/>
      </c>
      <c r="EP197" s="43" t="str">
        <f t="shared" si="3123"/>
        <v/>
      </c>
      <c r="EQ197" s="43" t="str">
        <f t="shared" si="3124"/>
        <v/>
      </c>
      <c r="ER197" s="43" t="str">
        <f t="shared" si="3125"/>
        <v/>
      </c>
      <c r="ES197" s="43" t="str">
        <f t="shared" si="3126"/>
        <v/>
      </c>
      <c r="ET197" s="43" t="str">
        <f t="shared" si="3127"/>
        <v/>
      </c>
      <c r="EU197" s="43" t="str">
        <f t="shared" si="3128"/>
        <v/>
      </c>
      <c r="EV197" s="43" t="str">
        <f t="shared" si="3129"/>
        <v/>
      </c>
      <c r="EW197" s="43" t="str">
        <f t="shared" si="3130"/>
        <v/>
      </c>
      <c r="EX197" s="43" t="str">
        <f t="shared" si="3131"/>
        <v/>
      </c>
      <c r="EY197" s="43" t="str">
        <f t="shared" si="3132"/>
        <v/>
      </c>
      <c r="EZ197" s="43" t="str">
        <f t="shared" si="3133"/>
        <v/>
      </c>
      <c r="FA197" s="43" t="str">
        <f t="shared" si="3134"/>
        <v/>
      </c>
      <c r="FB197" s="43" t="str">
        <f t="shared" si="3135"/>
        <v/>
      </c>
      <c r="FC197" s="43" t="str">
        <f t="shared" si="3136"/>
        <v/>
      </c>
      <c r="FD197" s="43" t="str">
        <f t="shared" si="3137"/>
        <v/>
      </c>
      <c r="FE197" s="43" t="str">
        <f t="shared" si="3138"/>
        <v/>
      </c>
      <c r="FF197" s="43" t="str">
        <f t="shared" si="3139"/>
        <v/>
      </c>
      <c r="FG197" s="43" t="str">
        <f t="shared" si="3140"/>
        <v/>
      </c>
      <c r="FH197" s="43" t="str">
        <f t="shared" si="3141"/>
        <v/>
      </c>
      <c r="FI197" s="43" t="str">
        <f t="shared" si="3142"/>
        <v/>
      </c>
      <c r="FJ197" s="43" t="str">
        <f t="shared" si="3143"/>
        <v/>
      </c>
      <c r="FK197" s="43" t="str">
        <f t="shared" si="3144"/>
        <v/>
      </c>
      <c r="FL197" s="43" t="str">
        <f t="shared" si="3145"/>
        <v/>
      </c>
      <c r="FM197" s="43" t="str">
        <f t="shared" si="3146"/>
        <v/>
      </c>
      <c r="FN197" s="43" t="str">
        <f t="shared" si="3147"/>
        <v/>
      </c>
      <c r="FO197" s="43" t="str">
        <f t="shared" si="3148"/>
        <v/>
      </c>
      <c r="FP197" s="43" t="str">
        <f t="shared" si="3149"/>
        <v/>
      </c>
      <c r="FQ197" s="43" t="str">
        <f t="shared" si="3150"/>
        <v/>
      </c>
      <c r="FR197" s="43" t="str">
        <f t="shared" si="3151"/>
        <v/>
      </c>
      <c r="FS197" s="43" t="str">
        <f t="shared" si="3152"/>
        <v/>
      </c>
    </row>
    <row r="198" s="5" customFormat="1" ht="14.4" spans="1:175">
      <c r="A198" s="88"/>
      <c r="B198" s="7" t="s">
        <v>638</v>
      </c>
      <c r="C198" s="89" t="str">
        <f t="shared" si="3153"/>
        <v>已领取魔芝RPG礼包</v>
      </c>
      <c r="D198" s="13"/>
      <c r="E198" s="13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37"/>
      <c r="Q198" s="37"/>
      <c r="R198" s="37"/>
      <c r="S198" s="37"/>
      <c r="T198" s="89" t="s">
        <v>639</v>
      </c>
      <c r="U198" s="59" t="str">
        <f t="shared" si="3080"/>
        <v>ReplaceableTextures\\CommandButtons\\BTNIB58.blp</v>
      </c>
      <c r="V198" s="40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2"/>
      <c r="AS198" s="42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12" t="str">
        <f t="shared" si="3154"/>
        <v>InitUnitState('IB58',,,,,,,,,,)</v>
      </c>
      <c r="CO198" s="12" t="str">
        <f t="shared" si="3155"/>
        <v>InitUnitNormal('IB58',,,,,,,,,,)</v>
      </c>
      <c r="CP198" s="12" t="str">
        <f t="shared" si="3156"/>
        <v>InitUnitMagic('IB58',,,,,,,,,,)</v>
      </c>
      <c r="CQ198" s="12" t="str">
        <f t="shared" si="3157"/>
        <v>InitUnitAdd('IB58',,,,,,,,,,)</v>
      </c>
      <c r="CR198" s="12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215&amp;CR$1&amp;")"</f>
        <v>InitEquipData('IB58',,"",,,,,'','','','','','',"")</v>
      </c>
      <c r="CS198" s="12"/>
      <c r="CT198" s="12"/>
      <c r="CU198" s="71" t="str">
        <f t="shared" si="3081"/>
        <v>|n</v>
      </c>
      <c r="CV198" s="5" t="str">
        <f t="shared" si="3082"/>
        <v>已领取魔芝RPG礼包</v>
      </c>
      <c r="CW198" s="6"/>
      <c r="CX198" s="6"/>
      <c r="CY198" s="6"/>
      <c r="CZ198" s="6"/>
      <c r="DA198" s="6"/>
      <c r="DB198" s="43" t="str">
        <f t="shared" ref="DB198:FM198" si="3158">IF(V198="","","|n"&amp;DB$2&amp;"+"&amp;V198&amp;DB$1)</f>
        <v/>
      </c>
      <c r="DC198" s="43" t="str">
        <f t="shared" si="3158"/>
        <v/>
      </c>
      <c r="DD198" s="43" t="str">
        <f t="shared" si="3158"/>
        <v/>
      </c>
      <c r="DE198" s="43" t="str">
        <f t="shared" si="3158"/>
        <v/>
      </c>
      <c r="DF198" s="43" t="str">
        <f t="shared" si="3158"/>
        <v/>
      </c>
      <c r="DG198" s="43" t="str">
        <f t="shared" si="3158"/>
        <v/>
      </c>
      <c r="DH198" s="43" t="str">
        <f t="shared" si="3158"/>
        <v/>
      </c>
      <c r="DI198" s="43" t="str">
        <f t="shared" si="3158"/>
        <v/>
      </c>
      <c r="DJ198" s="43" t="str">
        <f t="shared" si="3158"/>
        <v/>
      </c>
      <c r="DK198" s="43" t="str">
        <f t="shared" si="3158"/>
        <v/>
      </c>
      <c r="DL198" s="43" t="str">
        <f t="shared" si="3158"/>
        <v/>
      </c>
      <c r="DM198" s="43" t="str">
        <f t="shared" si="3158"/>
        <v/>
      </c>
      <c r="DN198" s="43" t="str">
        <f t="shared" si="3158"/>
        <v/>
      </c>
      <c r="DO198" s="43" t="str">
        <f t="shared" si="3158"/>
        <v/>
      </c>
      <c r="DP198" s="43" t="str">
        <f t="shared" si="3158"/>
        <v/>
      </c>
      <c r="DQ198" s="43" t="str">
        <f t="shared" si="3158"/>
        <v/>
      </c>
      <c r="DR198" s="43" t="str">
        <f t="shared" si="3158"/>
        <v/>
      </c>
      <c r="DS198" s="43" t="str">
        <f t="shared" si="3158"/>
        <v/>
      </c>
      <c r="DT198" s="43" t="str">
        <f t="shared" si="3158"/>
        <v/>
      </c>
      <c r="DU198" s="43" t="str">
        <f t="shared" si="3158"/>
        <v/>
      </c>
      <c r="DV198" s="43" t="str">
        <f t="shared" si="3158"/>
        <v/>
      </c>
      <c r="DW198" s="43" t="str">
        <f t="shared" si="3158"/>
        <v/>
      </c>
      <c r="DX198" s="43" t="str">
        <f t="shared" si="3158"/>
        <v/>
      </c>
      <c r="DY198" s="43" t="str">
        <f t="shared" si="3158"/>
        <v/>
      </c>
      <c r="DZ198" s="43" t="str">
        <f t="shared" si="3158"/>
        <v/>
      </c>
      <c r="EA198" s="43" t="str">
        <f t="shared" si="3158"/>
        <v/>
      </c>
      <c r="EB198" s="43" t="str">
        <f t="shared" si="3158"/>
        <v/>
      </c>
      <c r="EC198" s="43" t="str">
        <f t="shared" si="3158"/>
        <v/>
      </c>
      <c r="ED198" s="43" t="str">
        <f t="shared" si="3158"/>
        <v/>
      </c>
      <c r="EE198" s="43" t="str">
        <f t="shared" si="3158"/>
        <v/>
      </c>
      <c r="EF198" s="43" t="str">
        <f t="shared" si="3158"/>
        <v/>
      </c>
      <c r="EG198" s="43" t="str">
        <f t="shared" si="3158"/>
        <v/>
      </c>
      <c r="EH198" s="43" t="str">
        <f t="shared" si="3158"/>
        <v/>
      </c>
      <c r="EI198" s="43" t="str">
        <f t="shared" si="3158"/>
        <v/>
      </c>
      <c r="EJ198" s="43" t="str">
        <f t="shared" si="3158"/>
        <v/>
      </c>
      <c r="EK198" s="43" t="str">
        <f t="shared" si="3158"/>
        <v/>
      </c>
      <c r="EL198" s="43" t="str">
        <f t="shared" si="3158"/>
        <v/>
      </c>
      <c r="EM198" s="43" t="str">
        <f t="shared" si="3158"/>
        <v/>
      </c>
      <c r="EN198" s="43" t="str">
        <f t="shared" si="3158"/>
        <v/>
      </c>
      <c r="EO198" s="43" t="str">
        <f t="shared" si="3158"/>
        <v/>
      </c>
      <c r="EP198" s="43" t="str">
        <f t="shared" si="3158"/>
        <v/>
      </c>
      <c r="EQ198" s="43" t="str">
        <f t="shared" si="3158"/>
        <v/>
      </c>
      <c r="ER198" s="43" t="str">
        <f t="shared" si="3158"/>
        <v/>
      </c>
      <c r="ES198" s="43" t="str">
        <f t="shared" si="3158"/>
        <v/>
      </c>
      <c r="ET198" s="43" t="str">
        <f t="shared" si="3158"/>
        <v/>
      </c>
      <c r="EU198" s="43" t="str">
        <f t="shared" si="3158"/>
        <v/>
      </c>
      <c r="EV198" s="43" t="str">
        <f t="shared" si="3158"/>
        <v/>
      </c>
      <c r="EW198" s="43" t="str">
        <f t="shared" si="3158"/>
        <v/>
      </c>
      <c r="EX198" s="43" t="str">
        <f t="shared" si="3158"/>
        <v/>
      </c>
      <c r="EY198" s="43" t="str">
        <f t="shared" si="3158"/>
        <v/>
      </c>
      <c r="EZ198" s="43" t="str">
        <f t="shared" si="3158"/>
        <v/>
      </c>
      <c r="FA198" s="43" t="str">
        <f t="shared" si="3158"/>
        <v/>
      </c>
      <c r="FB198" s="43" t="str">
        <f t="shared" si="3158"/>
        <v/>
      </c>
      <c r="FC198" s="43" t="str">
        <f t="shared" si="3158"/>
        <v/>
      </c>
      <c r="FD198" s="43" t="str">
        <f t="shared" si="3158"/>
        <v/>
      </c>
      <c r="FE198" s="43" t="str">
        <f t="shared" si="3158"/>
        <v/>
      </c>
      <c r="FF198" s="43" t="str">
        <f t="shared" si="3158"/>
        <v/>
      </c>
      <c r="FG198" s="43" t="str">
        <f t="shared" si="3158"/>
        <v/>
      </c>
      <c r="FH198" s="43" t="str">
        <f t="shared" si="3158"/>
        <v/>
      </c>
      <c r="FI198" s="43" t="str">
        <f t="shared" si="3158"/>
        <v/>
      </c>
      <c r="FJ198" s="43" t="str">
        <f t="shared" si="3158"/>
        <v/>
      </c>
      <c r="FK198" s="43" t="str">
        <f t="shared" si="3158"/>
        <v/>
      </c>
      <c r="FL198" s="43" t="str">
        <f t="shared" si="3158"/>
        <v/>
      </c>
      <c r="FM198" s="43" t="str">
        <f t="shared" si="3158"/>
        <v/>
      </c>
      <c r="FN198" s="43" t="str">
        <f t="shared" ref="FN198:FS198" si="3159">IF(CH198="","","|n"&amp;FN$2&amp;"+"&amp;CH198&amp;FN$1)</f>
        <v/>
      </c>
      <c r="FO198" s="43" t="str">
        <f t="shared" si="3159"/>
        <v/>
      </c>
      <c r="FP198" s="43" t="str">
        <f t="shared" si="3159"/>
        <v/>
      </c>
      <c r="FQ198" s="43" t="str">
        <f t="shared" si="3159"/>
        <v/>
      </c>
      <c r="FR198" s="43" t="str">
        <f t="shared" si="3159"/>
        <v/>
      </c>
      <c r="FS198" s="43" t="str">
        <f t="shared" si="3159"/>
        <v/>
      </c>
    </row>
    <row r="199" ht="14.4" spans="1:175">
      <c r="A199" s="88"/>
      <c r="B199" s="7" t="s">
        <v>640</v>
      </c>
      <c r="C199" s="89" t="str">
        <f t="shared" si="3153"/>
        <v>已领取老铁礼包</v>
      </c>
      <c r="T199" s="89" t="s">
        <v>641</v>
      </c>
      <c r="U199" s="59" t="str">
        <f t="shared" si="3080"/>
        <v>ReplaceableTextures\\CommandButtons\\BTNIB59.blp</v>
      </c>
      <c r="CN199" s="12" t="str">
        <f t="shared" si="3154"/>
        <v>InitUnitState('IB59',,,,,,,,,,)</v>
      </c>
      <c r="CO199" s="12" t="str">
        <f t="shared" si="3155"/>
        <v>InitUnitNormal('IB59',,,,,,,,,,)</v>
      </c>
      <c r="CP199" s="12" t="str">
        <f t="shared" si="3156"/>
        <v>InitUnitMagic('IB59',,,,,,,,,,)</v>
      </c>
      <c r="CQ199" s="12" t="str">
        <f t="shared" si="3157"/>
        <v>InitUnitAdd('IB59',,,,,,,,,,)</v>
      </c>
      <c r="CR199" s="12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216&amp;CR$1&amp;")"</f>
        <v>InitEquipData('IB59',,"",,,,,'','','','','','',"")</v>
      </c>
      <c r="CU199" s="71" t="str">
        <f t="shared" si="3081"/>
        <v>|n</v>
      </c>
      <c r="CV199" s="5" t="str">
        <f t="shared" si="3082"/>
        <v>已领取老铁礼包</v>
      </c>
      <c r="CW199" s="6"/>
      <c r="CX199" s="6"/>
      <c r="CY199" s="6"/>
      <c r="CZ199" s="6"/>
      <c r="DA199" s="6"/>
      <c r="DB199" s="43" t="str">
        <f t="shared" ref="DB199:FM199" si="3160">IF(V199="","","|n"&amp;DB$2&amp;"+"&amp;V199&amp;DB$1)</f>
        <v/>
      </c>
      <c r="DC199" s="43" t="str">
        <f t="shared" si="3160"/>
        <v/>
      </c>
      <c r="DD199" s="43" t="str">
        <f t="shared" si="3160"/>
        <v/>
      </c>
      <c r="DE199" s="43" t="str">
        <f t="shared" si="3160"/>
        <v/>
      </c>
      <c r="DF199" s="43" t="str">
        <f t="shared" si="3160"/>
        <v/>
      </c>
      <c r="DG199" s="43" t="str">
        <f t="shared" si="3160"/>
        <v/>
      </c>
      <c r="DH199" s="43" t="str">
        <f t="shared" si="3160"/>
        <v/>
      </c>
      <c r="DI199" s="43" t="str">
        <f t="shared" si="3160"/>
        <v/>
      </c>
      <c r="DJ199" s="43" t="str">
        <f t="shared" si="3160"/>
        <v/>
      </c>
      <c r="DK199" s="43" t="str">
        <f t="shared" si="3160"/>
        <v/>
      </c>
      <c r="DL199" s="43" t="str">
        <f t="shared" si="3160"/>
        <v/>
      </c>
      <c r="DM199" s="43" t="str">
        <f t="shared" si="3160"/>
        <v/>
      </c>
      <c r="DN199" s="43" t="str">
        <f t="shared" si="3160"/>
        <v/>
      </c>
      <c r="DO199" s="43" t="str">
        <f t="shared" si="3160"/>
        <v/>
      </c>
      <c r="DP199" s="43" t="str">
        <f t="shared" si="3160"/>
        <v/>
      </c>
      <c r="DQ199" s="43" t="str">
        <f t="shared" si="3160"/>
        <v/>
      </c>
      <c r="DR199" s="43" t="str">
        <f t="shared" si="3160"/>
        <v/>
      </c>
      <c r="DS199" s="43" t="str">
        <f t="shared" si="3160"/>
        <v/>
      </c>
      <c r="DT199" s="43" t="str">
        <f t="shared" si="3160"/>
        <v/>
      </c>
      <c r="DU199" s="43" t="str">
        <f t="shared" si="3160"/>
        <v/>
      </c>
      <c r="DV199" s="43" t="str">
        <f t="shared" si="3160"/>
        <v/>
      </c>
      <c r="DW199" s="43" t="str">
        <f t="shared" si="3160"/>
        <v/>
      </c>
      <c r="DX199" s="43" t="str">
        <f t="shared" si="3160"/>
        <v/>
      </c>
      <c r="DY199" s="43" t="str">
        <f t="shared" si="3160"/>
        <v/>
      </c>
      <c r="DZ199" s="43" t="str">
        <f t="shared" si="3160"/>
        <v/>
      </c>
      <c r="EA199" s="43" t="str">
        <f t="shared" si="3160"/>
        <v/>
      </c>
      <c r="EB199" s="43" t="str">
        <f t="shared" si="3160"/>
        <v/>
      </c>
      <c r="EC199" s="43" t="str">
        <f t="shared" si="3160"/>
        <v/>
      </c>
      <c r="ED199" s="43" t="str">
        <f t="shared" si="3160"/>
        <v/>
      </c>
      <c r="EE199" s="43" t="str">
        <f t="shared" si="3160"/>
        <v/>
      </c>
      <c r="EF199" s="43" t="str">
        <f t="shared" si="3160"/>
        <v/>
      </c>
      <c r="EG199" s="43" t="str">
        <f t="shared" si="3160"/>
        <v/>
      </c>
      <c r="EH199" s="43" t="str">
        <f t="shared" si="3160"/>
        <v/>
      </c>
      <c r="EI199" s="43" t="str">
        <f t="shared" si="3160"/>
        <v/>
      </c>
      <c r="EJ199" s="43" t="str">
        <f t="shared" si="3160"/>
        <v/>
      </c>
      <c r="EK199" s="43" t="str">
        <f t="shared" si="3160"/>
        <v/>
      </c>
      <c r="EL199" s="43" t="str">
        <f t="shared" si="3160"/>
        <v/>
      </c>
      <c r="EM199" s="43" t="str">
        <f t="shared" si="3160"/>
        <v/>
      </c>
      <c r="EN199" s="43" t="str">
        <f t="shared" si="3160"/>
        <v/>
      </c>
      <c r="EO199" s="43" t="str">
        <f t="shared" si="3160"/>
        <v/>
      </c>
      <c r="EP199" s="43" t="str">
        <f t="shared" si="3160"/>
        <v/>
      </c>
      <c r="EQ199" s="43" t="str">
        <f t="shared" si="3160"/>
        <v/>
      </c>
      <c r="ER199" s="43" t="str">
        <f t="shared" si="3160"/>
        <v/>
      </c>
      <c r="ES199" s="43" t="str">
        <f t="shared" si="3160"/>
        <v/>
      </c>
      <c r="ET199" s="43" t="str">
        <f t="shared" si="3160"/>
        <v/>
      </c>
      <c r="EU199" s="43" t="str">
        <f t="shared" si="3160"/>
        <v/>
      </c>
      <c r="EV199" s="43" t="str">
        <f t="shared" si="3160"/>
        <v/>
      </c>
      <c r="EW199" s="43" t="str">
        <f t="shared" si="3160"/>
        <v/>
      </c>
      <c r="EX199" s="43" t="str">
        <f t="shared" si="3160"/>
        <v/>
      </c>
      <c r="EY199" s="43" t="str">
        <f t="shared" si="3160"/>
        <v/>
      </c>
      <c r="EZ199" s="43" t="str">
        <f t="shared" si="3160"/>
        <v/>
      </c>
      <c r="FA199" s="43" t="str">
        <f t="shared" si="3160"/>
        <v/>
      </c>
      <c r="FB199" s="43" t="str">
        <f t="shared" si="3160"/>
        <v/>
      </c>
      <c r="FC199" s="43" t="str">
        <f t="shared" si="3160"/>
        <v/>
      </c>
      <c r="FD199" s="43" t="str">
        <f t="shared" si="3160"/>
        <v/>
      </c>
      <c r="FE199" s="43" t="str">
        <f t="shared" si="3160"/>
        <v/>
      </c>
      <c r="FF199" s="43" t="str">
        <f t="shared" si="3160"/>
        <v/>
      </c>
      <c r="FG199" s="43" t="str">
        <f t="shared" si="3160"/>
        <v/>
      </c>
      <c r="FH199" s="43" t="str">
        <f t="shared" si="3160"/>
        <v/>
      </c>
      <c r="FI199" s="43" t="str">
        <f t="shared" si="3160"/>
        <v/>
      </c>
      <c r="FJ199" s="43" t="str">
        <f t="shared" si="3160"/>
        <v/>
      </c>
      <c r="FK199" s="43" t="str">
        <f t="shared" si="3160"/>
        <v/>
      </c>
      <c r="FL199" s="43" t="str">
        <f t="shared" si="3160"/>
        <v/>
      </c>
      <c r="FM199" s="43" t="str">
        <f t="shared" si="3160"/>
        <v/>
      </c>
      <c r="FN199" s="43" t="str">
        <f t="shared" ref="FN199:FS199" si="3161">IF(CH199="","","|n"&amp;FN$2&amp;"+"&amp;CH199&amp;FN$1)</f>
        <v/>
      </c>
      <c r="FO199" s="43" t="str">
        <f t="shared" si="3161"/>
        <v/>
      </c>
      <c r="FP199" s="43" t="str">
        <f t="shared" si="3161"/>
        <v/>
      </c>
      <c r="FQ199" s="43" t="str">
        <f t="shared" si="3161"/>
        <v/>
      </c>
      <c r="FR199" s="43" t="str">
        <f t="shared" si="3161"/>
        <v/>
      </c>
      <c r="FS199" s="43" t="str">
        <f t="shared" si="3161"/>
        <v/>
      </c>
    </row>
    <row r="200" ht="15" spans="1:175">
      <c r="A200" s="98"/>
      <c r="B200" s="7" t="s">
        <v>642</v>
      </c>
      <c r="C200" s="5" t="s">
        <v>117</v>
      </c>
      <c r="T200" s="105"/>
      <c r="U200" s="59" t="str">
        <f t="shared" si="3080"/>
        <v>ReplaceableTextures\\CommandButtons\\BTNIF01.blp</v>
      </c>
      <c r="CN200" s="12" t="str">
        <f t="shared" ref="CN199:CN227" si="3162">"InitUnitState('"&amp;B200&amp;"',"&amp;V200&amp;","&amp;W200&amp;","&amp;X200&amp;","&amp;Y200&amp;","&amp;Z200&amp;","&amp;AA200&amp;","&amp;AB200&amp;","&amp;AC200&amp;","&amp;AD200&amp;","&amp;AE200&amp;")"</f>
        <v>InitUnitState('IF01',,,,,,,,,,)</v>
      </c>
      <c r="CO200" s="12" t="str">
        <f t="shared" ref="CO199:CO227" si="3163">"InitUnitNormal('"&amp;B200&amp;"',"&amp;AF200&amp;","&amp;AG200&amp;","&amp;AH200&amp;","&amp;AI200&amp;","&amp;AJ200&amp;","&amp;AK200&amp;","&amp;AL200&amp;","&amp;AM200&amp;","&amp;AN200&amp;","&amp;AO200&amp;")"</f>
        <v>InitUnitNormal('IF01',,,,,,,,,,)</v>
      </c>
      <c r="CP200" s="12" t="str">
        <f t="shared" ref="CP199:CP227" si="3164">"InitUnitMagic('"&amp;B200&amp;"',"&amp;AP200&amp;","&amp;AQ200&amp;","&amp;AR200&amp;","&amp;AS200&amp;","&amp;AT200&amp;","&amp;AU200&amp;","&amp;AV200&amp;","&amp;AW200&amp;","&amp;BI200&amp;","&amp;BJ200&amp;")"</f>
        <v>InitUnitMagic('IF01',,,,,,,,,,)</v>
      </c>
      <c r="CQ200" s="12" t="str">
        <f t="shared" ref="CQ199:CQ227" si="3165">"InitUnitAdd('"&amp;B200&amp;"',"&amp;BK200&amp;","&amp;BL200&amp;","&amp;BM200&amp;","&amp;BN200&amp;","&amp;BO200&amp;","&amp;BP200&amp;","&amp;BQ200&amp;","&amp;BR200&amp;","&amp;BS200&amp;","&amp;BT200&amp;")"</f>
        <v>InitUnitAdd('IF01',,,,,,,,,,)</v>
      </c>
      <c r="CR200" s="12" t="str">
        <f t="shared" ref="CR200:CR236" si="3166"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InitEquipData('IF01',,"",,,,,'','','','','','',"")</v>
      </c>
      <c r="CU200" s="71" t="str">
        <f t="shared" ref="CU200:CU222" si="3167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W200" s="6"/>
      <c r="CX200" s="6"/>
      <c r="CY200" s="6"/>
      <c r="CZ200" s="6"/>
      <c r="DA200" s="6"/>
      <c r="DB200" s="43" t="str">
        <f t="shared" ref="DB200:DB222" si="3168">IF(V200="","","|n"&amp;DB$2&amp;"+"&amp;V200&amp;DB$1)</f>
        <v/>
      </c>
      <c r="DC200" s="43" t="str">
        <f t="shared" ref="DC200:DC222" si="3169">IF(W200="","","|n"&amp;DC$2&amp;"+"&amp;W200&amp;DC$1)</f>
        <v/>
      </c>
      <c r="DD200" s="43" t="str">
        <f t="shared" ref="DD200:DD222" si="3170">IF(X200="","","|n"&amp;DD$2&amp;"+"&amp;X200&amp;DD$1)</f>
        <v/>
      </c>
      <c r="DE200" s="43" t="str">
        <f t="shared" ref="DE200:DE222" si="3171">IF(Y200="","","|n"&amp;DE$2&amp;"+"&amp;Y200&amp;DE$1)</f>
        <v/>
      </c>
      <c r="DF200" s="43" t="str">
        <f t="shared" ref="DF200:DF222" si="3172">IF(Z200="","","|n"&amp;DF$2&amp;"+"&amp;Z200&amp;DF$1)</f>
        <v/>
      </c>
      <c r="DG200" s="43" t="str">
        <f t="shared" ref="DG200:DG222" si="3173">IF(AA200="","","|n"&amp;DG$2&amp;"+"&amp;AA200&amp;DG$1)</f>
        <v/>
      </c>
      <c r="DH200" s="43" t="str">
        <f t="shared" ref="DH200:DH222" si="3174">IF(AB200="","","|n"&amp;DH$2&amp;"+"&amp;AB200&amp;DH$1)</f>
        <v/>
      </c>
      <c r="DI200" s="43" t="str">
        <f t="shared" ref="DI200:DI222" si="3175">IF(AC200="","","|n"&amp;DI$2&amp;"+"&amp;AC200&amp;DI$1)</f>
        <v/>
      </c>
      <c r="DJ200" s="43" t="str">
        <f t="shared" ref="DJ200:DJ222" si="3176">IF(AD200="","","|n"&amp;DJ$2&amp;"+"&amp;AD200&amp;DJ$1)</f>
        <v/>
      </c>
      <c r="DK200" s="43" t="str">
        <f t="shared" ref="DK200:DK222" si="3177">IF(AE200="","","|n"&amp;DK$2&amp;"+"&amp;AE200&amp;DK$1)</f>
        <v/>
      </c>
      <c r="DL200" s="43" t="str">
        <f t="shared" ref="DL200:DL222" si="3178">IF(AF200="","","|n"&amp;DL$2&amp;"+"&amp;AF200&amp;DL$1)</f>
        <v/>
      </c>
      <c r="DM200" s="43" t="str">
        <f t="shared" ref="DM200:DM222" si="3179">IF(AG200="","","|n"&amp;DM$2&amp;"+"&amp;AG200&amp;DM$1)</f>
        <v/>
      </c>
      <c r="DN200" s="43" t="str">
        <f t="shared" ref="DN200:DN222" si="3180">IF(AH200="","","|n"&amp;DN$2&amp;"+"&amp;AH200&amp;DN$1)</f>
        <v/>
      </c>
      <c r="DO200" s="43" t="str">
        <f t="shared" ref="DO200:DO222" si="3181">IF(AI200="","","|n"&amp;DO$2&amp;"+"&amp;AI200&amp;DO$1)</f>
        <v/>
      </c>
      <c r="DP200" s="43" t="str">
        <f t="shared" ref="DP200:DP222" si="3182">IF(AJ200="","","|n"&amp;DP$2&amp;"+"&amp;AJ200&amp;DP$1)</f>
        <v/>
      </c>
      <c r="DQ200" s="43" t="str">
        <f t="shared" ref="DQ200:DQ222" si="3183">IF(AK200="","","|n"&amp;DQ$2&amp;"+"&amp;AK200&amp;DQ$1)</f>
        <v/>
      </c>
      <c r="DR200" s="43" t="str">
        <f t="shared" ref="DR200:DR222" si="3184">IF(AL200="","","|n"&amp;DR$2&amp;"+"&amp;AL200&amp;DR$1)</f>
        <v/>
      </c>
      <c r="DS200" s="43" t="str">
        <f t="shared" ref="DS200:DS222" si="3185">IF(AM200="","","|n"&amp;DS$2&amp;"+"&amp;AM200&amp;DS$1)</f>
        <v/>
      </c>
      <c r="DT200" s="43" t="str">
        <f t="shared" ref="DT200:DT222" si="3186">IF(AN200="","","|n"&amp;DT$2&amp;"+"&amp;AN200&amp;DT$1)</f>
        <v/>
      </c>
      <c r="DU200" s="43" t="str">
        <f t="shared" ref="DU200:DU222" si="3187">IF(AO200="","","|n"&amp;DU$2&amp;"+"&amp;AO200&amp;DU$1)</f>
        <v/>
      </c>
      <c r="DV200" s="43" t="str">
        <f t="shared" ref="DV200:DV222" si="3188">IF(AP200="","","|n"&amp;DV$2&amp;"+"&amp;AP200&amp;DV$1)</f>
        <v/>
      </c>
      <c r="DW200" s="43" t="str">
        <f t="shared" ref="DW200:DW222" si="3189">IF(AQ200="","","|n"&amp;DW$2&amp;"+"&amp;AQ200&amp;DW$1)</f>
        <v/>
      </c>
      <c r="DX200" s="43" t="str">
        <f t="shared" ref="DX200:DX222" si="3190">IF(AR200="","","|n"&amp;DX$2&amp;"+"&amp;AR200&amp;DX$1)</f>
        <v/>
      </c>
      <c r="DY200" s="43" t="str">
        <f t="shared" ref="DY200:DY222" si="3191">IF(AS200="","","|n"&amp;DY$2&amp;"+"&amp;AS200&amp;DY$1)</f>
        <v/>
      </c>
      <c r="DZ200" s="43" t="str">
        <f t="shared" ref="DZ200:DZ222" si="3192">IF(AT200="","","|n"&amp;DZ$2&amp;"+"&amp;AT200&amp;DZ$1)</f>
        <v/>
      </c>
      <c r="EA200" s="43" t="str">
        <f t="shared" ref="EA200:EA222" si="3193">IF(AU200="","","|n"&amp;EA$2&amp;"+"&amp;AU200&amp;EA$1)</f>
        <v/>
      </c>
      <c r="EB200" s="43" t="str">
        <f t="shared" ref="EB200:EB222" si="3194">IF(AV200="","","|n"&amp;EB$2&amp;"+"&amp;AV200&amp;EB$1)</f>
        <v/>
      </c>
      <c r="EC200" s="43" t="str">
        <f t="shared" ref="EC200:EC222" si="3195">IF(AW200="","","|n"&amp;EC$2&amp;"+"&amp;AW200&amp;EC$1)</f>
        <v/>
      </c>
      <c r="ED200" s="43" t="str">
        <f t="shared" ref="ED200:ED222" si="3196">IF(AX200="","","|n"&amp;ED$2&amp;"+"&amp;AX200&amp;ED$1)</f>
        <v/>
      </c>
      <c r="EE200" s="43" t="str">
        <f t="shared" ref="EE200:EE222" si="3197">IF(AY200="","","|n"&amp;EE$2&amp;"+"&amp;AY200&amp;EE$1)</f>
        <v/>
      </c>
      <c r="EF200" s="43" t="str">
        <f t="shared" ref="EF200:EF222" si="3198">IF(AZ200="","","|n"&amp;EF$2&amp;"+"&amp;AZ200&amp;EF$1)</f>
        <v/>
      </c>
      <c r="EG200" s="43" t="str">
        <f t="shared" ref="EG200:EG222" si="3199">IF(BA200="","","|n"&amp;EG$2&amp;"+"&amp;BA200&amp;EG$1)</f>
        <v/>
      </c>
      <c r="EH200" s="43" t="str">
        <f t="shared" ref="EH200:EH222" si="3200">IF(BB200="","","|n"&amp;EH$2&amp;"+"&amp;BB200&amp;EH$1)</f>
        <v/>
      </c>
      <c r="EI200" s="43" t="str">
        <f t="shared" ref="EI200:EI222" si="3201">IF(BC200="","","|n"&amp;EI$2&amp;"+"&amp;BC200&amp;EI$1)</f>
        <v/>
      </c>
      <c r="EJ200" s="43" t="str">
        <f t="shared" ref="EJ200:EJ222" si="3202">IF(BD200="","","|n"&amp;EJ$2&amp;"+"&amp;BD200&amp;EJ$1)</f>
        <v/>
      </c>
      <c r="EK200" s="43" t="str">
        <f t="shared" ref="EK200:EK222" si="3203">IF(BE200="","","|n"&amp;EK$2&amp;"+"&amp;BE200&amp;EK$1)</f>
        <v/>
      </c>
      <c r="EL200" s="43" t="str">
        <f t="shared" ref="EL200:EL222" si="3204">IF(BF200="","","|n"&amp;EL$2&amp;"+"&amp;BF200&amp;EL$1)</f>
        <v/>
      </c>
      <c r="EM200" s="43" t="str">
        <f t="shared" ref="EM200:EM222" si="3205">IF(BG200="","","|n"&amp;EM$2&amp;"+"&amp;BG200&amp;EM$1)</f>
        <v/>
      </c>
      <c r="EN200" s="43" t="str">
        <f t="shared" ref="EN200:EN222" si="3206">IF(BH200="","","|n"&amp;EN$2&amp;"+"&amp;BH200&amp;EN$1)</f>
        <v/>
      </c>
      <c r="EO200" s="43" t="str">
        <f t="shared" ref="EO200:EO222" si="3207">IF(BI200="","","|n"&amp;EO$2&amp;"+"&amp;BI200&amp;EO$1)</f>
        <v/>
      </c>
      <c r="EP200" s="43" t="str">
        <f t="shared" ref="EP200:EP222" si="3208">IF(BJ200="","","|n"&amp;EP$2&amp;"+"&amp;BJ200&amp;EP$1)</f>
        <v/>
      </c>
      <c r="EQ200" s="43" t="str">
        <f t="shared" ref="EQ200:EQ222" si="3209">IF(BK200="","","|n"&amp;EQ$2&amp;"+"&amp;BK200&amp;EQ$1)</f>
        <v/>
      </c>
      <c r="ER200" s="43" t="str">
        <f t="shared" ref="ER200:ER222" si="3210">IF(BL200="","","|n"&amp;ER$2&amp;"+"&amp;BL200&amp;ER$1)</f>
        <v/>
      </c>
      <c r="ES200" s="43" t="str">
        <f t="shared" ref="ES200:ES222" si="3211">IF(BM200="","","|n"&amp;ES$2&amp;"+"&amp;BM200&amp;ES$1)</f>
        <v/>
      </c>
      <c r="ET200" s="43" t="str">
        <f t="shared" ref="ET200:ET222" si="3212">IF(BN200="","","|n"&amp;ET$2&amp;"+"&amp;BN200&amp;ET$1)</f>
        <v/>
      </c>
      <c r="EU200" s="43" t="str">
        <f t="shared" ref="EU200:EU222" si="3213">IF(BO200="","","|n"&amp;EU$2&amp;"+"&amp;BO200&amp;EU$1)</f>
        <v/>
      </c>
      <c r="EV200" s="43" t="str">
        <f t="shared" ref="EV200:EV222" si="3214">IF(BP200="","","|n"&amp;EV$2&amp;"+"&amp;BP200&amp;EV$1)</f>
        <v/>
      </c>
      <c r="EW200" s="43" t="str">
        <f t="shared" ref="EW200:EW222" si="3215">IF(BQ200="","","|n"&amp;EW$2&amp;"+"&amp;BQ200&amp;EW$1)</f>
        <v/>
      </c>
      <c r="EX200" s="43" t="str">
        <f t="shared" ref="EX200:EX222" si="3216">IF(BR200="","","|n"&amp;EX$2&amp;"+"&amp;BR200&amp;EX$1)</f>
        <v/>
      </c>
      <c r="EY200" s="43" t="str">
        <f t="shared" ref="EY200:EY222" si="3217">IF(BS200="","","|n"&amp;EY$2&amp;"+"&amp;BS200&amp;EY$1)</f>
        <v/>
      </c>
      <c r="EZ200" s="43" t="str">
        <f t="shared" ref="EZ200:EZ222" si="3218">IF(BT200="","","|n"&amp;EZ$2&amp;"+"&amp;BT200&amp;EZ$1)</f>
        <v/>
      </c>
      <c r="FA200" s="43" t="str">
        <f t="shared" ref="FA200:FA222" si="3219">IF(BU200="","","|n"&amp;FA$2&amp;"+"&amp;BU200&amp;FA$1)</f>
        <v/>
      </c>
      <c r="FB200" s="43" t="str">
        <f t="shared" ref="FB200:FB222" si="3220">IF(BV200="","","|n"&amp;FB$2&amp;"+"&amp;BV200&amp;FB$1)</f>
        <v/>
      </c>
      <c r="FC200" s="43" t="str">
        <f t="shared" ref="FC200:FC222" si="3221">IF(BW200="","","|n"&amp;FC$2&amp;"+"&amp;BW200&amp;FC$1)</f>
        <v/>
      </c>
      <c r="FD200" s="43" t="str">
        <f t="shared" ref="FD200:FD222" si="3222">IF(BX200="","","|n"&amp;FD$2&amp;"+"&amp;BX200&amp;FD$1)</f>
        <v/>
      </c>
      <c r="FE200" s="43" t="str">
        <f t="shared" ref="FE200:FE222" si="3223">IF(BY200="","","|n"&amp;FE$2&amp;"+"&amp;BY200&amp;FE$1)</f>
        <v/>
      </c>
      <c r="FF200" s="43" t="str">
        <f t="shared" ref="FF200:FF222" si="3224">IF(BZ200="","","|n"&amp;FF$2&amp;"+"&amp;BZ200&amp;FF$1)</f>
        <v/>
      </c>
      <c r="FG200" s="43" t="str">
        <f t="shared" ref="FG200:FG222" si="3225">IF(CA200="","","|n"&amp;FG$2&amp;"+"&amp;CA200&amp;FG$1)</f>
        <v/>
      </c>
      <c r="FH200" s="43" t="str">
        <f t="shared" ref="FH200:FH222" si="3226">IF(CB200="","","|n"&amp;FH$2&amp;"+"&amp;CB200&amp;FH$1)</f>
        <v/>
      </c>
      <c r="FI200" s="43" t="str">
        <f t="shared" ref="FI200:FI222" si="3227">IF(CC200="","","|n"&amp;FI$2&amp;"+"&amp;CC200&amp;FI$1)</f>
        <v/>
      </c>
      <c r="FJ200" s="43" t="str">
        <f t="shared" ref="FJ200:FJ222" si="3228">IF(CD200="","","|n"&amp;FJ$2&amp;"+"&amp;CD200&amp;FJ$1)</f>
        <v/>
      </c>
      <c r="FK200" s="43" t="str">
        <f t="shared" ref="FK200:FK222" si="3229">IF(CE200="","","|n"&amp;FK$2&amp;"+"&amp;CE200&amp;FK$1)</f>
        <v/>
      </c>
      <c r="FL200" s="43" t="str">
        <f t="shared" ref="FL200:FL222" si="3230">IF(CF200="","","|n"&amp;FL$2&amp;"+"&amp;CF200&amp;FL$1)</f>
        <v/>
      </c>
      <c r="FM200" s="43" t="str">
        <f t="shared" ref="FM200:FM222" si="3231">IF(CG200="","","|n"&amp;FM$2&amp;"+"&amp;CG200&amp;FM$1)</f>
        <v/>
      </c>
      <c r="FN200" s="43" t="str">
        <f t="shared" ref="FN200:FN222" si="3232">IF(CH200="","","|n"&amp;FN$2&amp;"+"&amp;CH200&amp;FN$1)</f>
        <v/>
      </c>
      <c r="FO200" s="43" t="str">
        <f t="shared" ref="FO200:FO222" si="3233">IF(CI200="","","|n"&amp;FO$2&amp;"+"&amp;CI200&amp;FO$1)</f>
        <v/>
      </c>
      <c r="FP200" s="43" t="str">
        <f t="shared" ref="FP200:FP222" si="3234">IF(CJ200="","","|n"&amp;FP$2&amp;"+"&amp;CJ200&amp;FP$1)</f>
        <v/>
      </c>
      <c r="FQ200" s="43" t="str">
        <f t="shared" ref="FQ200:FQ222" si="3235">IF(CK200="","","|n"&amp;FQ$2&amp;"+"&amp;CK200&amp;FQ$1)</f>
        <v/>
      </c>
      <c r="FR200" s="43" t="str">
        <f t="shared" ref="FR200:FR222" si="3236">IF(CL200="","","|n"&amp;FR$2&amp;"+"&amp;CL200&amp;FR$1)</f>
        <v/>
      </c>
      <c r="FS200" s="43" t="str">
        <f t="shared" ref="FS200:FS222" si="3237">IF(CM200="","","|n"&amp;FS$2&amp;"+"&amp;CM200&amp;FS$1)</f>
        <v/>
      </c>
    </row>
    <row r="201" ht="15" spans="1:175">
      <c r="A201" s="98"/>
      <c r="B201" s="7" t="s">
        <v>643</v>
      </c>
      <c r="C201" s="5" t="s">
        <v>644</v>
      </c>
      <c r="T201" s="105"/>
      <c r="U201" s="59"/>
      <c r="CN201" s="12" t="str">
        <f t="shared" si="3162"/>
        <v>InitUnitState('IF02',,,,,,,,,,)</v>
      </c>
      <c r="CO201" s="12" t="str">
        <f t="shared" si="3163"/>
        <v>InitUnitNormal('IF02',,,,,,,,,,)</v>
      </c>
      <c r="CP201" s="12" t="str">
        <f t="shared" si="3164"/>
        <v>InitUnitMagic('IF02',,,,,,,,,,)</v>
      </c>
      <c r="CQ201" s="12" t="str">
        <f t="shared" si="3165"/>
        <v>InitUnitAdd('IF02',,,,,,,,,,)</v>
      </c>
      <c r="CR201" s="12" t="str">
        <f t="shared" si="3166"/>
        <v>InitEquipData('IF02',,"",,,,,'','','','','','',"")</v>
      </c>
      <c r="CU201" s="71" t="str">
        <f t="shared" si="3167"/>
        <v>|n</v>
      </c>
      <c r="CW201" s="6"/>
      <c r="CX201" s="6"/>
      <c r="CY201" s="6"/>
      <c r="CZ201" s="6"/>
      <c r="DA201" s="6"/>
      <c r="DB201" s="43" t="str">
        <f t="shared" si="3168"/>
        <v/>
      </c>
      <c r="DC201" s="43" t="str">
        <f t="shared" si="3169"/>
        <v/>
      </c>
      <c r="DD201" s="43" t="str">
        <f t="shared" si="3170"/>
        <v/>
      </c>
      <c r="DE201" s="43" t="str">
        <f t="shared" si="3171"/>
        <v/>
      </c>
      <c r="DF201" s="43" t="str">
        <f t="shared" si="3172"/>
        <v/>
      </c>
      <c r="DG201" s="43" t="str">
        <f t="shared" si="3173"/>
        <v/>
      </c>
      <c r="DH201" s="43" t="str">
        <f t="shared" si="3174"/>
        <v/>
      </c>
      <c r="DI201" s="43" t="str">
        <f t="shared" si="3175"/>
        <v/>
      </c>
      <c r="DJ201" s="43" t="str">
        <f t="shared" si="3176"/>
        <v/>
      </c>
      <c r="DK201" s="43" t="str">
        <f t="shared" si="3177"/>
        <v/>
      </c>
      <c r="DL201" s="43" t="str">
        <f t="shared" si="3178"/>
        <v/>
      </c>
      <c r="DM201" s="43" t="str">
        <f t="shared" si="3179"/>
        <v/>
      </c>
      <c r="DN201" s="43" t="str">
        <f t="shared" si="3180"/>
        <v/>
      </c>
      <c r="DO201" s="43" t="str">
        <f t="shared" si="3181"/>
        <v/>
      </c>
      <c r="DP201" s="43" t="str">
        <f t="shared" si="3182"/>
        <v/>
      </c>
      <c r="DQ201" s="43" t="str">
        <f t="shared" si="3183"/>
        <v/>
      </c>
      <c r="DR201" s="43" t="str">
        <f t="shared" si="3184"/>
        <v/>
      </c>
      <c r="DS201" s="43" t="str">
        <f t="shared" si="3185"/>
        <v/>
      </c>
      <c r="DT201" s="43" t="str">
        <f t="shared" si="3186"/>
        <v/>
      </c>
      <c r="DU201" s="43" t="str">
        <f t="shared" si="3187"/>
        <v/>
      </c>
      <c r="DV201" s="43" t="str">
        <f t="shared" si="3188"/>
        <v/>
      </c>
      <c r="DW201" s="43" t="str">
        <f t="shared" si="3189"/>
        <v/>
      </c>
      <c r="DX201" s="43" t="str">
        <f t="shared" si="3190"/>
        <v/>
      </c>
      <c r="DY201" s="43" t="str">
        <f t="shared" si="3191"/>
        <v/>
      </c>
      <c r="DZ201" s="43" t="str">
        <f t="shared" si="3192"/>
        <v/>
      </c>
      <c r="EA201" s="43" t="str">
        <f t="shared" si="3193"/>
        <v/>
      </c>
      <c r="EB201" s="43" t="str">
        <f t="shared" si="3194"/>
        <v/>
      </c>
      <c r="EC201" s="43" t="str">
        <f t="shared" si="3195"/>
        <v/>
      </c>
      <c r="ED201" s="43" t="str">
        <f t="shared" si="3196"/>
        <v/>
      </c>
      <c r="EE201" s="43" t="str">
        <f t="shared" si="3197"/>
        <v/>
      </c>
      <c r="EF201" s="43" t="str">
        <f t="shared" si="3198"/>
        <v/>
      </c>
      <c r="EG201" s="43" t="str">
        <f t="shared" si="3199"/>
        <v/>
      </c>
      <c r="EH201" s="43" t="str">
        <f t="shared" si="3200"/>
        <v/>
      </c>
      <c r="EI201" s="43" t="str">
        <f t="shared" si="3201"/>
        <v/>
      </c>
      <c r="EJ201" s="43" t="str">
        <f t="shared" si="3202"/>
        <v/>
      </c>
      <c r="EK201" s="43" t="str">
        <f t="shared" si="3203"/>
        <v/>
      </c>
      <c r="EL201" s="43" t="str">
        <f t="shared" si="3204"/>
        <v/>
      </c>
      <c r="EM201" s="43" t="str">
        <f t="shared" si="3205"/>
        <v/>
      </c>
      <c r="EN201" s="43" t="str">
        <f t="shared" si="3206"/>
        <v/>
      </c>
      <c r="EO201" s="43" t="str">
        <f t="shared" si="3207"/>
        <v/>
      </c>
      <c r="EP201" s="43" t="str">
        <f t="shared" si="3208"/>
        <v/>
      </c>
      <c r="EQ201" s="43" t="str">
        <f t="shared" si="3209"/>
        <v/>
      </c>
      <c r="ER201" s="43" t="str">
        <f t="shared" si="3210"/>
        <v/>
      </c>
      <c r="ES201" s="43" t="str">
        <f t="shared" si="3211"/>
        <v/>
      </c>
      <c r="ET201" s="43" t="str">
        <f t="shared" si="3212"/>
        <v/>
      </c>
      <c r="EU201" s="43" t="str">
        <f t="shared" si="3213"/>
        <v/>
      </c>
      <c r="EV201" s="43" t="str">
        <f t="shared" si="3214"/>
        <v/>
      </c>
      <c r="EW201" s="43" t="str">
        <f t="shared" si="3215"/>
        <v/>
      </c>
      <c r="EX201" s="43" t="str">
        <f t="shared" si="3216"/>
        <v/>
      </c>
      <c r="EY201" s="43" t="str">
        <f t="shared" si="3217"/>
        <v/>
      </c>
      <c r="EZ201" s="43" t="str">
        <f t="shared" si="3218"/>
        <v/>
      </c>
      <c r="FA201" s="43" t="str">
        <f t="shared" si="3219"/>
        <v/>
      </c>
      <c r="FB201" s="43" t="str">
        <f t="shared" si="3220"/>
        <v/>
      </c>
      <c r="FC201" s="43" t="str">
        <f t="shared" si="3221"/>
        <v/>
      </c>
      <c r="FD201" s="43" t="str">
        <f t="shared" si="3222"/>
        <v/>
      </c>
      <c r="FE201" s="43" t="str">
        <f t="shared" si="3223"/>
        <v/>
      </c>
      <c r="FF201" s="43" t="str">
        <f t="shared" si="3224"/>
        <v/>
      </c>
      <c r="FG201" s="43" t="str">
        <f t="shared" si="3225"/>
        <v/>
      </c>
      <c r="FH201" s="43" t="str">
        <f t="shared" si="3226"/>
        <v/>
      </c>
      <c r="FI201" s="43" t="str">
        <f t="shared" si="3227"/>
        <v/>
      </c>
      <c r="FJ201" s="43" t="str">
        <f t="shared" si="3228"/>
        <v/>
      </c>
      <c r="FK201" s="43" t="str">
        <f t="shared" si="3229"/>
        <v/>
      </c>
      <c r="FL201" s="43" t="str">
        <f t="shared" si="3230"/>
        <v/>
      </c>
      <c r="FM201" s="43" t="str">
        <f t="shared" si="3231"/>
        <v/>
      </c>
      <c r="FN201" s="43" t="str">
        <f t="shared" si="3232"/>
        <v/>
      </c>
      <c r="FO201" s="43" t="str">
        <f t="shared" si="3233"/>
        <v/>
      </c>
      <c r="FP201" s="43" t="str">
        <f t="shared" si="3234"/>
        <v/>
      </c>
      <c r="FQ201" s="43" t="str">
        <f t="shared" si="3235"/>
        <v/>
      </c>
      <c r="FR201" s="43" t="str">
        <f t="shared" si="3236"/>
        <v/>
      </c>
      <c r="FS201" s="43" t="str">
        <f t="shared" si="3237"/>
        <v/>
      </c>
    </row>
    <row r="202" ht="15" spans="1:175">
      <c r="A202" s="99"/>
      <c r="B202" s="7" t="s">
        <v>645</v>
      </c>
      <c r="C202" s="5" t="s">
        <v>117</v>
      </c>
      <c r="T202" s="106"/>
      <c r="U202" s="59"/>
      <c r="CN202" s="12" t="str">
        <f t="shared" si="3162"/>
        <v>InitUnitState('IF03',,,,,,,,,,)</v>
      </c>
      <c r="CO202" s="12" t="str">
        <f t="shared" si="3163"/>
        <v>InitUnitNormal('IF03',,,,,,,,,,)</v>
      </c>
      <c r="CP202" s="12" t="str">
        <f t="shared" si="3164"/>
        <v>InitUnitMagic('IF03',,,,,,,,,,)</v>
      </c>
      <c r="CQ202" s="12" t="str">
        <f t="shared" si="3165"/>
        <v>InitUnitAdd('IF03',,,,,,,,,,)</v>
      </c>
      <c r="CR202" s="12" t="str">
        <f t="shared" si="3166"/>
        <v>InitEquipData('IF03',,"",,,,,'','','','','','',"")</v>
      </c>
      <c r="CU202" s="71" t="str">
        <f t="shared" si="3167"/>
        <v>|n</v>
      </c>
      <c r="CW202" s="6"/>
      <c r="CX202" s="6"/>
      <c r="CY202" s="6"/>
      <c r="CZ202" s="6"/>
      <c r="DA202" s="6"/>
      <c r="DB202" s="43" t="str">
        <f t="shared" si="3168"/>
        <v/>
      </c>
      <c r="DC202" s="43" t="str">
        <f t="shared" si="3169"/>
        <v/>
      </c>
      <c r="DD202" s="43" t="str">
        <f t="shared" si="3170"/>
        <v/>
      </c>
      <c r="DE202" s="43" t="str">
        <f t="shared" si="3171"/>
        <v/>
      </c>
      <c r="DF202" s="43" t="str">
        <f t="shared" si="3172"/>
        <v/>
      </c>
      <c r="DG202" s="43" t="str">
        <f t="shared" si="3173"/>
        <v/>
      </c>
      <c r="DH202" s="43" t="str">
        <f t="shared" si="3174"/>
        <v/>
      </c>
      <c r="DI202" s="43" t="str">
        <f t="shared" si="3175"/>
        <v/>
      </c>
      <c r="DJ202" s="43" t="str">
        <f t="shared" si="3176"/>
        <v/>
      </c>
      <c r="DK202" s="43" t="str">
        <f t="shared" si="3177"/>
        <v/>
      </c>
      <c r="DL202" s="43" t="str">
        <f t="shared" si="3178"/>
        <v/>
      </c>
      <c r="DM202" s="43" t="str">
        <f t="shared" si="3179"/>
        <v/>
      </c>
      <c r="DN202" s="43" t="str">
        <f t="shared" si="3180"/>
        <v/>
      </c>
      <c r="DO202" s="43" t="str">
        <f t="shared" si="3181"/>
        <v/>
      </c>
      <c r="DP202" s="43" t="str">
        <f t="shared" si="3182"/>
        <v/>
      </c>
      <c r="DQ202" s="43" t="str">
        <f t="shared" si="3183"/>
        <v/>
      </c>
      <c r="DR202" s="43" t="str">
        <f t="shared" si="3184"/>
        <v/>
      </c>
      <c r="DS202" s="43" t="str">
        <f t="shared" si="3185"/>
        <v/>
      </c>
      <c r="DT202" s="43" t="str">
        <f t="shared" si="3186"/>
        <v/>
      </c>
      <c r="DU202" s="43" t="str">
        <f t="shared" si="3187"/>
        <v/>
      </c>
      <c r="DV202" s="43" t="str">
        <f t="shared" si="3188"/>
        <v/>
      </c>
      <c r="DW202" s="43" t="str">
        <f t="shared" si="3189"/>
        <v/>
      </c>
      <c r="DX202" s="43" t="str">
        <f t="shared" si="3190"/>
        <v/>
      </c>
      <c r="DY202" s="43" t="str">
        <f t="shared" si="3191"/>
        <v/>
      </c>
      <c r="DZ202" s="43" t="str">
        <f t="shared" si="3192"/>
        <v/>
      </c>
      <c r="EA202" s="43" t="str">
        <f t="shared" si="3193"/>
        <v/>
      </c>
      <c r="EB202" s="43" t="str">
        <f t="shared" si="3194"/>
        <v/>
      </c>
      <c r="EC202" s="43" t="str">
        <f t="shared" si="3195"/>
        <v/>
      </c>
      <c r="ED202" s="43" t="str">
        <f t="shared" si="3196"/>
        <v/>
      </c>
      <c r="EE202" s="43" t="str">
        <f t="shared" si="3197"/>
        <v/>
      </c>
      <c r="EF202" s="43" t="str">
        <f t="shared" si="3198"/>
        <v/>
      </c>
      <c r="EG202" s="43" t="str">
        <f t="shared" si="3199"/>
        <v/>
      </c>
      <c r="EH202" s="43" t="str">
        <f t="shared" si="3200"/>
        <v/>
      </c>
      <c r="EI202" s="43" t="str">
        <f t="shared" si="3201"/>
        <v/>
      </c>
      <c r="EJ202" s="43" t="str">
        <f t="shared" si="3202"/>
        <v/>
      </c>
      <c r="EK202" s="43" t="str">
        <f t="shared" si="3203"/>
        <v/>
      </c>
      <c r="EL202" s="43" t="str">
        <f t="shared" si="3204"/>
        <v/>
      </c>
      <c r="EM202" s="43" t="str">
        <f t="shared" si="3205"/>
        <v/>
      </c>
      <c r="EN202" s="43" t="str">
        <f t="shared" si="3206"/>
        <v/>
      </c>
      <c r="EO202" s="43" t="str">
        <f t="shared" si="3207"/>
        <v/>
      </c>
      <c r="EP202" s="43" t="str">
        <f t="shared" si="3208"/>
        <v/>
      </c>
      <c r="EQ202" s="43" t="str">
        <f t="shared" si="3209"/>
        <v/>
      </c>
      <c r="ER202" s="43" t="str">
        <f t="shared" si="3210"/>
        <v/>
      </c>
      <c r="ES202" s="43" t="str">
        <f t="shared" si="3211"/>
        <v/>
      </c>
      <c r="ET202" s="43" t="str">
        <f t="shared" si="3212"/>
        <v/>
      </c>
      <c r="EU202" s="43" t="str">
        <f t="shared" si="3213"/>
        <v/>
      </c>
      <c r="EV202" s="43" t="str">
        <f t="shared" si="3214"/>
        <v/>
      </c>
      <c r="EW202" s="43" t="str">
        <f t="shared" si="3215"/>
        <v/>
      </c>
      <c r="EX202" s="43" t="str">
        <f t="shared" si="3216"/>
        <v/>
      </c>
      <c r="EY202" s="43" t="str">
        <f t="shared" si="3217"/>
        <v/>
      </c>
      <c r="EZ202" s="43" t="str">
        <f t="shared" si="3218"/>
        <v/>
      </c>
      <c r="FA202" s="43" t="str">
        <f t="shared" si="3219"/>
        <v/>
      </c>
      <c r="FB202" s="43" t="str">
        <f t="shared" si="3220"/>
        <v/>
      </c>
      <c r="FC202" s="43" t="str">
        <f t="shared" si="3221"/>
        <v/>
      </c>
      <c r="FD202" s="43" t="str">
        <f t="shared" si="3222"/>
        <v/>
      </c>
      <c r="FE202" s="43" t="str">
        <f t="shared" si="3223"/>
        <v/>
      </c>
      <c r="FF202" s="43" t="str">
        <f t="shared" si="3224"/>
        <v/>
      </c>
      <c r="FG202" s="43" t="str">
        <f t="shared" si="3225"/>
        <v/>
      </c>
      <c r="FH202" s="43" t="str">
        <f t="shared" si="3226"/>
        <v/>
      </c>
      <c r="FI202" s="43" t="str">
        <f t="shared" si="3227"/>
        <v/>
      </c>
      <c r="FJ202" s="43" t="str">
        <f t="shared" si="3228"/>
        <v/>
      </c>
      <c r="FK202" s="43" t="str">
        <f t="shared" si="3229"/>
        <v/>
      </c>
      <c r="FL202" s="43" t="str">
        <f t="shared" si="3230"/>
        <v/>
      </c>
      <c r="FM202" s="43" t="str">
        <f t="shared" si="3231"/>
        <v/>
      </c>
      <c r="FN202" s="43" t="str">
        <f t="shared" si="3232"/>
        <v/>
      </c>
      <c r="FO202" s="43" t="str">
        <f t="shared" si="3233"/>
        <v/>
      </c>
      <c r="FP202" s="43" t="str">
        <f t="shared" si="3234"/>
        <v/>
      </c>
      <c r="FQ202" s="43" t="str">
        <f t="shared" si="3235"/>
        <v/>
      </c>
      <c r="FR202" s="43" t="str">
        <f t="shared" si="3236"/>
        <v/>
      </c>
      <c r="FS202" s="43" t="str">
        <f t="shared" si="3237"/>
        <v/>
      </c>
    </row>
    <row r="203" ht="15" spans="1:175">
      <c r="A203" s="99"/>
      <c r="B203" s="7" t="s">
        <v>646</v>
      </c>
      <c r="C203" s="5" t="s">
        <v>644</v>
      </c>
      <c r="T203" s="106"/>
      <c r="U203" s="59"/>
      <c r="CN203" s="12" t="str">
        <f t="shared" si="3162"/>
        <v>InitUnitState('IF04',,,,,,,,,,)</v>
      </c>
      <c r="CO203" s="12" t="str">
        <f t="shared" si="3163"/>
        <v>InitUnitNormal('IF04',,,,,,,,,,)</v>
      </c>
      <c r="CP203" s="12" t="str">
        <f t="shared" si="3164"/>
        <v>InitUnitMagic('IF04',,,,,,,,,,)</v>
      </c>
      <c r="CQ203" s="12" t="str">
        <f t="shared" si="3165"/>
        <v>InitUnitAdd('IF04',,,,,,,,,,)</v>
      </c>
      <c r="CR203" s="12" t="str">
        <f t="shared" si="3166"/>
        <v>InitEquipData('IF04',,"",,,,,'','','','','','',"")</v>
      </c>
      <c r="CU203" s="71" t="str">
        <f t="shared" si="3167"/>
        <v>|n</v>
      </c>
      <c r="CW203" s="6"/>
      <c r="CX203" s="6"/>
      <c r="CY203" s="6"/>
      <c r="CZ203" s="6"/>
      <c r="DA203" s="6"/>
      <c r="DB203" s="43" t="str">
        <f t="shared" si="3168"/>
        <v/>
      </c>
      <c r="DC203" s="43" t="str">
        <f t="shared" si="3169"/>
        <v/>
      </c>
      <c r="DD203" s="43" t="str">
        <f t="shared" si="3170"/>
        <v/>
      </c>
      <c r="DE203" s="43" t="str">
        <f t="shared" si="3171"/>
        <v/>
      </c>
      <c r="DF203" s="43" t="str">
        <f t="shared" si="3172"/>
        <v/>
      </c>
      <c r="DG203" s="43" t="str">
        <f t="shared" si="3173"/>
        <v/>
      </c>
      <c r="DH203" s="43" t="str">
        <f t="shared" si="3174"/>
        <v/>
      </c>
      <c r="DI203" s="43" t="str">
        <f t="shared" si="3175"/>
        <v/>
      </c>
      <c r="DJ203" s="43" t="str">
        <f t="shared" si="3176"/>
        <v/>
      </c>
      <c r="DK203" s="43" t="str">
        <f t="shared" si="3177"/>
        <v/>
      </c>
      <c r="DL203" s="43" t="str">
        <f t="shared" si="3178"/>
        <v/>
      </c>
      <c r="DM203" s="43" t="str">
        <f t="shared" si="3179"/>
        <v/>
      </c>
      <c r="DN203" s="43" t="str">
        <f t="shared" si="3180"/>
        <v/>
      </c>
      <c r="DO203" s="43" t="str">
        <f t="shared" si="3181"/>
        <v/>
      </c>
      <c r="DP203" s="43" t="str">
        <f t="shared" si="3182"/>
        <v/>
      </c>
      <c r="DQ203" s="43" t="str">
        <f t="shared" si="3183"/>
        <v/>
      </c>
      <c r="DR203" s="43" t="str">
        <f t="shared" si="3184"/>
        <v/>
      </c>
      <c r="DS203" s="43" t="str">
        <f t="shared" si="3185"/>
        <v/>
      </c>
      <c r="DT203" s="43" t="str">
        <f t="shared" si="3186"/>
        <v/>
      </c>
      <c r="DU203" s="43" t="str">
        <f t="shared" si="3187"/>
        <v/>
      </c>
      <c r="DV203" s="43" t="str">
        <f t="shared" si="3188"/>
        <v/>
      </c>
      <c r="DW203" s="43" t="str">
        <f t="shared" si="3189"/>
        <v/>
      </c>
      <c r="DX203" s="43" t="str">
        <f t="shared" si="3190"/>
        <v/>
      </c>
      <c r="DY203" s="43" t="str">
        <f t="shared" si="3191"/>
        <v/>
      </c>
      <c r="DZ203" s="43" t="str">
        <f t="shared" si="3192"/>
        <v/>
      </c>
      <c r="EA203" s="43" t="str">
        <f t="shared" si="3193"/>
        <v/>
      </c>
      <c r="EB203" s="43" t="str">
        <f t="shared" si="3194"/>
        <v/>
      </c>
      <c r="EC203" s="43" t="str">
        <f t="shared" si="3195"/>
        <v/>
      </c>
      <c r="ED203" s="43" t="str">
        <f t="shared" si="3196"/>
        <v/>
      </c>
      <c r="EE203" s="43" t="str">
        <f t="shared" si="3197"/>
        <v/>
      </c>
      <c r="EF203" s="43" t="str">
        <f t="shared" si="3198"/>
        <v/>
      </c>
      <c r="EG203" s="43" t="str">
        <f t="shared" si="3199"/>
        <v/>
      </c>
      <c r="EH203" s="43" t="str">
        <f t="shared" si="3200"/>
        <v/>
      </c>
      <c r="EI203" s="43" t="str">
        <f t="shared" si="3201"/>
        <v/>
      </c>
      <c r="EJ203" s="43" t="str">
        <f t="shared" si="3202"/>
        <v/>
      </c>
      <c r="EK203" s="43" t="str">
        <f t="shared" si="3203"/>
        <v/>
      </c>
      <c r="EL203" s="43" t="str">
        <f t="shared" si="3204"/>
        <v/>
      </c>
      <c r="EM203" s="43" t="str">
        <f t="shared" si="3205"/>
        <v/>
      </c>
      <c r="EN203" s="43" t="str">
        <f t="shared" si="3206"/>
        <v/>
      </c>
      <c r="EO203" s="43" t="str">
        <f t="shared" si="3207"/>
        <v/>
      </c>
      <c r="EP203" s="43" t="str">
        <f t="shared" si="3208"/>
        <v/>
      </c>
      <c r="EQ203" s="43" t="str">
        <f t="shared" si="3209"/>
        <v/>
      </c>
      <c r="ER203" s="43" t="str">
        <f t="shared" si="3210"/>
        <v/>
      </c>
      <c r="ES203" s="43" t="str">
        <f t="shared" si="3211"/>
        <v/>
      </c>
      <c r="ET203" s="43" t="str">
        <f t="shared" si="3212"/>
        <v/>
      </c>
      <c r="EU203" s="43" t="str">
        <f t="shared" si="3213"/>
        <v/>
      </c>
      <c r="EV203" s="43" t="str">
        <f t="shared" si="3214"/>
        <v/>
      </c>
      <c r="EW203" s="43" t="str">
        <f t="shared" si="3215"/>
        <v/>
      </c>
      <c r="EX203" s="43" t="str">
        <f t="shared" si="3216"/>
        <v/>
      </c>
      <c r="EY203" s="43" t="str">
        <f t="shared" si="3217"/>
        <v/>
      </c>
      <c r="EZ203" s="43" t="str">
        <f t="shared" si="3218"/>
        <v/>
      </c>
      <c r="FA203" s="43" t="str">
        <f t="shared" si="3219"/>
        <v/>
      </c>
      <c r="FB203" s="43" t="str">
        <f t="shared" si="3220"/>
        <v/>
      </c>
      <c r="FC203" s="43" t="str">
        <f t="shared" si="3221"/>
        <v/>
      </c>
      <c r="FD203" s="43" t="str">
        <f t="shared" si="3222"/>
        <v/>
      </c>
      <c r="FE203" s="43" t="str">
        <f t="shared" si="3223"/>
        <v/>
      </c>
      <c r="FF203" s="43" t="str">
        <f t="shared" si="3224"/>
        <v/>
      </c>
      <c r="FG203" s="43" t="str">
        <f t="shared" si="3225"/>
        <v/>
      </c>
      <c r="FH203" s="43" t="str">
        <f t="shared" si="3226"/>
        <v/>
      </c>
      <c r="FI203" s="43" t="str">
        <f t="shared" si="3227"/>
        <v/>
      </c>
      <c r="FJ203" s="43" t="str">
        <f t="shared" si="3228"/>
        <v/>
      </c>
      <c r="FK203" s="43" t="str">
        <f t="shared" si="3229"/>
        <v/>
      </c>
      <c r="FL203" s="43" t="str">
        <f t="shared" si="3230"/>
        <v/>
      </c>
      <c r="FM203" s="43" t="str">
        <f t="shared" si="3231"/>
        <v/>
      </c>
      <c r="FN203" s="43" t="str">
        <f t="shared" si="3232"/>
        <v/>
      </c>
      <c r="FO203" s="43" t="str">
        <f t="shared" si="3233"/>
        <v/>
      </c>
      <c r="FP203" s="43" t="str">
        <f t="shared" si="3234"/>
        <v/>
      </c>
      <c r="FQ203" s="43" t="str">
        <f t="shared" si="3235"/>
        <v/>
      </c>
      <c r="FR203" s="43" t="str">
        <f t="shared" si="3236"/>
        <v/>
      </c>
      <c r="FS203" s="43" t="str">
        <f t="shared" si="3237"/>
        <v/>
      </c>
    </row>
    <row r="204" ht="15" spans="1:175">
      <c r="A204" s="99"/>
      <c r="B204" s="7" t="s">
        <v>647</v>
      </c>
      <c r="C204" s="5" t="s">
        <v>117</v>
      </c>
      <c r="T204" s="106"/>
      <c r="U204" s="59"/>
      <c r="CN204" s="12" t="str">
        <f t="shared" si="3162"/>
        <v>InitUnitState('IF05',,,,,,,,,,)</v>
      </c>
      <c r="CO204" s="12" t="str">
        <f t="shared" si="3163"/>
        <v>InitUnitNormal('IF05',,,,,,,,,,)</v>
      </c>
      <c r="CP204" s="12" t="str">
        <f t="shared" si="3164"/>
        <v>InitUnitMagic('IF05',,,,,,,,,,)</v>
      </c>
      <c r="CQ204" s="12" t="str">
        <f t="shared" si="3165"/>
        <v>InitUnitAdd('IF05',,,,,,,,,,)</v>
      </c>
      <c r="CR204" s="12" t="str">
        <f t="shared" si="3166"/>
        <v>InitEquipData('IF05',,"",,,,,'','','','','','',"")</v>
      </c>
      <c r="CU204" s="71" t="str">
        <f t="shared" si="3167"/>
        <v>|n</v>
      </c>
      <c r="CW204" s="6"/>
      <c r="CX204" s="6"/>
      <c r="CY204" s="6"/>
      <c r="CZ204" s="6"/>
      <c r="DA204" s="6"/>
      <c r="DB204" s="43" t="str">
        <f t="shared" si="3168"/>
        <v/>
      </c>
      <c r="DC204" s="43" t="str">
        <f t="shared" si="3169"/>
        <v/>
      </c>
      <c r="DD204" s="43" t="str">
        <f t="shared" si="3170"/>
        <v/>
      </c>
      <c r="DE204" s="43" t="str">
        <f t="shared" si="3171"/>
        <v/>
      </c>
      <c r="DF204" s="43" t="str">
        <f t="shared" si="3172"/>
        <v/>
      </c>
      <c r="DG204" s="43" t="str">
        <f t="shared" si="3173"/>
        <v/>
      </c>
      <c r="DH204" s="43" t="str">
        <f t="shared" si="3174"/>
        <v/>
      </c>
      <c r="DI204" s="43" t="str">
        <f t="shared" si="3175"/>
        <v/>
      </c>
      <c r="DJ204" s="43" t="str">
        <f t="shared" si="3176"/>
        <v/>
      </c>
      <c r="DK204" s="43" t="str">
        <f t="shared" si="3177"/>
        <v/>
      </c>
      <c r="DL204" s="43" t="str">
        <f t="shared" si="3178"/>
        <v/>
      </c>
      <c r="DM204" s="43" t="str">
        <f t="shared" si="3179"/>
        <v/>
      </c>
      <c r="DN204" s="43" t="str">
        <f t="shared" si="3180"/>
        <v/>
      </c>
      <c r="DO204" s="43" t="str">
        <f t="shared" si="3181"/>
        <v/>
      </c>
      <c r="DP204" s="43" t="str">
        <f t="shared" si="3182"/>
        <v/>
      </c>
      <c r="DQ204" s="43" t="str">
        <f t="shared" si="3183"/>
        <v/>
      </c>
      <c r="DR204" s="43" t="str">
        <f t="shared" si="3184"/>
        <v/>
      </c>
      <c r="DS204" s="43" t="str">
        <f t="shared" si="3185"/>
        <v/>
      </c>
      <c r="DT204" s="43" t="str">
        <f t="shared" si="3186"/>
        <v/>
      </c>
      <c r="DU204" s="43" t="str">
        <f t="shared" si="3187"/>
        <v/>
      </c>
      <c r="DV204" s="43" t="str">
        <f t="shared" si="3188"/>
        <v/>
      </c>
      <c r="DW204" s="43" t="str">
        <f t="shared" si="3189"/>
        <v/>
      </c>
      <c r="DX204" s="43" t="str">
        <f t="shared" si="3190"/>
        <v/>
      </c>
      <c r="DY204" s="43" t="str">
        <f t="shared" si="3191"/>
        <v/>
      </c>
      <c r="DZ204" s="43" t="str">
        <f t="shared" si="3192"/>
        <v/>
      </c>
      <c r="EA204" s="43" t="str">
        <f t="shared" si="3193"/>
        <v/>
      </c>
      <c r="EB204" s="43" t="str">
        <f t="shared" si="3194"/>
        <v/>
      </c>
      <c r="EC204" s="43" t="str">
        <f t="shared" si="3195"/>
        <v/>
      </c>
      <c r="ED204" s="43" t="str">
        <f t="shared" si="3196"/>
        <v/>
      </c>
      <c r="EE204" s="43" t="str">
        <f t="shared" si="3197"/>
        <v/>
      </c>
      <c r="EF204" s="43" t="str">
        <f t="shared" si="3198"/>
        <v/>
      </c>
      <c r="EG204" s="43" t="str">
        <f t="shared" si="3199"/>
        <v/>
      </c>
      <c r="EH204" s="43" t="str">
        <f t="shared" si="3200"/>
        <v/>
      </c>
      <c r="EI204" s="43" t="str">
        <f t="shared" si="3201"/>
        <v/>
      </c>
      <c r="EJ204" s="43" t="str">
        <f t="shared" si="3202"/>
        <v/>
      </c>
      <c r="EK204" s="43" t="str">
        <f t="shared" si="3203"/>
        <v/>
      </c>
      <c r="EL204" s="43" t="str">
        <f t="shared" si="3204"/>
        <v/>
      </c>
      <c r="EM204" s="43" t="str">
        <f t="shared" si="3205"/>
        <v/>
      </c>
      <c r="EN204" s="43" t="str">
        <f t="shared" si="3206"/>
        <v/>
      </c>
      <c r="EO204" s="43" t="str">
        <f t="shared" si="3207"/>
        <v/>
      </c>
      <c r="EP204" s="43" t="str">
        <f t="shared" si="3208"/>
        <v/>
      </c>
      <c r="EQ204" s="43" t="str">
        <f t="shared" si="3209"/>
        <v/>
      </c>
      <c r="ER204" s="43" t="str">
        <f t="shared" si="3210"/>
        <v/>
      </c>
      <c r="ES204" s="43" t="str">
        <f t="shared" si="3211"/>
        <v/>
      </c>
      <c r="ET204" s="43" t="str">
        <f t="shared" si="3212"/>
        <v/>
      </c>
      <c r="EU204" s="43" t="str">
        <f t="shared" si="3213"/>
        <v/>
      </c>
      <c r="EV204" s="43" t="str">
        <f t="shared" si="3214"/>
        <v/>
      </c>
      <c r="EW204" s="43" t="str">
        <f t="shared" si="3215"/>
        <v/>
      </c>
      <c r="EX204" s="43" t="str">
        <f t="shared" si="3216"/>
        <v/>
      </c>
      <c r="EY204" s="43" t="str">
        <f t="shared" si="3217"/>
        <v/>
      </c>
      <c r="EZ204" s="43" t="str">
        <f t="shared" si="3218"/>
        <v/>
      </c>
      <c r="FA204" s="43" t="str">
        <f t="shared" si="3219"/>
        <v/>
      </c>
      <c r="FB204" s="43" t="str">
        <f t="shared" si="3220"/>
        <v/>
      </c>
      <c r="FC204" s="43" t="str">
        <f t="shared" si="3221"/>
        <v/>
      </c>
      <c r="FD204" s="43" t="str">
        <f t="shared" si="3222"/>
        <v/>
      </c>
      <c r="FE204" s="43" t="str">
        <f t="shared" si="3223"/>
        <v/>
      </c>
      <c r="FF204" s="43" t="str">
        <f t="shared" si="3224"/>
        <v/>
      </c>
      <c r="FG204" s="43" t="str">
        <f t="shared" si="3225"/>
        <v/>
      </c>
      <c r="FH204" s="43" t="str">
        <f t="shared" si="3226"/>
        <v/>
      </c>
      <c r="FI204" s="43" t="str">
        <f t="shared" si="3227"/>
        <v/>
      </c>
      <c r="FJ204" s="43" t="str">
        <f t="shared" si="3228"/>
        <v/>
      </c>
      <c r="FK204" s="43" t="str">
        <f t="shared" si="3229"/>
        <v/>
      </c>
      <c r="FL204" s="43" t="str">
        <f t="shared" si="3230"/>
        <v/>
      </c>
      <c r="FM204" s="43" t="str">
        <f t="shared" si="3231"/>
        <v/>
      </c>
      <c r="FN204" s="43" t="str">
        <f t="shared" si="3232"/>
        <v/>
      </c>
      <c r="FO204" s="43" t="str">
        <f t="shared" si="3233"/>
        <v/>
      </c>
      <c r="FP204" s="43" t="str">
        <f t="shared" si="3234"/>
        <v/>
      </c>
      <c r="FQ204" s="43" t="str">
        <f t="shared" si="3235"/>
        <v/>
      </c>
      <c r="FR204" s="43" t="str">
        <f t="shared" si="3236"/>
        <v/>
      </c>
      <c r="FS204" s="43" t="str">
        <f t="shared" si="3237"/>
        <v/>
      </c>
    </row>
    <row r="205" ht="15" spans="1:175">
      <c r="A205" s="99"/>
      <c r="B205" s="7" t="s">
        <v>648</v>
      </c>
      <c r="C205" s="5" t="s">
        <v>644</v>
      </c>
      <c r="T205" s="106"/>
      <c r="U205" s="59"/>
      <c r="CN205" s="12" t="str">
        <f t="shared" si="3162"/>
        <v>InitUnitState('IF06',,,,,,,,,,)</v>
      </c>
      <c r="CO205" s="12" t="str">
        <f t="shared" si="3163"/>
        <v>InitUnitNormal('IF06',,,,,,,,,,)</v>
      </c>
      <c r="CP205" s="12" t="str">
        <f t="shared" si="3164"/>
        <v>InitUnitMagic('IF06',,,,,,,,,,)</v>
      </c>
      <c r="CQ205" s="12" t="str">
        <f t="shared" si="3165"/>
        <v>InitUnitAdd('IF06',,,,,,,,,,)</v>
      </c>
      <c r="CR205" s="12" t="str">
        <f t="shared" si="3166"/>
        <v>InitEquipData('IF06',,"",,,,,'','','','','','',"")</v>
      </c>
      <c r="CU205" s="71" t="str">
        <f t="shared" si="3167"/>
        <v>|n</v>
      </c>
      <c r="CW205" s="6"/>
      <c r="CX205" s="6"/>
      <c r="CY205" s="6"/>
      <c r="CZ205" s="6"/>
      <c r="DA205" s="6"/>
      <c r="DB205" s="43" t="str">
        <f t="shared" si="3168"/>
        <v/>
      </c>
      <c r="DC205" s="43" t="str">
        <f t="shared" si="3169"/>
        <v/>
      </c>
      <c r="DD205" s="43" t="str">
        <f t="shared" si="3170"/>
        <v/>
      </c>
      <c r="DE205" s="43" t="str">
        <f t="shared" si="3171"/>
        <v/>
      </c>
      <c r="DF205" s="43" t="str">
        <f t="shared" si="3172"/>
        <v/>
      </c>
      <c r="DG205" s="43" t="str">
        <f t="shared" si="3173"/>
        <v/>
      </c>
      <c r="DH205" s="43" t="str">
        <f t="shared" si="3174"/>
        <v/>
      </c>
      <c r="DI205" s="43" t="str">
        <f t="shared" si="3175"/>
        <v/>
      </c>
      <c r="DJ205" s="43" t="str">
        <f t="shared" si="3176"/>
        <v/>
      </c>
      <c r="DK205" s="43" t="str">
        <f t="shared" si="3177"/>
        <v/>
      </c>
      <c r="DL205" s="43" t="str">
        <f t="shared" si="3178"/>
        <v/>
      </c>
      <c r="DM205" s="43" t="str">
        <f t="shared" si="3179"/>
        <v/>
      </c>
      <c r="DN205" s="43" t="str">
        <f t="shared" si="3180"/>
        <v/>
      </c>
      <c r="DO205" s="43" t="str">
        <f t="shared" si="3181"/>
        <v/>
      </c>
      <c r="DP205" s="43" t="str">
        <f t="shared" si="3182"/>
        <v/>
      </c>
      <c r="DQ205" s="43" t="str">
        <f t="shared" si="3183"/>
        <v/>
      </c>
      <c r="DR205" s="43" t="str">
        <f t="shared" si="3184"/>
        <v/>
      </c>
      <c r="DS205" s="43" t="str">
        <f t="shared" si="3185"/>
        <v/>
      </c>
      <c r="DT205" s="43" t="str">
        <f t="shared" si="3186"/>
        <v/>
      </c>
      <c r="DU205" s="43" t="str">
        <f t="shared" si="3187"/>
        <v/>
      </c>
      <c r="DV205" s="43" t="str">
        <f t="shared" si="3188"/>
        <v/>
      </c>
      <c r="DW205" s="43" t="str">
        <f t="shared" si="3189"/>
        <v/>
      </c>
      <c r="DX205" s="43" t="str">
        <f t="shared" si="3190"/>
        <v/>
      </c>
      <c r="DY205" s="43" t="str">
        <f t="shared" si="3191"/>
        <v/>
      </c>
      <c r="DZ205" s="43" t="str">
        <f t="shared" si="3192"/>
        <v/>
      </c>
      <c r="EA205" s="43" t="str">
        <f t="shared" si="3193"/>
        <v/>
      </c>
      <c r="EB205" s="43" t="str">
        <f t="shared" si="3194"/>
        <v/>
      </c>
      <c r="EC205" s="43" t="str">
        <f t="shared" si="3195"/>
        <v/>
      </c>
      <c r="ED205" s="43" t="str">
        <f t="shared" si="3196"/>
        <v/>
      </c>
      <c r="EE205" s="43" t="str">
        <f t="shared" si="3197"/>
        <v/>
      </c>
      <c r="EF205" s="43" t="str">
        <f t="shared" si="3198"/>
        <v/>
      </c>
      <c r="EG205" s="43" t="str">
        <f t="shared" si="3199"/>
        <v/>
      </c>
      <c r="EH205" s="43" t="str">
        <f t="shared" si="3200"/>
        <v/>
      </c>
      <c r="EI205" s="43" t="str">
        <f t="shared" si="3201"/>
        <v/>
      </c>
      <c r="EJ205" s="43" t="str">
        <f t="shared" si="3202"/>
        <v/>
      </c>
      <c r="EK205" s="43" t="str">
        <f t="shared" si="3203"/>
        <v/>
      </c>
      <c r="EL205" s="43" t="str">
        <f t="shared" si="3204"/>
        <v/>
      </c>
      <c r="EM205" s="43" t="str">
        <f t="shared" si="3205"/>
        <v/>
      </c>
      <c r="EN205" s="43" t="str">
        <f t="shared" si="3206"/>
        <v/>
      </c>
      <c r="EO205" s="43" t="str">
        <f t="shared" si="3207"/>
        <v/>
      </c>
      <c r="EP205" s="43" t="str">
        <f t="shared" si="3208"/>
        <v/>
      </c>
      <c r="EQ205" s="43" t="str">
        <f t="shared" si="3209"/>
        <v/>
      </c>
      <c r="ER205" s="43" t="str">
        <f t="shared" si="3210"/>
        <v/>
      </c>
      <c r="ES205" s="43" t="str">
        <f t="shared" si="3211"/>
        <v/>
      </c>
      <c r="ET205" s="43" t="str">
        <f t="shared" si="3212"/>
        <v/>
      </c>
      <c r="EU205" s="43" t="str">
        <f t="shared" si="3213"/>
        <v/>
      </c>
      <c r="EV205" s="43" t="str">
        <f t="shared" si="3214"/>
        <v/>
      </c>
      <c r="EW205" s="43" t="str">
        <f t="shared" si="3215"/>
        <v/>
      </c>
      <c r="EX205" s="43" t="str">
        <f t="shared" si="3216"/>
        <v/>
      </c>
      <c r="EY205" s="43" t="str">
        <f t="shared" si="3217"/>
        <v/>
      </c>
      <c r="EZ205" s="43" t="str">
        <f t="shared" si="3218"/>
        <v/>
      </c>
      <c r="FA205" s="43" t="str">
        <f t="shared" si="3219"/>
        <v/>
      </c>
      <c r="FB205" s="43" t="str">
        <f t="shared" si="3220"/>
        <v/>
      </c>
      <c r="FC205" s="43" t="str">
        <f t="shared" si="3221"/>
        <v/>
      </c>
      <c r="FD205" s="43" t="str">
        <f t="shared" si="3222"/>
        <v/>
      </c>
      <c r="FE205" s="43" t="str">
        <f t="shared" si="3223"/>
        <v/>
      </c>
      <c r="FF205" s="43" t="str">
        <f t="shared" si="3224"/>
        <v/>
      </c>
      <c r="FG205" s="43" t="str">
        <f t="shared" si="3225"/>
        <v/>
      </c>
      <c r="FH205" s="43" t="str">
        <f t="shared" si="3226"/>
        <v/>
      </c>
      <c r="FI205" s="43" t="str">
        <f t="shared" si="3227"/>
        <v/>
      </c>
      <c r="FJ205" s="43" t="str">
        <f t="shared" si="3228"/>
        <v/>
      </c>
      <c r="FK205" s="43" t="str">
        <f t="shared" si="3229"/>
        <v/>
      </c>
      <c r="FL205" s="43" t="str">
        <f t="shared" si="3230"/>
        <v/>
      </c>
      <c r="FM205" s="43" t="str">
        <f t="shared" si="3231"/>
        <v/>
      </c>
      <c r="FN205" s="43" t="str">
        <f t="shared" si="3232"/>
        <v/>
      </c>
      <c r="FO205" s="43" t="str">
        <f t="shared" si="3233"/>
        <v/>
      </c>
      <c r="FP205" s="43" t="str">
        <f t="shared" si="3234"/>
        <v/>
      </c>
      <c r="FQ205" s="43" t="str">
        <f t="shared" si="3235"/>
        <v/>
      </c>
      <c r="FR205" s="43" t="str">
        <f t="shared" si="3236"/>
        <v/>
      </c>
      <c r="FS205" s="43" t="str">
        <f t="shared" si="3237"/>
        <v/>
      </c>
    </row>
    <row r="206" ht="15" spans="1:175">
      <c r="A206" s="99"/>
      <c r="B206" s="7" t="s">
        <v>649</v>
      </c>
      <c r="C206" s="5" t="s">
        <v>117</v>
      </c>
      <c r="T206" s="106"/>
      <c r="U206" s="59"/>
      <c r="CN206" s="12" t="str">
        <f t="shared" si="3162"/>
        <v>InitUnitState('IF07',,,,,,,,,,)</v>
      </c>
      <c r="CO206" s="12" t="str">
        <f t="shared" si="3163"/>
        <v>InitUnitNormal('IF07',,,,,,,,,,)</v>
      </c>
      <c r="CP206" s="12" t="str">
        <f t="shared" si="3164"/>
        <v>InitUnitMagic('IF07',,,,,,,,,,)</v>
      </c>
      <c r="CQ206" s="12" t="str">
        <f t="shared" si="3165"/>
        <v>InitUnitAdd('IF07',,,,,,,,,,)</v>
      </c>
      <c r="CR206" s="12" t="str">
        <f t="shared" si="3166"/>
        <v>InitEquipData('IF07',,"",,,,,'','','','','','',"")</v>
      </c>
      <c r="CU206" s="71" t="str">
        <f t="shared" si="3167"/>
        <v>|n</v>
      </c>
      <c r="CW206" s="6"/>
      <c r="CX206" s="6"/>
      <c r="CY206" s="6"/>
      <c r="CZ206" s="6"/>
      <c r="DA206" s="6"/>
      <c r="DB206" s="43" t="str">
        <f t="shared" si="3168"/>
        <v/>
      </c>
      <c r="DC206" s="43" t="str">
        <f t="shared" si="3169"/>
        <v/>
      </c>
      <c r="DD206" s="43" t="str">
        <f t="shared" si="3170"/>
        <v/>
      </c>
      <c r="DE206" s="43" t="str">
        <f t="shared" si="3171"/>
        <v/>
      </c>
      <c r="DF206" s="43" t="str">
        <f t="shared" si="3172"/>
        <v/>
      </c>
      <c r="DG206" s="43" t="str">
        <f t="shared" si="3173"/>
        <v/>
      </c>
      <c r="DH206" s="43" t="str">
        <f t="shared" si="3174"/>
        <v/>
      </c>
      <c r="DI206" s="43" t="str">
        <f t="shared" si="3175"/>
        <v/>
      </c>
      <c r="DJ206" s="43" t="str">
        <f t="shared" si="3176"/>
        <v/>
      </c>
      <c r="DK206" s="43" t="str">
        <f t="shared" si="3177"/>
        <v/>
      </c>
      <c r="DL206" s="43" t="str">
        <f t="shared" si="3178"/>
        <v/>
      </c>
      <c r="DM206" s="43" t="str">
        <f t="shared" si="3179"/>
        <v/>
      </c>
      <c r="DN206" s="43" t="str">
        <f t="shared" si="3180"/>
        <v/>
      </c>
      <c r="DO206" s="43" t="str">
        <f t="shared" si="3181"/>
        <v/>
      </c>
      <c r="DP206" s="43" t="str">
        <f t="shared" si="3182"/>
        <v/>
      </c>
      <c r="DQ206" s="43" t="str">
        <f t="shared" si="3183"/>
        <v/>
      </c>
      <c r="DR206" s="43" t="str">
        <f t="shared" si="3184"/>
        <v/>
      </c>
      <c r="DS206" s="43" t="str">
        <f t="shared" si="3185"/>
        <v/>
      </c>
      <c r="DT206" s="43" t="str">
        <f t="shared" si="3186"/>
        <v/>
      </c>
      <c r="DU206" s="43" t="str">
        <f t="shared" si="3187"/>
        <v/>
      </c>
      <c r="DV206" s="43" t="str">
        <f t="shared" si="3188"/>
        <v/>
      </c>
      <c r="DW206" s="43" t="str">
        <f t="shared" si="3189"/>
        <v/>
      </c>
      <c r="DX206" s="43" t="str">
        <f t="shared" si="3190"/>
        <v/>
      </c>
      <c r="DY206" s="43" t="str">
        <f t="shared" si="3191"/>
        <v/>
      </c>
      <c r="DZ206" s="43" t="str">
        <f t="shared" si="3192"/>
        <v/>
      </c>
      <c r="EA206" s="43" t="str">
        <f t="shared" si="3193"/>
        <v/>
      </c>
      <c r="EB206" s="43" t="str">
        <f t="shared" si="3194"/>
        <v/>
      </c>
      <c r="EC206" s="43" t="str">
        <f t="shared" si="3195"/>
        <v/>
      </c>
      <c r="ED206" s="43" t="str">
        <f t="shared" si="3196"/>
        <v/>
      </c>
      <c r="EE206" s="43" t="str">
        <f t="shared" si="3197"/>
        <v/>
      </c>
      <c r="EF206" s="43" t="str">
        <f t="shared" si="3198"/>
        <v/>
      </c>
      <c r="EG206" s="43" t="str">
        <f t="shared" si="3199"/>
        <v/>
      </c>
      <c r="EH206" s="43" t="str">
        <f t="shared" si="3200"/>
        <v/>
      </c>
      <c r="EI206" s="43" t="str">
        <f t="shared" si="3201"/>
        <v/>
      </c>
      <c r="EJ206" s="43" t="str">
        <f t="shared" si="3202"/>
        <v/>
      </c>
      <c r="EK206" s="43" t="str">
        <f t="shared" si="3203"/>
        <v/>
      </c>
      <c r="EL206" s="43" t="str">
        <f t="shared" si="3204"/>
        <v/>
      </c>
      <c r="EM206" s="43" t="str">
        <f t="shared" si="3205"/>
        <v/>
      </c>
      <c r="EN206" s="43" t="str">
        <f t="shared" si="3206"/>
        <v/>
      </c>
      <c r="EO206" s="43" t="str">
        <f t="shared" si="3207"/>
        <v/>
      </c>
      <c r="EP206" s="43" t="str">
        <f t="shared" si="3208"/>
        <v/>
      </c>
      <c r="EQ206" s="43" t="str">
        <f t="shared" si="3209"/>
        <v/>
      </c>
      <c r="ER206" s="43" t="str">
        <f t="shared" si="3210"/>
        <v/>
      </c>
      <c r="ES206" s="43" t="str">
        <f t="shared" si="3211"/>
        <v/>
      </c>
      <c r="ET206" s="43" t="str">
        <f t="shared" si="3212"/>
        <v/>
      </c>
      <c r="EU206" s="43" t="str">
        <f t="shared" si="3213"/>
        <v/>
      </c>
      <c r="EV206" s="43" t="str">
        <f t="shared" si="3214"/>
        <v/>
      </c>
      <c r="EW206" s="43" t="str">
        <f t="shared" si="3215"/>
        <v/>
      </c>
      <c r="EX206" s="43" t="str">
        <f t="shared" si="3216"/>
        <v/>
      </c>
      <c r="EY206" s="43" t="str">
        <f t="shared" si="3217"/>
        <v/>
      </c>
      <c r="EZ206" s="43" t="str">
        <f t="shared" si="3218"/>
        <v/>
      </c>
      <c r="FA206" s="43" t="str">
        <f t="shared" si="3219"/>
        <v/>
      </c>
      <c r="FB206" s="43" t="str">
        <f t="shared" si="3220"/>
        <v/>
      </c>
      <c r="FC206" s="43" t="str">
        <f t="shared" si="3221"/>
        <v/>
      </c>
      <c r="FD206" s="43" t="str">
        <f t="shared" si="3222"/>
        <v/>
      </c>
      <c r="FE206" s="43" t="str">
        <f t="shared" si="3223"/>
        <v/>
      </c>
      <c r="FF206" s="43" t="str">
        <f t="shared" si="3224"/>
        <v/>
      </c>
      <c r="FG206" s="43" t="str">
        <f t="shared" si="3225"/>
        <v/>
      </c>
      <c r="FH206" s="43" t="str">
        <f t="shared" si="3226"/>
        <v/>
      </c>
      <c r="FI206" s="43" t="str">
        <f t="shared" si="3227"/>
        <v/>
      </c>
      <c r="FJ206" s="43" t="str">
        <f t="shared" si="3228"/>
        <v/>
      </c>
      <c r="FK206" s="43" t="str">
        <f t="shared" si="3229"/>
        <v/>
      </c>
      <c r="FL206" s="43" t="str">
        <f t="shared" si="3230"/>
        <v/>
      </c>
      <c r="FM206" s="43" t="str">
        <f t="shared" si="3231"/>
        <v/>
      </c>
      <c r="FN206" s="43" t="str">
        <f t="shared" si="3232"/>
        <v/>
      </c>
      <c r="FO206" s="43" t="str">
        <f t="shared" si="3233"/>
        <v/>
      </c>
      <c r="FP206" s="43" t="str">
        <f t="shared" si="3234"/>
        <v/>
      </c>
      <c r="FQ206" s="43" t="str">
        <f t="shared" si="3235"/>
        <v/>
      </c>
      <c r="FR206" s="43" t="str">
        <f t="shared" si="3236"/>
        <v/>
      </c>
      <c r="FS206" s="43" t="str">
        <f t="shared" si="3237"/>
        <v/>
      </c>
    </row>
    <row r="207" ht="15" spans="1:175">
      <c r="A207" s="99"/>
      <c r="B207" s="7" t="s">
        <v>650</v>
      </c>
      <c r="C207" s="5" t="s">
        <v>644</v>
      </c>
      <c r="T207" s="106"/>
      <c r="U207" s="59"/>
      <c r="CN207" s="12" t="str">
        <f t="shared" si="3162"/>
        <v>InitUnitState('IF08',,,,,,,,,,)</v>
      </c>
      <c r="CO207" s="12" t="str">
        <f t="shared" si="3163"/>
        <v>InitUnitNormal('IF08',,,,,,,,,,)</v>
      </c>
      <c r="CP207" s="12" t="str">
        <f t="shared" si="3164"/>
        <v>InitUnitMagic('IF08',,,,,,,,,,)</v>
      </c>
      <c r="CQ207" s="12" t="str">
        <f t="shared" si="3165"/>
        <v>InitUnitAdd('IF08',,,,,,,,,,)</v>
      </c>
      <c r="CR207" s="12" t="str">
        <f t="shared" si="3166"/>
        <v>InitEquipData('IF08',,"",,,,,'','','','','','',"")</v>
      </c>
      <c r="CU207" s="71" t="str">
        <f t="shared" si="3167"/>
        <v>|n</v>
      </c>
      <c r="CW207" s="6"/>
      <c r="CX207" s="6"/>
      <c r="CY207" s="6"/>
      <c r="CZ207" s="6"/>
      <c r="DA207" s="6"/>
      <c r="DB207" s="43" t="str">
        <f t="shared" si="3168"/>
        <v/>
      </c>
      <c r="DC207" s="43" t="str">
        <f t="shared" si="3169"/>
        <v/>
      </c>
      <c r="DD207" s="43" t="str">
        <f t="shared" si="3170"/>
        <v/>
      </c>
      <c r="DE207" s="43" t="str">
        <f t="shared" si="3171"/>
        <v/>
      </c>
      <c r="DF207" s="43" t="str">
        <f t="shared" si="3172"/>
        <v/>
      </c>
      <c r="DG207" s="43" t="str">
        <f t="shared" si="3173"/>
        <v/>
      </c>
      <c r="DH207" s="43" t="str">
        <f t="shared" si="3174"/>
        <v/>
      </c>
      <c r="DI207" s="43" t="str">
        <f t="shared" si="3175"/>
        <v/>
      </c>
      <c r="DJ207" s="43" t="str">
        <f t="shared" si="3176"/>
        <v/>
      </c>
      <c r="DK207" s="43" t="str">
        <f t="shared" si="3177"/>
        <v/>
      </c>
      <c r="DL207" s="43" t="str">
        <f t="shared" si="3178"/>
        <v/>
      </c>
      <c r="DM207" s="43" t="str">
        <f t="shared" si="3179"/>
        <v/>
      </c>
      <c r="DN207" s="43" t="str">
        <f t="shared" si="3180"/>
        <v/>
      </c>
      <c r="DO207" s="43" t="str">
        <f t="shared" si="3181"/>
        <v/>
      </c>
      <c r="DP207" s="43" t="str">
        <f t="shared" si="3182"/>
        <v/>
      </c>
      <c r="DQ207" s="43" t="str">
        <f t="shared" si="3183"/>
        <v/>
      </c>
      <c r="DR207" s="43" t="str">
        <f t="shared" si="3184"/>
        <v/>
      </c>
      <c r="DS207" s="43" t="str">
        <f t="shared" si="3185"/>
        <v/>
      </c>
      <c r="DT207" s="43" t="str">
        <f t="shared" si="3186"/>
        <v/>
      </c>
      <c r="DU207" s="43" t="str">
        <f t="shared" si="3187"/>
        <v/>
      </c>
      <c r="DV207" s="43" t="str">
        <f t="shared" si="3188"/>
        <v/>
      </c>
      <c r="DW207" s="43" t="str">
        <f t="shared" si="3189"/>
        <v/>
      </c>
      <c r="DX207" s="43" t="str">
        <f t="shared" si="3190"/>
        <v/>
      </c>
      <c r="DY207" s="43" t="str">
        <f t="shared" si="3191"/>
        <v/>
      </c>
      <c r="DZ207" s="43" t="str">
        <f t="shared" si="3192"/>
        <v/>
      </c>
      <c r="EA207" s="43" t="str">
        <f t="shared" si="3193"/>
        <v/>
      </c>
      <c r="EB207" s="43" t="str">
        <f t="shared" si="3194"/>
        <v/>
      </c>
      <c r="EC207" s="43" t="str">
        <f t="shared" si="3195"/>
        <v/>
      </c>
      <c r="ED207" s="43" t="str">
        <f t="shared" si="3196"/>
        <v/>
      </c>
      <c r="EE207" s="43" t="str">
        <f t="shared" si="3197"/>
        <v/>
      </c>
      <c r="EF207" s="43" t="str">
        <f t="shared" si="3198"/>
        <v/>
      </c>
      <c r="EG207" s="43" t="str">
        <f t="shared" si="3199"/>
        <v/>
      </c>
      <c r="EH207" s="43" t="str">
        <f t="shared" si="3200"/>
        <v/>
      </c>
      <c r="EI207" s="43" t="str">
        <f t="shared" si="3201"/>
        <v/>
      </c>
      <c r="EJ207" s="43" t="str">
        <f t="shared" si="3202"/>
        <v/>
      </c>
      <c r="EK207" s="43" t="str">
        <f t="shared" si="3203"/>
        <v/>
      </c>
      <c r="EL207" s="43" t="str">
        <f t="shared" si="3204"/>
        <v/>
      </c>
      <c r="EM207" s="43" t="str">
        <f t="shared" si="3205"/>
        <v/>
      </c>
      <c r="EN207" s="43" t="str">
        <f t="shared" si="3206"/>
        <v/>
      </c>
      <c r="EO207" s="43" t="str">
        <f t="shared" si="3207"/>
        <v/>
      </c>
      <c r="EP207" s="43" t="str">
        <f t="shared" si="3208"/>
        <v/>
      </c>
      <c r="EQ207" s="43" t="str">
        <f t="shared" si="3209"/>
        <v/>
      </c>
      <c r="ER207" s="43" t="str">
        <f t="shared" si="3210"/>
        <v/>
      </c>
      <c r="ES207" s="43" t="str">
        <f t="shared" si="3211"/>
        <v/>
      </c>
      <c r="ET207" s="43" t="str">
        <f t="shared" si="3212"/>
        <v/>
      </c>
      <c r="EU207" s="43" t="str">
        <f t="shared" si="3213"/>
        <v/>
      </c>
      <c r="EV207" s="43" t="str">
        <f t="shared" si="3214"/>
        <v/>
      </c>
      <c r="EW207" s="43" t="str">
        <f t="shared" si="3215"/>
        <v/>
      </c>
      <c r="EX207" s="43" t="str">
        <f t="shared" si="3216"/>
        <v/>
      </c>
      <c r="EY207" s="43" t="str">
        <f t="shared" si="3217"/>
        <v/>
      </c>
      <c r="EZ207" s="43" t="str">
        <f t="shared" si="3218"/>
        <v/>
      </c>
      <c r="FA207" s="43" t="str">
        <f t="shared" si="3219"/>
        <v/>
      </c>
      <c r="FB207" s="43" t="str">
        <f t="shared" si="3220"/>
        <v/>
      </c>
      <c r="FC207" s="43" t="str">
        <f t="shared" si="3221"/>
        <v/>
      </c>
      <c r="FD207" s="43" t="str">
        <f t="shared" si="3222"/>
        <v/>
      </c>
      <c r="FE207" s="43" t="str">
        <f t="shared" si="3223"/>
        <v/>
      </c>
      <c r="FF207" s="43" t="str">
        <f t="shared" si="3224"/>
        <v/>
      </c>
      <c r="FG207" s="43" t="str">
        <f t="shared" si="3225"/>
        <v/>
      </c>
      <c r="FH207" s="43" t="str">
        <f t="shared" si="3226"/>
        <v/>
      </c>
      <c r="FI207" s="43" t="str">
        <f t="shared" si="3227"/>
        <v/>
      </c>
      <c r="FJ207" s="43" t="str">
        <f t="shared" si="3228"/>
        <v/>
      </c>
      <c r="FK207" s="43" t="str">
        <f t="shared" si="3229"/>
        <v/>
      </c>
      <c r="FL207" s="43" t="str">
        <f t="shared" si="3230"/>
        <v/>
      </c>
      <c r="FM207" s="43" t="str">
        <f t="shared" si="3231"/>
        <v/>
      </c>
      <c r="FN207" s="43" t="str">
        <f t="shared" si="3232"/>
        <v/>
      </c>
      <c r="FO207" s="43" t="str">
        <f t="shared" si="3233"/>
        <v/>
      </c>
      <c r="FP207" s="43" t="str">
        <f t="shared" si="3234"/>
        <v/>
      </c>
      <c r="FQ207" s="43" t="str">
        <f t="shared" si="3235"/>
        <v/>
      </c>
      <c r="FR207" s="43" t="str">
        <f t="shared" si="3236"/>
        <v/>
      </c>
      <c r="FS207" s="43" t="str">
        <f t="shared" si="3237"/>
        <v/>
      </c>
    </row>
    <row r="208" ht="15" spans="1:175">
      <c r="A208" s="99"/>
      <c r="B208" s="7" t="s">
        <v>651</v>
      </c>
      <c r="C208" s="5" t="s">
        <v>117</v>
      </c>
      <c r="T208" s="106"/>
      <c r="U208" s="59"/>
      <c r="CN208" s="12" t="str">
        <f t="shared" si="3162"/>
        <v>InitUnitState('IF09',,,,,,,,,,)</v>
      </c>
      <c r="CO208" s="12" t="str">
        <f t="shared" si="3163"/>
        <v>InitUnitNormal('IF09',,,,,,,,,,)</v>
      </c>
      <c r="CP208" s="12" t="str">
        <f t="shared" si="3164"/>
        <v>InitUnitMagic('IF09',,,,,,,,,,)</v>
      </c>
      <c r="CQ208" s="12" t="str">
        <f t="shared" si="3165"/>
        <v>InitUnitAdd('IF09',,,,,,,,,,)</v>
      </c>
      <c r="CR208" s="12" t="str">
        <f t="shared" si="3166"/>
        <v>InitEquipData('IF09',,"",,,,,'','','','','','',"")</v>
      </c>
      <c r="CU208" s="71" t="str">
        <f t="shared" si="3167"/>
        <v>|n</v>
      </c>
      <c r="CW208" s="6"/>
      <c r="CX208" s="6"/>
      <c r="CY208" s="6"/>
      <c r="CZ208" s="6"/>
      <c r="DA208" s="6"/>
      <c r="DB208" s="43" t="str">
        <f t="shared" si="3168"/>
        <v/>
      </c>
      <c r="DC208" s="43" t="str">
        <f t="shared" si="3169"/>
        <v/>
      </c>
      <c r="DD208" s="43" t="str">
        <f t="shared" si="3170"/>
        <v/>
      </c>
      <c r="DE208" s="43" t="str">
        <f t="shared" si="3171"/>
        <v/>
      </c>
      <c r="DF208" s="43" t="str">
        <f t="shared" si="3172"/>
        <v/>
      </c>
      <c r="DG208" s="43" t="str">
        <f t="shared" si="3173"/>
        <v/>
      </c>
      <c r="DH208" s="43" t="str">
        <f t="shared" si="3174"/>
        <v/>
      </c>
      <c r="DI208" s="43" t="str">
        <f t="shared" si="3175"/>
        <v/>
      </c>
      <c r="DJ208" s="43" t="str">
        <f t="shared" si="3176"/>
        <v/>
      </c>
      <c r="DK208" s="43" t="str">
        <f t="shared" si="3177"/>
        <v/>
      </c>
      <c r="DL208" s="43" t="str">
        <f t="shared" si="3178"/>
        <v/>
      </c>
      <c r="DM208" s="43" t="str">
        <f t="shared" si="3179"/>
        <v/>
      </c>
      <c r="DN208" s="43" t="str">
        <f t="shared" si="3180"/>
        <v/>
      </c>
      <c r="DO208" s="43" t="str">
        <f t="shared" si="3181"/>
        <v/>
      </c>
      <c r="DP208" s="43" t="str">
        <f t="shared" si="3182"/>
        <v/>
      </c>
      <c r="DQ208" s="43" t="str">
        <f t="shared" si="3183"/>
        <v/>
      </c>
      <c r="DR208" s="43" t="str">
        <f t="shared" si="3184"/>
        <v/>
      </c>
      <c r="DS208" s="43" t="str">
        <f t="shared" si="3185"/>
        <v/>
      </c>
      <c r="DT208" s="43" t="str">
        <f t="shared" si="3186"/>
        <v/>
      </c>
      <c r="DU208" s="43" t="str">
        <f t="shared" si="3187"/>
        <v/>
      </c>
      <c r="DV208" s="43" t="str">
        <f t="shared" si="3188"/>
        <v/>
      </c>
      <c r="DW208" s="43" t="str">
        <f t="shared" si="3189"/>
        <v/>
      </c>
      <c r="DX208" s="43" t="str">
        <f t="shared" si="3190"/>
        <v/>
      </c>
      <c r="DY208" s="43" t="str">
        <f t="shared" si="3191"/>
        <v/>
      </c>
      <c r="DZ208" s="43" t="str">
        <f t="shared" si="3192"/>
        <v/>
      </c>
      <c r="EA208" s="43" t="str">
        <f t="shared" si="3193"/>
        <v/>
      </c>
      <c r="EB208" s="43" t="str">
        <f t="shared" si="3194"/>
        <v/>
      </c>
      <c r="EC208" s="43" t="str">
        <f t="shared" si="3195"/>
        <v/>
      </c>
      <c r="ED208" s="43" t="str">
        <f t="shared" si="3196"/>
        <v/>
      </c>
      <c r="EE208" s="43" t="str">
        <f t="shared" si="3197"/>
        <v/>
      </c>
      <c r="EF208" s="43" t="str">
        <f t="shared" si="3198"/>
        <v/>
      </c>
      <c r="EG208" s="43" t="str">
        <f t="shared" si="3199"/>
        <v/>
      </c>
      <c r="EH208" s="43" t="str">
        <f t="shared" si="3200"/>
        <v/>
      </c>
      <c r="EI208" s="43" t="str">
        <f t="shared" si="3201"/>
        <v/>
      </c>
      <c r="EJ208" s="43" t="str">
        <f t="shared" si="3202"/>
        <v/>
      </c>
      <c r="EK208" s="43" t="str">
        <f t="shared" si="3203"/>
        <v/>
      </c>
      <c r="EL208" s="43" t="str">
        <f t="shared" si="3204"/>
        <v/>
      </c>
      <c r="EM208" s="43" t="str">
        <f t="shared" si="3205"/>
        <v/>
      </c>
      <c r="EN208" s="43" t="str">
        <f t="shared" si="3206"/>
        <v/>
      </c>
      <c r="EO208" s="43" t="str">
        <f t="shared" si="3207"/>
        <v/>
      </c>
      <c r="EP208" s="43" t="str">
        <f t="shared" si="3208"/>
        <v/>
      </c>
      <c r="EQ208" s="43" t="str">
        <f t="shared" si="3209"/>
        <v/>
      </c>
      <c r="ER208" s="43" t="str">
        <f t="shared" si="3210"/>
        <v/>
      </c>
      <c r="ES208" s="43" t="str">
        <f t="shared" si="3211"/>
        <v/>
      </c>
      <c r="ET208" s="43" t="str">
        <f t="shared" si="3212"/>
        <v/>
      </c>
      <c r="EU208" s="43" t="str">
        <f t="shared" si="3213"/>
        <v/>
      </c>
      <c r="EV208" s="43" t="str">
        <f t="shared" si="3214"/>
        <v/>
      </c>
      <c r="EW208" s="43" t="str">
        <f t="shared" si="3215"/>
        <v/>
      </c>
      <c r="EX208" s="43" t="str">
        <f t="shared" si="3216"/>
        <v/>
      </c>
      <c r="EY208" s="43" t="str">
        <f t="shared" si="3217"/>
        <v/>
      </c>
      <c r="EZ208" s="43" t="str">
        <f t="shared" si="3218"/>
        <v/>
      </c>
      <c r="FA208" s="43" t="str">
        <f t="shared" si="3219"/>
        <v/>
      </c>
      <c r="FB208" s="43" t="str">
        <f t="shared" si="3220"/>
        <v/>
      </c>
      <c r="FC208" s="43" t="str">
        <f t="shared" si="3221"/>
        <v/>
      </c>
      <c r="FD208" s="43" t="str">
        <f t="shared" si="3222"/>
        <v/>
      </c>
      <c r="FE208" s="43" t="str">
        <f t="shared" si="3223"/>
        <v/>
      </c>
      <c r="FF208" s="43" t="str">
        <f t="shared" si="3224"/>
        <v/>
      </c>
      <c r="FG208" s="43" t="str">
        <f t="shared" si="3225"/>
        <v/>
      </c>
      <c r="FH208" s="43" t="str">
        <f t="shared" si="3226"/>
        <v/>
      </c>
      <c r="FI208" s="43" t="str">
        <f t="shared" si="3227"/>
        <v/>
      </c>
      <c r="FJ208" s="43" t="str">
        <f t="shared" si="3228"/>
        <v/>
      </c>
      <c r="FK208" s="43" t="str">
        <f t="shared" si="3229"/>
        <v/>
      </c>
      <c r="FL208" s="43" t="str">
        <f t="shared" si="3230"/>
        <v/>
      </c>
      <c r="FM208" s="43" t="str">
        <f t="shared" si="3231"/>
        <v/>
      </c>
      <c r="FN208" s="43" t="str">
        <f t="shared" si="3232"/>
        <v/>
      </c>
      <c r="FO208" s="43" t="str">
        <f t="shared" si="3233"/>
        <v/>
      </c>
      <c r="FP208" s="43" t="str">
        <f t="shared" si="3234"/>
        <v/>
      </c>
      <c r="FQ208" s="43" t="str">
        <f t="shared" si="3235"/>
        <v/>
      </c>
      <c r="FR208" s="43" t="str">
        <f t="shared" si="3236"/>
        <v/>
      </c>
      <c r="FS208" s="43" t="str">
        <f t="shared" si="3237"/>
        <v/>
      </c>
    </row>
    <row r="209" ht="15" spans="1:175">
      <c r="A209" s="99"/>
      <c r="B209" s="7" t="s">
        <v>652</v>
      </c>
      <c r="C209" s="5" t="s">
        <v>644</v>
      </c>
      <c r="T209" s="106"/>
      <c r="U209" s="59"/>
      <c r="CN209" s="12" t="str">
        <f t="shared" si="3162"/>
        <v>InitUnitState('IF10',,,,,,,,,,)</v>
      </c>
      <c r="CO209" s="12" t="str">
        <f t="shared" si="3163"/>
        <v>InitUnitNormal('IF10',,,,,,,,,,)</v>
      </c>
      <c r="CP209" s="12" t="str">
        <f t="shared" si="3164"/>
        <v>InitUnitMagic('IF10',,,,,,,,,,)</v>
      </c>
      <c r="CQ209" s="12" t="str">
        <f t="shared" si="3165"/>
        <v>InitUnitAdd('IF10',,,,,,,,,,)</v>
      </c>
      <c r="CR209" s="12" t="str">
        <f t="shared" si="3166"/>
        <v>InitEquipData('IF10',,"",,,,,'','','','','','',"")</v>
      </c>
      <c r="CU209" s="71" t="str">
        <f t="shared" si="3167"/>
        <v>|n</v>
      </c>
      <c r="CW209" s="6"/>
      <c r="CX209" s="6"/>
      <c r="CY209" s="6"/>
      <c r="CZ209" s="6"/>
      <c r="DA209" s="6"/>
      <c r="DB209" s="43" t="str">
        <f t="shared" si="3168"/>
        <v/>
      </c>
      <c r="DC209" s="43" t="str">
        <f t="shared" si="3169"/>
        <v/>
      </c>
      <c r="DD209" s="43" t="str">
        <f t="shared" si="3170"/>
        <v/>
      </c>
      <c r="DE209" s="43" t="str">
        <f t="shared" si="3171"/>
        <v/>
      </c>
      <c r="DF209" s="43" t="str">
        <f t="shared" si="3172"/>
        <v/>
      </c>
      <c r="DG209" s="43" t="str">
        <f t="shared" si="3173"/>
        <v/>
      </c>
      <c r="DH209" s="43" t="str">
        <f t="shared" si="3174"/>
        <v/>
      </c>
      <c r="DI209" s="43" t="str">
        <f t="shared" si="3175"/>
        <v/>
      </c>
      <c r="DJ209" s="43" t="str">
        <f t="shared" si="3176"/>
        <v/>
      </c>
      <c r="DK209" s="43" t="str">
        <f t="shared" si="3177"/>
        <v/>
      </c>
      <c r="DL209" s="43" t="str">
        <f t="shared" si="3178"/>
        <v/>
      </c>
      <c r="DM209" s="43" t="str">
        <f t="shared" si="3179"/>
        <v/>
      </c>
      <c r="DN209" s="43" t="str">
        <f t="shared" si="3180"/>
        <v/>
      </c>
      <c r="DO209" s="43" t="str">
        <f t="shared" si="3181"/>
        <v/>
      </c>
      <c r="DP209" s="43" t="str">
        <f t="shared" si="3182"/>
        <v/>
      </c>
      <c r="DQ209" s="43" t="str">
        <f t="shared" si="3183"/>
        <v/>
      </c>
      <c r="DR209" s="43" t="str">
        <f t="shared" si="3184"/>
        <v/>
      </c>
      <c r="DS209" s="43" t="str">
        <f t="shared" si="3185"/>
        <v/>
      </c>
      <c r="DT209" s="43" t="str">
        <f t="shared" si="3186"/>
        <v/>
      </c>
      <c r="DU209" s="43" t="str">
        <f t="shared" si="3187"/>
        <v/>
      </c>
      <c r="DV209" s="43" t="str">
        <f t="shared" si="3188"/>
        <v/>
      </c>
      <c r="DW209" s="43" t="str">
        <f t="shared" si="3189"/>
        <v/>
      </c>
      <c r="DX209" s="43" t="str">
        <f t="shared" si="3190"/>
        <v/>
      </c>
      <c r="DY209" s="43" t="str">
        <f t="shared" si="3191"/>
        <v/>
      </c>
      <c r="DZ209" s="43" t="str">
        <f t="shared" si="3192"/>
        <v/>
      </c>
      <c r="EA209" s="43" t="str">
        <f t="shared" si="3193"/>
        <v/>
      </c>
      <c r="EB209" s="43" t="str">
        <f t="shared" si="3194"/>
        <v/>
      </c>
      <c r="EC209" s="43" t="str">
        <f t="shared" si="3195"/>
        <v/>
      </c>
      <c r="ED209" s="43" t="str">
        <f t="shared" si="3196"/>
        <v/>
      </c>
      <c r="EE209" s="43" t="str">
        <f t="shared" si="3197"/>
        <v/>
      </c>
      <c r="EF209" s="43" t="str">
        <f t="shared" si="3198"/>
        <v/>
      </c>
      <c r="EG209" s="43" t="str">
        <f t="shared" si="3199"/>
        <v/>
      </c>
      <c r="EH209" s="43" t="str">
        <f t="shared" si="3200"/>
        <v/>
      </c>
      <c r="EI209" s="43" t="str">
        <f t="shared" si="3201"/>
        <v/>
      </c>
      <c r="EJ209" s="43" t="str">
        <f t="shared" si="3202"/>
        <v/>
      </c>
      <c r="EK209" s="43" t="str">
        <f t="shared" si="3203"/>
        <v/>
      </c>
      <c r="EL209" s="43" t="str">
        <f t="shared" si="3204"/>
        <v/>
      </c>
      <c r="EM209" s="43" t="str">
        <f t="shared" si="3205"/>
        <v/>
      </c>
      <c r="EN209" s="43" t="str">
        <f t="shared" si="3206"/>
        <v/>
      </c>
      <c r="EO209" s="43" t="str">
        <f t="shared" si="3207"/>
        <v/>
      </c>
      <c r="EP209" s="43" t="str">
        <f t="shared" si="3208"/>
        <v/>
      </c>
      <c r="EQ209" s="43" t="str">
        <f t="shared" si="3209"/>
        <v/>
      </c>
      <c r="ER209" s="43" t="str">
        <f t="shared" si="3210"/>
        <v/>
      </c>
      <c r="ES209" s="43" t="str">
        <f t="shared" si="3211"/>
        <v/>
      </c>
      <c r="ET209" s="43" t="str">
        <f t="shared" si="3212"/>
        <v/>
      </c>
      <c r="EU209" s="43" t="str">
        <f t="shared" si="3213"/>
        <v/>
      </c>
      <c r="EV209" s="43" t="str">
        <f t="shared" si="3214"/>
        <v/>
      </c>
      <c r="EW209" s="43" t="str">
        <f t="shared" si="3215"/>
        <v/>
      </c>
      <c r="EX209" s="43" t="str">
        <f t="shared" si="3216"/>
        <v/>
      </c>
      <c r="EY209" s="43" t="str">
        <f t="shared" si="3217"/>
        <v/>
      </c>
      <c r="EZ209" s="43" t="str">
        <f t="shared" si="3218"/>
        <v/>
      </c>
      <c r="FA209" s="43" t="str">
        <f t="shared" si="3219"/>
        <v/>
      </c>
      <c r="FB209" s="43" t="str">
        <f t="shared" si="3220"/>
        <v/>
      </c>
      <c r="FC209" s="43" t="str">
        <f t="shared" si="3221"/>
        <v/>
      </c>
      <c r="FD209" s="43" t="str">
        <f t="shared" si="3222"/>
        <v/>
      </c>
      <c r="FE209" s="43" t="str">
        <f t="shared" si="3223"/>
        <v/>
      </c>
      <c r="FF209" s="43" t="str">
        <f t="shared" si="3224"/>
        <v/>
      </c>
      <c r="FG209" s="43" t="str">
        <f t="shared" si="3225"/>
        <v/>
      </c>
      <c r="FH209" s="43" t="str">
        <f t="shared" si="3226"/>
        <v/>
      </c>
      <c r="FI209" s="43" t="str">
        <f t="shared" si="3227"/>
        <v/>
      </c>
      <c r="FJ209" s="43" t="str">
        <f t="shared" si="3228"/>
        <v/>
      </c>
      <c r="FK209" s="43" t="str">
        <f t="shared" si="3229"/>
        <v/>
      </c>
      <c r="FL209" s="43" t="str">
        <f t="shared" si="3230"/>
        <v/>
      </c>
      <c r="FM209" s="43" t="str">
        <f t="shared" si="3231"/>
        <v/>
      </c>
      <c r="FN209" s="43" t="str">
        <f t="shared" si="3232"/>
        <v/>
      </c>
      <c r="FO209" s="43" t="str">
        <f t="shared" si="3233"/>
        <v/>
      </c>
      <c r="FP209" s="43" t="str">
        <f t="shared" si="3234"/>
        <v/>
      </c>
      <c r="FQ209" s="43" t="str">
        <f t="shared" si="3235"/>
        <v/>
      </c>
      <c r="FR209" s="43" t="str">
        <f t="shared" si="3236"/>
        <v/>
      </c>
      <c r="FS209" s="43" t="str">
        <f t="shared" si="3237"/>
        <v/>
      </c>
    </row>
    <row r="210" ht="15" spans="1:175">
      <c r="A210" s="99"/>
      <c r="B210" s="7" t="s">
        <v>653</v>
      </c>
      <c r="C210" s="5" t="s">
        <v>654</v>
      </c>
      <c r="T210" s="106"/>
      <c r="U210" s="59"/>
      <c r="CN210" s="12" t="str">
        <f t="shared" si="3162"/>
        <v>InitUnitState('IF11',,,,,,,,,,)</v>
      </c>
      <c r="CO210" s="12" t="str">
        <f t="shared" si="3163"/>
        <v>InitUnitNormal('IF11',,,,,,,,,,)</v>
      </c>
      <c r="CP210" s="12" t="str">
        <f t="shared" si="3164"/>
        <v>InitUnitMagic('IF11',,,,,,,,,,)</v>
      </c>
      <c r="CQ210" s="12" t="str">
        <f t="shared" si="3165"/>
        <v>InitUnitAdd('IF11',,,,,,,,,,)</v>
      </c>
      <c r="CR210" s="12" t="str">
        <f t="shared" si="3166"/>
        <v>InitEquipData('IF11',,"",,,,,'','','','','','',"")</v>
      </c>
      <c r="CU210" s="71" t="str">
        <f t="shared" si="3167"/>
        <v>|n</v>
      </c>
      <c r="CW210" s="6"/>
      <c r="CX210" s="6"/>
      <c r="CY210" s="6"/>
      <c r="CZ210" s="6"/>
      <c r="DA210" s="6"/>
      <c r="DB210" s="43" t="str">
        <f t="shared" si="3168"/>
        <v/>
      </c>
      <c r="DC210" s="43" t="str">
        <f t="shared" si="3169"/>
        <v/>
      </c>
      <c r="DD210" s="43" t="str">
        <f t="shared" si="3170"/>
        <v/>
      </c>
      <c r="DE210" s="43" t="str">
        <f t="shared" si="3171"/>
        <v/>
      </c>
      <c r="DF210" s="43" t="str">
        <f t="shared" si="3172"/>
        <v/>
      </c>
      <c r="DG210" s="43" t="str">
        <f t="shared" si="3173"/>
        <v/>
      </c>
      <c r="DH210" s="43" t="str">
        <f t="shared" si="3174"/>
        <v/>
      </c>
      <c r="DI210" s="43" t="str">
        <f t="shared" si="3175"/>
        <v/>
      </c>
      <c r="DJ210" s="43" t="str">
        <f t="shared" si="3176"/>
        <v/>
      </c>
      <c r="DK210" s="43" t="str">
        <f t="shared" si="3177"/>
        <v/>
      </c>
      <c r="DL210" s="43" t="str">
        <f t="shared" si="3178"/>
        <v/>
      </c>
      <c r="DM210" s="43" t="str">
        <f t="shared" si="3179"/>
        <v/>
      </c>
      <c r="DN210" s="43" t="str">
        <f t="shared" si="3180"/>
        <v/>
      </c>
      <c r="DO210" s="43" t="str">
        <f t="shared" si="3181"/>
        <v/>
      </c>
      <c r="DP210" s="43" t="str">
        <f t="shared" si="3182"/>
        <v/>
      </c>
      <c r="DQ210" s="43" t="str">
        <f t="shared" si="3183"/>
        <v/>
      </c>
      <c r="DR210" s="43" t="str">
        <f t="shared" si="3184"/>
        <v/>
      </c>
      <c r="DS210" s="43" t="str">
        <f t="shared" si="3185"/>
        <v/>
      </c>
      <c r="DT210" s="43" t="str">
        <f t="shared" si="3186"/>
        <v/>
      </c>
      <c r="DU210" s="43" t="str">
        <f t="shared" si="3187"/>
        <v/>
      </c>
      <c r="DV210" s="43" t="str">
        <f t="shared" si="3188"/>
        <v/>
      </c>
      <c r="DW210" s="43" t="str">
        <f t="shared" si="3189"/>
        <v/>
      </c>
      <c r="DX210" s="43" t="str">
        <f t="shared" si="3190"/>
        <v/>
      </c>
      <c r="DY210" s="43" t="str">
        <f t="shared" si="3191"/>
        <v/>
      </c>
      <c r="DZ210" s="43" t="str">
        <f t="shared" si="3192"/>
        <v/>
      </c>
      <c r="EA210" s="43" t="str">
        <f t="shared" si="3193"/>
        <v/>
      </c>
      <c r="EB210" s="43" t="str">
        <f t="shared" si="3194"/>
        <v/>
      </c>
      <c r="EC210" s="43" t="str">
        <f t="shared" si="3195"/>
        <v/>
      </c>
      <c r="ED210" s="43" t="str">
        <f t="shared" si="3196"/>
        <v/>
      </c>
      <c r="EE210" s="43" t="str">
        <f t="shared" si="3197"/>
        <v/>
      </c>
      <c r="EF210" s="43" t="str">
        <f t="shared" si="3198"/>
        <v/>
      </c>
      <c r="EG210" s="43" t="str">
        <f t="shared" si="3199"/>
        <v/>
      </c>
      <c r="EH210" s="43" t="str">
        <f t="shared" si="3200"/>
        <v/>
      </c>
      <c r="EI210" s="43" t="str">
        <f t="shared" si="3201"/>
        <v/>
      </c>
      <c r="EJ210" s="43" t="str">
        <f t="shared" si="3202"/>
        <v/>
      </c>
      <c r="EK210" s="43" t="str">
        <f t="shared" si="3203"/>
        <v/>
      </c>
      <c r="EL210" s="43" t="str">
        <f t="shared" si="3204"/>
        <v/>
      </c>
      <c r="EM210" s="43" t="str">
        <f t="shared" si="3205"/>
        <v/>
      </c>
      <c r="EN210" s="43" t="str">
        <f t="shared" si="3206"/>
        <v/>
      </c>
      <c r="EO210" s="43" t="str">
        <f t="shared" si="3207"/>
        <v/>
      </c>
      <c r="EP210" s="43" t="str">
        <f t="shared" si="3208"/>
        <v/>
      </c>
      <c r="EQ210" s="43" t="str">
        <f t="shared" si="3209"/>
        <v/>
      </c>
      <c r="ER210" s="43" t="str">
        <f t="shared" si="3210"/>
        <v/>
      </c>
      <c r="ES210" s="43" t="str">
        <f t="shared" si="3211"/>
        <v/>
      </c>
      <c r="ET210" s="43" t="str">
        <f t="shared" si="3212"/>
        <v/>
      </c>
      <c r="EU210" s="43" t="str">
        <f t="shared" si="3213"/>
        <v/>
      </c>
      <c r="EV210" s="43" t="str">
        <f t="shared" si="3214"/>
        <v/>
      </c>
      <c r="EW210" s="43" t="str">
        <f t="shared" si="3215"/>
        <v/>
      </c>
      <c r="EX210" s="43" t="str">
        <f t="shared" si="3216"/>
        <v/>
      </c>
      <c r="EY210" s="43" t="str">
        <f t="shared" si="3217"/>
        <v/>
      </c>
      <c r="EZ210" s="43" t="str">
        <f t="shared" si="3218"/>
        <v/>
      </c>
      <c r="FA210" s="43" t="str">
        <f t="shared" si="3219"/>
        <v/>
      </c>
      <c r="FB210" s="43" t="str">
        <f t="shared" si="3220"/>
        <v/>
      </c>
      <c r="FC210" s="43" t="str">
        <f t="shared" si="3221"/>
        <v/>
      </c>
      <c r="FD210" s="43" t="str">
        <f t="shared" si="3222"/>
        <v/>
      </c>
      <c r="FE210" s="43" t="str">
        <f t="shared" si="3223"/>
        <v/>
      </c>
      <c r="FF210" s="43" t="str">
        <f t="shared" si="3224"/>
        <v/>
      </c>
      <c r="FG210" s="43" t="str">
        <f t="shared" si="3225"/>
        <v/>
      </c>
      <c r="FH210" s="43" t="str">
        <f t="shared" si="3226"/>
        <v/>
      </c>
      <c r="FI210" s="43" t="str">
        <f t="shared" si="3227"/>
        <v/>
      </c>
      <c r="FJ210" s="43" t="str">
        <f t="shared" si="3228"/>
        <v/>
      </c>
      <c r="FK210" s="43" t="str">
        <f t="shared" si="3229"/>
        <v/>
      </c>
      <c r="FL210" s="43" t="str">
        <f t="shared" si="3230"/>
        <v/>
      </c>
      <c r="FM210" s="43" t="str">
        <f t="shared" si="3231"/>
        <v/>
      </c>
      <c r="FN210" s="43" t="str">
        <f t="shared" si="3232"/>
        <v/>
      </c>
      <c r="FO210" s="43" t="str">
        <f t="shared" si="3233"/>
        <v/>
      </c>
      <c r="FP210" s="43" t="str">
        <f t="shared" si="3234"/>
        <v/>
      </c>
      <c r="FQ210" s="43" t="str">
        <f t="shared" si="3235"/>
        <v/>
      </c>
      <c r="FR210" s="43" t="str">
        <f t="shared" si="3236"/>
        <v/>
      </c>
      <c r="FS210" s="43" t="str">
        <f t="shared" si="3237"/>
        <v/>
      </c>
    </row>
    <row r="211" ht="15" spans="1:175">
      <c r="A211" s="98"/>
      <c r="B211" s="7" t="s">
        <v>655</v>
      </c>
      <c r="C211" s="5" t="s">
        <v>134</v>
      </c>
      <c r="T211" s="107"/>
      <c r="U211" s="59"/>
      <c r="CN211" s="12" t="str">
        <f t="shared" si="3162"/>
        <v>InitUnitState('IF12',,,,,,,,,,)</v>
      </c>
      <c r="CO211" s="12" t="str">
        <f t="shared" si="3163"/>
        <v>InitUnitNormal('IF12',,,,,,,,,,)</v>
      </c>
      <c r="CP211" s="12" t="str">
        <f t="shared" si="3164"/>
        <v>InitUnitMagic('IF12',,,,,,,,,,)</v>
      </c>
      <c r="CQ211" s="12" t="str">
        <f t="shared" si="3165"/>
        <v>InitUnitAdd('IF12',,,,,,,,,,)</v>
      </c>
      <c r="CR211" s="12" t="str">
        <f t="shared" si="3166"/>
        <v>InitEquipData('IF12',,"",,,,,'','','','','','',"")</v>
      </c>
      <c r="CU211" s="71" t="str">
        <f t="shared" si="3167"/>
        <v>|n</v>
      </c>
      <c r="CW211" s="6"/>
      <c r="CX211" s="6"/>
      <c r="CY211" s="6"/>
      <c r="CZ211" s="6"/>
      <c r="DA211" s="6"/>
      <c r="DB211" s="43" t="str">
        <f t="shared" si="3168"/>
        <v/>
      </c>
      <c r="DC211" s="43" t="str">
        <f t="shared" si="3169"/>
        <v/>
      </c>
      <c r="DD211" s="43" t="str">
        <f t="shared" si="3170"/>
        <v/>
      </c>
      <c r="DE211" s="43" t="str">
        <f t="shared" si="3171"/>
        <v/>
      </c>
      <c r="DF211" s="43" t="str">
        <f t="shared" si="3172"/>
        <v/>
      </c>
      <c r="DG211" s="43" t="str">
        <f t="shared" si="3173"/>
        <v/>
      </c>
      <c r="DH211" s="43" t="str">
        <f t="shared" si="3174"/>
        <v/>
      </c>
      <c r="DI211" s="43" t="str">
        <f t="shared" si="3175"/>
        <v/>
      </c>
      <c r="DJ211" s="43" t="str">
        <f t="shared" si="3176"/>
        <v/>
      </c>
      <c r="DK211" s="43" t="str">
        <f t="shared" si="3177"/>
        <v/>
      </c>
      <c r="DL211" s="43" t="str">
        <f t="shared" si="3178"/>
        <v/>
      </c>
      <c r="DM211" s="43" t="str">
        <f t="shared" si="3179"/>
        <v/>
      </c>
      <c r="DN211" s="43" t="str">
        <f t="shared" si="3180"/>
        <v/>
      </c>
      <c r="DO211" s="43" t="str">
        <f t="shared" si="3181"/>
        <v/>
      </c>
      <c r="DP211" s="43" t="str">
        <f t="shared" si="3182"/>
        <v/>
      </c>
      <c r="DQ211" s="43" t="str">
        <f t="shared" si="3183"/>
        <v/>
      </c>
      <c r="DR211" s="43" t="str">
        <f t="shared" si="3184"/>
        <v/>
      </c>
      <c r="DS211" s="43" t="str">
        <f t="shared" si="3185"/>
        <v/>
      </c>
      <c r="DT211" s="43" t="str">
        <f t="shared" si="3186"/>
        <v/>
      </c>
      <c r="DU211" s="43" t="str">
        <f t="shared" si="3187"/>
        <v/>
      </c>
      <c r="DV211" s="43" t="str">
        <f t="shared" si="3188"/>
        <v/>
      </c>
      <c r="DW211" s="43" t="str">
        <f t="shared" si="3189"/>
        <v/>
      </c>
      <c r="DX211" s="43" t="str">
        <f t="shared" si="3190"/>
        <v/>
      </c>
      <c r="DY211" s="43" t="str">
        <f t="shared" si="3191"/>
        <v/>
      </c>
      <c r="DZ211" s="43" t="str">
        <f t="shared" si="3192"/>
        <v/>
      </c>
      <c r="EA211" s="43" t="str">
        <f t="shared" si="3193"/>
        <v/>
      </c>
      <c r="EB211" s="43" t="str">
        <f t="shared" si="3194"/>
        <v/>
      </c>
      <c r="EC211" s="43" t="str">
        <f t="shared" si="3195"/>
        <v/>
      </c>
      <c r="ED211" s="43" t="str">
        <f t="shared" si="3196"/>
        <v/>
      </c>
      <c r="EE211" s="43" t="str">
        <f t="shared" si="3197"/>
        <v/>
      </c>
      <c r="EF211" s="43" t="str">
        <f t="shared" si="3198"/>
        <v/>
      </c>
      <c r="EG211" s="43" t="str">
        <f t="shared" si="3199"/>
        <v/>
      </c>
      <c r="EH211" s="43" t="str">
        <f t="shared" si="3200"/>
        <v/>
      </c>
      <c r="EI211" s="43" t="str">
        <f t="shared" si="3201"/>
        <v/>
      </c>
      <c r="EJ211" s="43" t="str">
        <f t="shared" si="3202"/>
        <v/>
      </c>
      <c r="EK211" s="43" t="str">
        <f t="shared" si="3203"/>
        <v/>
      </c>
      <c r="EL211" s="43" t="str">
        <f t="shared" si="3204"/>
        <v/>
      </c>
      <c r="EM211" s="43" t="str">
        <f t="shared" si="3205"/>
        <v/>
      </c>
      <c r="EN211" s="43" t="str">
        <f t="shared" si="3206"/>
        <v/>
      </c>
      <c r="EO211" s="43" t="str">
        <f t="shared" si="3207"/>
        <v/>
      </c>
      <c r="EP211" s="43" t="str">
        <f t="shared" si="3208"/>
        <v/>
      </c>
      <c r="EQ211" s="43" t="str">
        <f t="shared" si="3209"/>
        <v/>
      </c>
      <c r="ER211" s="43" t="str">
        <f t="shared" si="3210"/>
        <v/>
      </c>
      <c r="ES211" s="43" t="str">
        <f t="shared" si="3211"/>
        <v/>
      </c>
      <c r="ET211" s="43" t="str">
        <f t="shared" si="3212"/>
        <v/>
      </c>
      <c r="EU211" s="43" t="str">
        <f t="shared" si="3213"/>
        <v/>
      </c>
      <c r="EV211" s="43" t="str">
        <f t="shared" si="3214"/>
        <v/>
      </c>
      <c r="EW211" s="43" t="str">
        <f t="shared" si="3215"/>
        <v/>
      </c>
      <c r="EX211" s="43" t="str">
        <f t="shared" si="3216"/>
        <v/>
      </c>
      <c r="EY211" s="43" t="str">
        <f t="shared" si="3217"/>
        <v/>
      </c>
      <c r="EZ211" s="43" t="str">
        <f t="shared" si="3218"/>
        <v/>
      </c>
      <c r="FA211" s="43" t="str">
        <f t="shared" si="3219"/>
        <v/>
      </c>
      <c r="FB211" s="43" t="str">
        <f t="shared" si="3220"/>
        <v/>
      </c>
      <c r="FC211" s="43" t="str">
        <f t="shared" si="3221"/>
        <v/>
      </c>
      <c r="FD211" s="43" t="str">
        <f t="shared" si="3222"/>
        <v/>
      </c>
      <c r="FE211" s="43" t="str">
        <f t="shared" si="3223"/>
        <v/>
      </c>
      <c r="FF211" s="43" t="str">
        <f t="shared" si="3224"/>
        <v/>
      </c>
      <c r="FG211" s="43" t="str">
        <f t="shared" si="3225"/>
        <v/>
      </c>
      <c r="FH211" s="43" t="str">
        <f t="shared" si="3226"/>
        <v/>
      </c>
      <c r="FI211" s="43" t="str">
        <f t="shared" si="3227"/>
        <v/>
      </c>
      <c r="FJ211" s="43" t="str">
        <f t="shared" si="3228"/>
        <v/>
      </c>
      <c r="FK211" s="43" t="str">
        <f t="shared" si="3229"/>
        <v/>
      </c>
      <c r="FL211" s="43" t="str">
        <f t="shared" si="3230"/>
        <v/>
      </c>
      <c r="FM211" s="43" t="str">
        <f t="shared" si="3231"/>
        <v/>
      </c>
      <c r="FN211" s="43" t="str">
        <f t="shared" si="3232"/>
        <v/>
      </c>
      <c r="FO211" s="43" t="str">
        <f t="shared" si="3233"/>
        <v/>
      </c>
      <c r="FP211" s="43" t="str">
        <f t="shared" si="3234"/>
        <v/>
      </c>
      <c r="FQ211" s="43" t="str">
        <f t="shared" si="3235"/>
        <v/>
      </c>
      <c r="FR211" s="43" t="str">
        <f t="shared" si="3236"/>
        <v/>
      </c>
      <c r="FS211" s="43" t="str">
        <f t="shared" si="3237"/>
        <v/>
      </c>
    </row>
    <row r="212" ht="15" spans="1:175">
      <c r="A212" s="98"/>
      <c r="B212" s="7" t="s">
        <v>656</v>
      </c>
      <c r="C212" s="5" t="s">
        <v>657</v>
      </c>
      <c r="T212" s="107"/>
      <c r="U212" s="59"/>
      <c r="CN212" s="12" t="str">
        <f t="shared" si="3162"/>
        <v>InitUnitState('IF13',,,,,,,,,,)</v>
      </c>
      <c r="CO212" s="12" t="str">
        <f t="shared" si="3163"/>
        <v>InitUnitNormal('IF13',,,,,,,,,,)</v>
      </c>
      <c r="CP212" s="12" t="str">
        <f t="shared" si="3164"/>
        <v>InitUnitMagic('IF13',,,,,,,,,,)</v>
      </c>
      <c r="CQ212" s="12" t="str">
        <f t="shared" si="3165"/>
        <v>InitUnitAdd('IF13',,,,,,,,,,)</v>
      </c>
      <c r="CR212" s="12" t="str">
        <f t="shared" si="3166"/>
        <v>InitEquipData('IF13',,"",,,,,'','','','','','',"")</v>
      </c>
      <c r="CU212" s="71" t="str">
        <f t="shared" si="3167"/>
        <v>|n</v>
      </c>
      <c r="CW212" s="6"/>
      <c r="CX212" s="6"/>
      <c r="CY212" s="6"/>
      <c r="CZ212" s="6"/>
      <c r="DA212" s="6"/>
      <c r="DB212" s="43" t="str">
        <f t="shared" si="3168"/>
        <v/>
      </c>
      <c r="DC212" s="43" t="str">
        <f t="shared" si="3169"/>
        <v/>
      </c>
      <c r="DD212" s="43" t="str">
        <f t="shared" si="3170"/>
        <v/>
      </c>
      <c r="DE212" s="43" t="str">
        <f t="shared" si="3171"/>
        <v/>
      </c>
      <c r="DF212" s="43" t="str">
        <f t="shared" si="3172"/>
        <v/>
      </c>
      <c r="DG212" s="43" t="str">
        <f t="shared" si="3173"/>
        <v/>
      </c>
      <c r="DH212" s="43" t="str">
        <f t="shared" si="3174"/>
        <v/>
      </c>
      <c r="DI212" s="43" t="str">
        <f t="shared" si="3175"/>
        <v/>
      </c>
      <c r="DJ212" s="43" t="str">
        <f t="shared" si="3176"/>
        <v/>
      </c>
      <c r="DK212" s="43" t="str">
        <f t="shared" si="3177"/>
        <v/>
      </c>
      <c r="DL212" s="43" t="str">
        <f t="shared" si="3178"/>
        <v/>
      </c>
      <c r="DM212" s="43" t="str">
        <f t="shared" si="3179"/>
        <v/>
      </c>
      <c r="DN212" s="43" t="str">
        <f t="shared" si="3180"/>
        <v/>
      </c>
      <c r="DO212" s="43" t="str">
        <f t="shared" si="3181"/>
        <v/>
      </c>
      <c r="DP212" s="43" t="str">
        <f t="shared" si="3182"/>
        <v/>
      </c>
      <c r="DQ212" s="43" t="str">
        <f t="shared" si="3183"/>
        <v/>
      </c>
      <c r="DR212" s="43" t="str">
        <f t="shared" si="3184"/>
        <v/>
      </c>
      <c r="DS212" s="43" t="str">
        <f t="shared" si="3185"/>
        <v/>
      </c>
      <c r="DT212" s="43" t="str">
        <f t="shared" si="3186"/>
        <v/>
      </c>
      <c r="DU212" s="43" t="str">
        <f t="shared" si="3187"/>
        <v/>
      </c>
      <c r="DV212" s="43" t="str">
        <f t="shared" si="3188"/>
        <v/>
      </c>
      <c r="DW212" s="43" t="str">
        <f t="shared" si="3189"/>
        <v/>
      </c>
      <c r="DX212" s="43" t="str">
        <f t="shared" si="3190"/>
        <v/>
      </c>
      <c r="DY212" s="43" t="str">
        <f t="shared" si="3191"/>
        <v/>
      </c>
      <c r="DZ212" s="43" t="str">
        <f t="shared" si="3192"/>
        <v/>
      </c>
      <c r="EA212" s="43" t="str">
        <f t="shared" si="3193"/>
        <v/>
      </c>
      <c r="EB212" s="43" t="str">
        <f t="shared" si="3194"/>
        <v/>
      </c>
      <c r="EC212" s="43" t="str">
        <f t="shared" si="3195"/>
        <v/>
      </c>
      <c r="ED212" s="43" t="str">
        <f t="shared" si="3196"/>
        <v/>
      </c>
      <c r="EE212" s="43" t="str">
        <f t="shared" si="3197"/>
        <v/>
      </c>
      <c r="EF212" s="43" t="str">
        <f t="shared" si="3198"/>
        <v/>
      </c>
      <c r="EG212" s="43" t="str">
        <f t="shared" si="3199"/>
        <v/>
      </c>
      <c r="EH212" s="43" t="str">
        <f t="shared" si="3200"/>
        <v/>
      </c>
      <c r="EI212" s="43" t="str">
        <f t="shared" si="3201"/>
        <v/>
      </c>
      <c r="EJ212" s="43" t="str">
        <f t="shared" si="3202"/>
        <v/>
      </c>
      <c r="EK212" s="43" t="str">
        <f t="shared" si="3203"/>
        <v/>
      </c>
      <c r="EL212" s="43" t="str">
        <f t="shared" si="3204"/>
        <v/>
      </c>
      <c r="EM212" s="43" t="str">
        <f t="shared" si="3205"/>
        <v/>
      </c>
      <c r="EN212" s="43" t="str">
        <f t="shared" si="3206"/>
        <v/>
      </c>
      <c r="EO212" s="43" t="str">
        <f t="shared" si="3207"/>
        <v/>
      </c>
      <c r="EP212" s="43" t="str">
        <f t="shared" si="3208"/>
        <v/>
      </c>
      <c r="EQ212" s="43" t="str">
        <f t="shared" si="3209"/>
        <v/>
      </c>
      <c r="ER212" s="43" t="str">
        <f t="shared" si="3210"/>
        <v/>
      </c>
      <c r="ES212" s="43" t="str">
        <f t="shared" si="3211"/>
        <v/>
      </c>
      <c r="ET212" s="43" t="str">
        <f t="shared" si="3212"/>
        <v/>
      </c>
      <c r="EU212" s="43" t="str">
        <f t="shared" si="3213"/>
        <v/>
      </c>
      <c r="EV212" s="43" t="str">
        <f t="shared" si="3214"/>
        <v/>
      </c>
      <c r="EW212" s="43" t="str">
        <f t="shared" si="3215"/>
        <v/>
      </c>
      <c r="EX212" s="43" t="str">
        <f t="shared" si="3216"/>
        <v/>
      </c>
      <c r="EY212" s="43" t="str">
        <f t="shared" si="3217"/>
        <v/>
      </c>
      <c r="EZ212" s="43" t="str">
        <f t="shared" si="3218"/>
        <v/>
      </c>
      <c r="FA212" s="43" t="str">
        <f t="shared" si="3219"/>
        <v/>
      </c>
      <c r="FB212" s="43" t="str">
        <f t="shared" si="3220"/>
        <v/>
      </c>
      <c r="FC212" s="43" t="str">
        <f t="shared" si="3221"/>
        <v/>
      </c>
      <c r="FD212" s="43" t="str">
        <f t="shared" si="3222"/>
        <v/>
      </c>
      <c r="FE212" s="43" t="str">
        <f t="shared" si="3223"/>
        <v/>
      </c>
      <c r="FF212" s="43" t="str">
        <f t="shared" si="3224"/>
        <v/>
      </c>
      <c r="FG212" s="43" t="str">
        <f t="shared" si="3225"/>
        <v/>
      </c>
      <c r="FH212" s="43" t="str">
        <f t="shared" si="3226"/>
        <v/>
      </c>
      <c r="FI212" s="43" t="str">
        <f t="shared" si="3227"/>
        <v/>
      </c>
      <c r="FJ212" s="43" t="str">
        <f t="shared" si="3228"/>
        <v/>
      </c>
      <c r="FK212" s="43" t="str">
        <f t="shared" si="3229"/>
        <v/>
      </c>
      <c r="FL212" s="43" t="str">
        <f t="shared" si="3230"/>
        <v/>
      </c>
      <c r="FM212" s="43" t="str">
        <f t="shared" si="3231"/>
        <v/>
      </c>
      <c r="FN212" s="43" t="str">
        <f t="shared" si="3232"/>
        <v/>
      </c>
      <c r="FO212" s="43" t="str">
        <f t="shared" si="3233"/>
        <v/>
      </c>
      <c r="FP212" s="43" t="str">
        <f t="shared" si="3234"/>
        <v/>
      </c>
      <c r="FQ212" s="43" t="str">
        <f t="shared" si="3235"/>
        <v/>
      </c>
      <c r="FR212" s="43" t="str">
        <f t="shared" si="3236"/>
        <v/>
      </c>
      <c r="FS212" s="43" t="str">
        <f t="shared" si="3237"/>
        <v/>
      </c>
    </row>
    <row r="213" ht="15" spans="1:175">
      <c r="A213" s="98"/>
      <c r="B213" s="7" t="s">
        <v>658</v>
      </c>
      <c r="C213" s="5" t="s">
        <v>657</v>
      </c>
      <c r="T213" s="107"/>
      <c r="U213" s="59"/>
      <c r="CN213" s="12" t="str">
        <f t="shared" si="3162"/>
        <v>InitUnitState('IF14',,,,,,,,,,)</v>
      </c>
      <c r="CO213" s="12" t="str">
        <f t="shared" si="3163"/>
        <v>InitUnitNormal('IF14',,,,,,,,,,)</v>
      </c>
      <c r="CP213" s="12" t="str">
        <f t="shared" si="3164"/>
        <v>InitUnitMagic('IF14',,,,,,,,,,)</v>
      </c>
      <c r="CQ213" s="12" t="str">
        <f t="shared" si="3165"/>
        <v>InitUnitAdd('IF14',,,,,,,,,,)</v>
      </c>
      <c r="CR213" s="12" t="str">
        <f t="shared" si="3166"/>
        <v>InitEquipData('IF14',,"",,,,,'','','','','','',"")</v>
      </c>
      <c r="CU213" s="71" t="str">
        <f t="shared" si="3167"/>
        <v>|n</v>
      </c>
      <c r="CW213" s="6"/>
      <c r="CX213" s="6"/>
      <c r="CY213" s="6"/>
      <c r="CZ213" s="6"/>
      <c r="DA213" s="6"/>
      <c r="DB213" s="43" t="str">
        <f t="shared" si="3168"/>
        <v/>
      </c>
      <c r="DC213" s="43" t="str">
        <f t="shared" si="3169"/>
        <v/>
      </c>
      <c r="DD213" s="43" t="str">
        <f t="shared" si="3170"/>
        <v/>
      </c>
      <c r="DE213" s="43" t="str">
        <f t="shared" si="3171"/>
        <v/>
      </c>
      <c r="DF213" s="43" t="str">
        <f t="shared" si="3172"/>
        <v/>
      </c>
      <c r="DG213" s="43" t="str">
        <f t="shared" si="3173"/>
        <v/>
      </c>
      <c r="DH213" s="43" t="str">
        <f t="shared" si="3174"/>
        <v/>
      </c>
      <c r="DI213" s="43" t="str">
        <f t="shared" si="3175"/>
        <v/>
      </c>
      <c r="DJ213" s="43" t="str">
        <f t="shared" si="3176"/>
        <v/>
      </c>
      <c r="DK213" s="43" t="str">
        <f t="shared" si="3177"/>
        <v/>
      </c>
      <c r="DL213" s="43" t="str">
        <f t="shared" si="3178"/>
        <v/>
      </c>
      <c r="DM213" s="43" t="str">
        <f t="shared" si="3179"/>
        <v/>
      </c>
      <c r="DN213" s="43" t="str">
        <f t="shared" si="3180"/>
        <v/>
      </c>
      <c r="DO213" s="43" t="str">
        <f t="shared" si="3181"/>
        <v/>
      </c>
      <c r="DP213" s="43" t="str">
        <f t="shared" si="3182"/>
        <v/>
      </c>
      <c r="DQ213" s="43" t="str">
        <f t="shared" si="3183"/>
        <v/>
      </c>
      <c r="DR213" s="43" t="str">
        <f t="shared" si="3184"/>
        <v/>
      </c>
      <c r="DS213" s="43" t="str">
        <f t="shared" si="3185"/>
        <v/>
      </c>
      <c r="DT213" s="43" t="str">
        <f t="shared" si="3186"/>
        <v/>
      </c>
      <c r="DU213" s="43" t="str">
        <f t="shared" si="3187"/>
        <v/>
      </c>
      <c r="DV213" s="43" t="str">
        <f t="shared" si="3188"/>
        <v/>
      </c>
      <c r="DW213" s="43" t="str">
        <f t="shared" si="3189"/>
        <v/>
      </c>
      <c r="DX213" s="43" t="str">
        <f t="shared" si="3190"/>
        <v/>
      </c>
      <c r="DY213" s="43" t="str">
        <f t="shared" si="3191"/>
        <v/>
      </c>
      <c r="DZ213" s="43" t="str">
        <f t="shared" si="3192"/>
        <v/>
      </c>
      <c r="EA213" s="43" t="str">
        <f t="shared" si="3193"/>
        <v/>
      </c>
      <c r="EB213" s="43" t="str">
        <f t="shared" si="3194"/>
        <v/>
      </c>
      <c r="EC213" s="43" t="str">
        <f t="shared" si="3195"/>
        <v/>
      </c>
      <c r="ED213" s="43" t="str">
        <f t="shared" si="3196"/>
        <v/>
      </c>
      <c r="EE213" s="43" t="str">
        <f t="shared" si="3197"/>
        <v/>
      </c>
      <c r="EF213" s="43" t="str">
        <f t="shared" si="3198"/>
        <v/>
      </c>
      <c r="EG213" s="43" t="str">
        <f t="shared" si="3199"/>
        <v/>
      </c>
      <c r="EH213" s="43" t="str">
        <f t="shared" si="3200"/>
        <v/>
      </c>
      <c r="EI213" s="43" t="str">
        <f t="shared" si="3201"/>
        <v/>
      </c>
      <c r="EJ213" s="43" t="str">
        <f t="shared" si="3202"/>
        <v/>
      </c>
      <c r="EK213" s="43" t="str">
        <f t="shared" si="3203"/>
        <v/>
      </c>
      <c r="EL213" s="43" t="str">
        <f t="shared" si="3204"/>
        <v/>
      </c>
      <c r="EM213" s="43" t="str">
        <f t="shared" si="3205"/>
        <v/>
      </c>
      <c r="EN213" s="43" t="str">
        <f t="shared" si="3206"/>
        <v/>
      </c>
      <c r="EO213" s="43" t="str">
        <f t="shared" si="3207"/>
        <v/>
      </c>
      <c r="EP213" s="43" t="str">
        <f t="shared" si="3208"/>
        <v/>
      </c>
      <c r="EQ213" s="43" t="str">
        <f t="shared" si="3209"/>
        <v/>
      </c>
      <c r="ER213" s="43" t="str">
        <f t="shared" si="3210"/>
        <v/>
      </c>
      <c r="ES213" s="43" t="str">
        <f t="shared" si="3211"/>
        <v/>
      </c>
      <c r="ET213" s="43" t="str">
        <f t="shared" si="3212"/>
        <v/>
      </c>
      <c r="EU213" s="43" t="str">
        <f t="shared" si="3213"/>
        <v/>
      </c>
      <c r="EV213" s="43" t="str">
        <f t="shared" si="3214"/>
        <v/>
      </c>
      <c r="EW213" s="43" t="str">
        <f t="shared" si="3215"/>
        <v/>
      </c>
      <c r="EX213" s="43" t="str">
        <f t="shared" si="3216"/>
        <v/>
      </c>
      <c r="EY213" s="43" t="str">
        <f t="shared" si="3217"/>
        <v/>
      </c>
      <c r="EZ213" s="43" t="str">
        <f t="shared" si="3218"/>
        <v/>
      </c>
      <c r="FA213" s="43" t="str">
        <f t="shared" si="3219"/>
        <v/>
      </c>
      <c r="FB213" s="43" t="str">
        <f t="shared" si="3220"/>
        <v/>
      </c>
      <c r="FC213" s="43" t="str">
        <f t="shared" si="3221"/>
        <v/>
      </c>
      <c r="FD213" s="43" t="str">
        <f t="shared" si="3222"/>
        <v/>
      </c>
      <c r="FE213" s="43" t="str">
        <f t="shared" si="3223"/>
        <v/>
      </c>
      <c r="FF213" s="43" t="str">
        <f t="shared" si="3224"/>
        <v/>
      </c>
      <c r="FG213" s="43" t="str">
        <f t="shared" si="3225"/>
        <v/>
      </c>
      <c r="FH213" s="43" t="str">
        <f t="shared" si="3226"/>
        <v/>
      </c>
      <c r="FI213" s="43" t="str">
        <f t="shared" si="3227"/>
        <v/>
      </c>
      <c r="FJ213" s="43" t="str">
        <f t="shared" si="3228"/>
        <v/>
      </c>
      <c r="FK213" s="43" t="str">
        <f t="shared" si="3229"/>
        <v/>
      </c>
      <c r="FL213" s="43" t="str">
        <f t="shared" si="3230"/>
        <v/>
      </c>
      <c r="FM213" s="43" t="str">
        <f t="shared" si="3231"/>
        <v/>
      </c>
      <c r="FN213" s="43" t="str">
        <f t="shared" si="3232"/>
        <v/>
      </c>
      <c r="FO213" s="43" t="str">
        <f t="shared" si="3233"/>
        <v/>
      </c>
      <c r="FP213" s="43" t="str">
        <f t="shared" si="3234"/>
        <v/>
      </c>
      <c r="FQ213" s="43" t="str">
        <f t="shared" si="3235"/>
        <v/>
      </c>
      <c r="FR213" s="43" t="str">
        <f t="shared" si="3236"/>
        <v/>
      </c>
      <c r="FS213" s="43" t="str">
        <f t="shared" si="3237"/>
        <v/>
      </c>
    </row>
    <row r="214" ht="15" spans="1:175">
      <c r="A214" s="98"/>
      <c r="B214" s="7" t="s">
        <v>659</v>
      </c>
      <c r="C214" s="5" t="s">
        <v>657</v>
      </c>
      <c r="T214" s="107"/>
      <c r="U214" s="59"/>
      <c r="CN214" s="12" t="str">
        <f t="shared" si="3162"/>
        <v>InitUnitState('IF15',,,,,,,,,,)</v>
      </c>
      <c r="CO214" s="12" t="str">
        <f t="shared" si="3163"/>
        <v>InitUnitNormal('IF15',,,,,,,,,,)</v>
      </c>
      <c r="CP214" s="12" t="str">
        <f t="shared" si="3164"/>
        <v>InitUnitMagic('IF15',,,,,,,,,,)</v>
      </c>
      <c r="CQ214" s="12" t="str">
        <f t="shared" si="3165"/>
        <v>InitUnitAdd('IF15',,,,,,,,,,)</v>
      </c>
      <c r="CR214" s="12" t="str">
        <f t="shared" si="3166"/>
        <v>InitEquipData('IF15',,"",,,,,'','','','','','',"")</v>
      </c>
      <c r="CU214" s="71" t="str">
        <f t="shared" si="3167"/>
        <v>|n</v>
      </c>
      <c r="CW214" s="6"/>
      <c r="CX214" s="6"/>
      <c r="CY214" s="6"/>
      <c r="CZ214" s="6"/>
      <c r="DA214" s="6"/>
      <c r="DB214" s="43" t="str">
        <f t="shared" si="3168"/>
        <v/>
      </c>
      <c r="DC214" s="43" t="str">
        <f t="shared" si="3169"/>
        <v/>
      </c>
      <c r="DD214" s="43" t="str">
        <f t="shared" si="3170"/>
        <v/>
      </c>
      <c r="DE214" s="43" t="str">
        <f t="shared" si="3171"/>
        <v/>
      </c>
      <c r="DF214" s="43" t="str">
        <f t="shared" si="3172"/>
        <v/>
      </c>
      <c r="DG214" s="43" t="str">
        <f t="shared" si="3173"/>
        <v/>
      </c>
      <c r="DH214" s="43" t="str">
        <f t="shared" si="3174"/>
        <v/>
      </c>
      <c r="DI214" s="43" t="str">
        <f t="shared" si="3175"/>
        <v/>
      </c>
      <c r="DJ214" s="43" t="str">
        <f t="shared" si="3176"/>
        <v/>
      </c>
      <c r="DK214" s="43" t="str">
        <f t="shared" si="3177"/>
        <v/>
      </c>
      <c r="DL214" s="43" t="str">
        <f t="shared" si="3178"/>
        <v/>
      </c>
      <c r="DM214" s="43" t="str">
        <f t="shared" si="3179"/>
        <v/>
      </c>
      <c r="DN214" s="43" t="str">
        <f t="shared" si="3180"/>
        <v/>
      </c>
      <c r="DO214" s="43" t="str">
        <f t="shared" si="3181"/>
        <v/>
      </c>
      <c r="DP214" s="43" t="str">
        <f t="shared" si="3182"/>
        <v/>
      </c>
      <c r="DQ214" s="43" t="str">
        <f t="shared" si="3183"/>
        <v/>
      </c>
      <c r="DR214" s="43" t="str">
        <f t="shared" si="3184"/>
        <v/>
      </c>
      <c r="DS214" s="43" t="str">
        <f t="shared" si="3185"/>
        <v/>
      </c>
      <c r="DT214" s="43" t="str">
        <f t="shared" si="3186"/>
        <v/>
      </c>
      <c r="DU214" s="43" t="str">
        <f t="shared" si="3187"/>
        <v/>
      </c>
      <c r="DV214" s="43" t="str">
        <f t="shared" si="3188"/>
        <v/>
      </c>
      <c r="DW214" s="43" t="str">
        <f t="shared" si="3189"/>
        <v/>
      </c>
      <c r="DX214" s="43" t="str">
        <f t="shared" si="3190"/>
        <v/>
      </c>
      <c r="DY214" s="43" t="str">
        <f t="shared" si="3191"/>
        <v/>
      </c>
      <c r="DZ214" s="43" t="str">
        <f t="shared" si="3192"/>
        <v/>
      </c>
      <c r="EA214" s="43" t="str">
        <f t="shared" si="3193"/>
        <v/>
      </c>
      <c r="EB214" s="43" t="str">
        <f t="shared" si="3194"/>
        <v/>
      </c>
      <c r="EC214" s="43" t="str">
        <f t="shared" si="3195"/>
        <v/>
      </c>
      <c r="ED214" s="43" t="str">
        <f t="shared" si="3196"/>
        <v/>
      </c>
      <c r="EE214" s="43" t="str">
        <f t="shared" si="3197"/>
        <v/>
      </c>
      <c r="EF214" s="43" t="str">
        <f t="shared" si="3198"/>
        <v/>
      </c>
      <c r="EG214" s="43" t="str">
        <f t="shared" si="3199"/>
        <v/>
      </c>
      <c r="EH214" s="43" t="str">
        <f t="shared" si="3200"/>
        <v/>
      </c>
      <c r="EI214" s="43" t="str">
        <f t="shared" si="3201"/>
        <v/>
      </c>
      <c r="EJ214" s="43" t="str">
        <f t="shared" si="3202"/>
        <v/>
      </c>
      <c r="EK214" s="43" t="str">
        <f t="shared" si="3203"/>
        <v/>
      </c>
      <c r="EL214" s="43" t="str">
        <f t="shared" si="3204"/>
        <v/>
      </c>
      <c r="EM214" s="43" t="str">
        <f t="shared" si="3205"/>
        <v/>
      </c>
      <c r="EN214" s="43" t="str">
        <f t="shared" si="3206"/>
        <v/>
      </c>
      <c r="EO214" s="43" t="str">
        <f t="shared" si="3207"/>
        <v/>
      </c>
      <c r="EP214" s="43" t="str">
        <f t="shared" si="3208"/>
        <v/>
      </c>
      <c r="EQ214" s="43" t="str">
        <f t="shared" si="3209"/>
        <v/>
      </c>
      <c r="ER214" s="43" t="str">
        <f t="shared" si="3210"/>
        <v/>
      </c>
      <c r="ES214" s="43" t="str">
        <f t="shared" si="3211"/>
        <v/>
      </c>
      <c r="ET214" s="43" t="str">
        <f t="shared" si="3212"/>
        <v/>
      </c>
      <c r="EU214" s="43" t="str">
        <f t="shared" si="3213"/>
        <v/>
      </c>
      <c r="EV214" s="43" t="str">
        <f t="shared" si="3214"/>
        <v/>
      </c>
      <c r="EW214" s="43" t="str">
        <f t="shared" si="3215"/>
        <v/>
      </c>
      <c r="EX214" s="43" t="str">
        <f t="shared" si="3216"/>
        <v/>
      </c>
      <c r="EY214" s="43" t="str">
        <f t="shared" si="3217"/>
        <v/>
      </c>
      <c r="EZ214" s="43" t="str">
        <f t="shared" si="3218"/>
        <v/>
      </c>
      <c r="FA214" s="43" t="str">
        <f t="shared" si="3219"/>
        <v/>
      </c>
      <c r="FB214" s="43" t="str">
        <f t="shared" si="3220"/>
        <v/>
      </c>
      <c r="FC214" s="43" t="str">
        <f t="shared" si="3221"/>
        <v/>
      </c>
      <c r="FD214" s="43" t="str">
        <f t="shared" si="3222"/>
        <v/>
      </c>
      <c r="FE214" s="43" t="str">
        <f t="shared" si="3223"/>
        <v/>
      </c>
      <c r="FF214" s="43" t="str">
        <f t="shared" si="3224"/>
        <v/>
      </c>
      <c r="FG214" s="43" t="str">
        <f t="shared" si="3225"/>
        <v/>
      </c>
      <c r="FH214" s="43" t="str">
        <f t="shared" si="3226"/>
        <v/>
      </c>
      <c r="FI214" s="43" t="str">
        <f t="shared" si="3227"/>
        <v/>
      </c>
      <c r="FJ214" s="43" t="str">
        <f t="shared" si="3228"/>
        <v/>
      </c>
      <c r="FK214" s="43" t="str">
        <f t="shared" si="3229"/>
        <v/>
      </c>
      <c r="FL214" s="43" t="str">
        <f t="shared" si="3230"/>
        <v/>
      </c>
      <c r="FM214" s="43" t="str">
        <f t="shared" si="3231"/>
        <v/>
      </c>
      <c r="FN214" s="43" t="str">
        <f t="shared" si="3232"/>
        <v/>
      </c>
      <c r="FO214" s="43" t="str">
        <f t="shared" si="3233"/>
        <v/>
      </c>
      <c r="FP214" s="43" t="str">
        <f t="shared" si="3234"/>
        <v/>
      </c>
      <c r="FQ214" s="43" t="str">
        <f t="shared" si="3235"/>
        <v/>
      </c>
      <c r="FR214" s="43" t="str">
        <f t="shared" si="3236"/>
        <v/>
      </c>
      <c r="FS214" s="43" t="str">
        <f t="shared" si="3237"/>
        <v/>
      </c>
    </row>
    <row r="215" ht="15" spans="1:175">
      <c r="A215" s="98"/>
      <c r="B215" s="7" t="s">
        <v>660</v>
      </c>
      <c r="C215" s="5" t="s">
        <v>140</v>
      </c>
      <c r="T215" s="107"/>
      <c r="U215" s="59"/>
      <c r="CN215" s="12" t="str">
        <f t="shared" si="3162"/>
        <v>InitUnitState('IF16',,,,,,,,,,)</v>
      </c>
      <c r="CO215" s="12" t="str">
        <f t="shared" si="3163"/>
        <v>InitUnitNormal('IF16',,,,,,,,,,)</v>
      </c>
      <c r="CP215" s="12" t="str">
        <f t="shared" si="3164"/>
        <v>InitUnitMagic('IF16',,,,,,,,,,)</v>
      </c>
      <c r="CQ215" s="12" t="str">
        <f t="shared" si="3165"/>
        <v>InitUnitAdd('IF16',,,,,,,,,,)</v>
      </c>
      <c r="CR215" s="12" t="str">
        <f t="shared" si="3166"/>
        <v>InitEquipData('IF16',,"",,,,,'','','','','','',"")</v>
      </c>
      <c r="CU215" s="71" t="str">
        <f t="shared" si="3167"/>
        <v>|n</v>
      </c>
      <c r="CW215" s="6"/>
      <c r="CX215" s="6"/>
      <c r="CY215" s="6"/>
      <c r="CZ215" s="6"/>
      <c r="DA215" s="6"/>
      <c r="DB215" s="43" t="str">
        <f t="shared" si="3168"/>
        <v/>
      </c>
      <c r="DC215" s="43" t="str">
        <f t="shared" si="3169"/>
        <v/>
      </c>
      <c r="DD215" s="43" t="str">
        <f t="shared" si="3170"/>
        <v/>
      </c>
      <c r="DE215" s="43" t="str">
        <f t="shared" si="3171"/>
        <v/>
      </c>
      <c r="DF215" s="43" t="str">
        <f t="shared" si="3172"/>
        <v/>
      </c>
      <c r="DG215" s="43" t="str">
        <f t="shared" si="3173"/>
        <v/>
      </c>
      <c r="DH215" s="43" t="str">
        <f t="shared" si="3174"/>
        <v/>
      </c>
      <c r="DI215" s="43" t="str">
        <f t="shared" si="3175"/>
        <v/>
      </c>
      <c r="DJ215" s="43" t="str">
        <f t="shared" si="3176"/>
        <v/>
      </c>
      <c r="DK215" s="43" t="str">
        <f t="shared" si="3177"/>
        <v/>
      </c>
      <c r="DL215" s="43" t="str">
        <f t="shared" si="3178"/>
        <v/>
      </c>
      <c r="DM215" s="43" t="str">
        <f t="shared" si="3179"/>
        <v/>
      </c>
      <c r="DN215" s="43" t="str">
        <f t="shared" si="3180"/>
        <v/>
      </c>
      <c r="DO215" s="43" t="str">
        <f t="shared" si="3181"/>
        <v/>
      </c>
      <c r="DP215" s="43" t="str">
        <f t="shared" si="3182"/>
        <v/>
      </c>
      <c r="DQ215" s="43" t="str">
        <f t="shared" si="3183"/>
        <v/>
      </c>
      <c r="DR215" s="43" t="str">
        <f t="shared" si="3184"/>
        <v/>
      </c>
      <c r="DS215" s="43" t="str">
        <f t="shared" si="3185"/>
        <v/>
      </c>
      <c r="DT215" s="43" t="str">
        <f t="shared" si="3186"/>
        <v/>
      </c>
      <c r="DU215" s="43" t="str">
        <f t="shared" si="3187"/>
        <v/>
      </c>
      <c r="DV215" s="43" t="str">
        <f t="shared" si="3188"/>
        <v/>
      </c>
      <c r="DW215" s="43" t="str">
        <f t="shared" si="3189"/>
        <v/>
      </c>
      <c r="DX215" s="43" t="str">
        <f t="shared" si="3190"/>
        <v/>
      </c>
      <c r="DY215" s="43" t="str">
        <f t="shared" si="3191"/>
        <v/>
      </c>
      <c r="DZ215" s="43" t="str">
        <f t="shared" si="3192"/>
        <v/>
      </c>
      <c r="EA215" s="43" t="str">
        <f t="shared" si="3193"/>
        <v/>
      </c>
      <c r="EB215" s="43" t="str">
        <f t="shared" si="3194"/>
        <v/>
      </c>
      <c r="EC215" s="43" t="str">
        <f t="shared" si="3195"/>
        <v/>
      </c>
      <c r="ED215" s="43" t="str">
        <f t="shared" si="3196"/>
        <v/>
      </c>
      <c r="EE215" s="43" t="str">
        <f t="shared" si="3197"/>
        <v/>
      </c>
      <c r="EF215" s="43" t="str">
        <f t="shared" si="3198"/>
        <v/>
      </c>
      <c r="EG215" s="43" t="str">
        <f t="shared" si="3199"/>
        <v/>
      </c>
      <c r="EH215" s="43" t="str">
        <f t="shared" si="3200"/>
        <v/>
      </c>
      <c r="EI215" s="43" t="str">
        <f t="shared" si="3201"/>
        <v/>
      </c>
      <c r="EJ215" s="43" t="str">
        <f t="shared" si="3202"/>
        <v/>
      </c>
      <c r="EK215" s="43" t="str">
        <f t="shared" si="3203"/>
        <v/>
      </c>
      <c r="EL215" s="43" t="str">
        <f t="shared" si="3204"/>
        <v/>
      </c>
      <c r="EM215" s="43" t="str">
        <f t="shared" si="3205"/>
        <v/>
      </c>
      <c r="EN215" s="43" t="str">
        <f t="shared" si="3206"/>
        <v/>
      </c>
      <c r="EO215" s="43" t="str">
        <f t="shared" si="3207"/>
        <v/>
      </c>
      <c r="EP215" s="43" t="str">
        <f t="shared" si="3208"/>
        <v/>
      </c>
      <c r="EQ215" s="43" t="str">
        <f t="shared" si="3209"/>
        <v/>
      </c>
      <c r="ER215" s="43" t="str">
        <f t="shared" si="3210"/>
        <v/>
      </c>
      <c r="ES215" s="43" t="str">
        <f t="shared" si="3211"/>
        <v/>
      </c>
      <c r="ET215" s="43" t="str">
        <f t="shared" si="3212"/>
        <v/>
      </c>
      <c r="EU215" s="43" t="str">
        <f t="shared" si="3213"/>
        <v/>
      </c>
      <c r="EV215" s="43" t="str">
        <f t="shared" si="3214"/>
        <v/>
      </c>
      <c r="EW215" s="43" t="str">
        <f t="shared" si="3215"/>
        <v/>
      </c>
      <c r="EX215" s="43" t="str">
        <f t="shared" si="3216"/>
        <v/>
      </c>
      <c r="EY215" s="43" t="str">
        <f t="shared" si="3217"/>
        <v/>
      </c>
      <c r="EZ215" s="43" t="str">
        <f t="shared" si="3218"/>
        <v/>
      </c>
      <c r="FA215" s="43" t="str">
        <f t="shared" si="3219"/>
        <v/>
      </c>
      <c r="FB215" s="43" t="str">
        <f t="shared" si="3220"/>
        <v/>
      </c>
      <c r="FC215" s="43" t="str">
        <f t="shared" si="3221"/>
        <v/>
      </c>
      <c r="FD215" s="43" t="str">
        <f t="shared" si="3222"/>
        <v/>
      </c>
      <c r="FE215" s="43" t="str">
        <f t="shared" si="3223"/>
        <v/>
      </c>
      <c r="FF215" s="43" t="str">
        <f t="shared" si="3224"/>
        <v/>
      </c>
      <c r="FG215" s="43" t="str">
        <f t="shared" si="3225"/>
        <v/>
      </c>
      <c r="FH215" s="43" t="str">
        <f t="shared" si="3226"/>
        <v/>
      </c>
      <c r="FI215" s="43" t="str">
        <f t="shared" si="3227"/>
        <v/>
      </c>
      <c r="FJ215" s="43" t="str">
        <f t="shared" si="3228"/>
        <v/>
      </c>
      <c r="FK215" s="43" t="str">
        <f t="shared" si="3229"/>
        <v/>
      </c>
      <c r="FL215" s="43" t="str">
        <f t="shared" si="3230"/>
        <v/>
      </c>
      <c r="FM215" s="43" t="str">
        <f t="shared" si="3231"/>
        <v/>
      </c>
      <c r="FN215" s="43" t="str">
        <f t="shared" si="3232"/>
        <v/>
      </c>
      <c r="FO215" s="43" t="str">
        <f t="shared" si="3233"/>
        <v/>
      </c>
      <c r="FP215" s="43" t="str">
        <f t="shared" si="3234"/>
        <v/>
      </c>
      <c r="FQ215" s="43" t="str">
        <f t="shared" si="3235"/>
        <v/>
      </c>
      <c r="FR215" s="43" t="str">
        <f t="shared" si="3236"/>
        <v/>
      </c>
      <c r="FS215" s="43" t="str">
        <f t="shared" si="3237"/>
        <v/>
      </c>
    </row>
    <row r="216" ht="15" spans="1:175">
      <c r="A216" s="98"/>
      <c r="B216" s="7" t="s">
        <v>661</v>
      </c>
      <c r="C216" s="5" t="s">
        <v>140</v>
      </c>
      <c r="T216" s="107"/>
      <c r="U216" s="59"/>
      <c r="CN216" s="12" t="str">
        <f t="shared" si="3162"/>
        <v>InitUnitState('IF17',,,,,,,,,,)</v>
      </c>
      <c r="CO216" s="12" t="str">
        <f t="shared" si="3163"/>
        <v>InitUnitNormal('IF17',,,,,,,,,,)</v>
      </c>
      <c r="CP216" s="12" t="str">
        <f t="shared" si="3164"/>
        <v>InitUnitMagic('IF17',,,,,,,,,,)</v>
      </c>
      <c r="CQ216" s="12" t="str">
        <f t="shared" si="3165"/>
        <v>InitUnitAdd('IF17',,,,,,,,,,)</v>
      </c>
      <c r="CR216" s="12" t="str">
        <f t="shared" si="3166"/>
        <v>InitEquipData('IF17',,"",,,,,'','','','','','',"")</v>
      </c>
      <c r="CU216" s="71" t="str">
        <f t="shared" si="3167"/>
        <v>|n</v>
      </c>
      <c r="CW216" s="6"/>
      <c r="CX216" s="6"/>
      <c r="CY216" s="6"/>
      <c r="CZ216" s="6"/>
      <c r="DA216" s="6"/>
      <c r="DB216" s="43" t="str">
        <f t="shared" si="3168"/>
        <v/>
      </c>
      <c r="DC216" s="43" t="str">
        <f t="shared" si="3169"/>
        <v/>
      </c>
      <c r="DD216" s="43" t="str">
        <f t="shared" si="3170"/>
        <v/>
      </c>
      <c r="DE216" s="43" t="str">
        <f t="shared" si="3171"/>
        <v/>
      </c>
      <c r="DF216" s="43" t="str">
        <f t="shared" si="3172"/>
        <v/>
      </c>
      <c r="DG216" s="43" t="str">
        <f t="shared" si="3173"/>
        <v/>
      </c>
      <c r="DH216" s="43" t="str">
        <f t="shared" si="3174"/>
        <v/>
      </c>
      <c r="DI216" s="43" t="str">
        <f t="shared" si="3175"/>
        <v/>
      </c>
      <c r="DJ216" s="43" t="str">
        <f t="shared" si="3176"/>
        <v/>
      </c>
      <c r="DK216" s="43" t="str">
        <f t="shared" si="3177"/>
        <v/>
      </c>
      <c r="DL216" s="43" t="str">
        <f t="shared" si="3178"/>
        <v/>
      </c>
      <c r="DM216" s="43" t="str">
        <f t="shared" si="3179"/>
        <v/>
      </c>
      <c r="DN216" s="43" t="str">
        <f t="shared" si="3180"/>
        <v/>
      </c>
      <c r="DO216" s="43" t="str">
        <f t="shared" si="3181"/>
        <v/>
      </c>
      <c r="DP216" s="43" t="str">
        <f t="shared" si="3182"/>
        <v/>
      </c>
      <c r="DQ216" s="43" t="str">
        <f t="shared" si="3183"/>
        <v/>
      </c>
      <c r="DR216" s="43" t="str">
        <f t="shared" si="3184"/>
        <v/>
      </c>
      <c r="DS216" s="43" t="str">
        <f t="shared" si="3185"/>
        <v/>
      </c>
      <c r="DT216" s="43" t="str">
        <f t="shared" si="3186"/>
        <v/>
      </c>
      <c r="DU216" s="43" t="str">
        <f t="shared" si="3187"/>
        <v/>
      </c>
      <c r="DV216" s="43" t="str">
        <f t="shared" si="3188"/>
        <v/>
      </c>
      <c r="DW216" s="43" t="str">
        <f t="shared" si="3189"/>
        <v/>
      </c>
      <c r="DX216" s="43" t="str">
        <f t="shared" si="3190"/>
        <v/>
      </c>
      <c r="DY216" s="43" t="str">
        <f t="shared" si="3191"/>
        <v/>
      </c>
      <c r="DZ216" s="43" t="str">
        <f t="shared" si="3192"/>
        <v/>
      </c>
      <c r="EA216" s="43" t="str">
        <f t="shared" si="3193"/>
        <v/>
      </c>
      <c r="EB216" s="43" t="str">
        <f t="shared" si="3194"/>
        <v/>
      </c>
      <c r="EC216" s="43" t="str">
        <f t="shared" si="3195"/>
        <v/>
      </c>
      <c r="ED216" s="43" t="str">
        <f t="shared" si="3196"/>
        <v/>
      </c>
      <c r="EE216" s="43" t="str">
        <f t="shared" si="3197"/>
        <v/>
      </c>
      <c r="EF216" s="43" t="str">
        <f t="shared" si="3198"/>
        <v/>
      </c>
      <c r="EG216" s="43" t="str">
        <f t="shared" si="3199"/>
        <v/>
      </c>
      <c r="EH216" s="43" t="str">
        <f t="shared" si="3200"/>
        <v/>
      </c>
      <c r="EI216" s="43" t="str">
        <f t="shared" si="3201"/>
        <v/>
      </c>
      <c r="EJ216" s="43" t="str">
        <f t="shared" si="3202"/>
        <v/>
      </c>
      <c r="EK216" s="43" t="str">
        <f t="shared" si="3203"/>
        <v/>
      </c>
      <c r="EL216" s="43" t="str">
        <f t="shared" si="3204"/>
        <v/>
      </c>
      <c r="EM216" s="43" t="str">
        <f t="shared" si="3205"/>
        <v/>
      </c>
      <c r="EN216" s="43" t="str">
        <f t="shared" si="3206"/>
        <v/>
      </c>
      <c r="EO216" s="43" t="str">
        <f t="shared" si="3207"/>
        <v/>
      </c>
      <c r="EP216" s="43" t="str">
        <f t="shared" si="3208"/>
        <v/>
      </c>
      <c r="EQ216" s="43" t="str">
        <f t="shared" si="3209"/>
        <v/>
      </c>
      <c r="ER216" s="43" t="str">
        <f t="shared" si="3210"/>
        <v/>
      </c>
      <c r="ES216" s="43" t="str">
        <f t="shared" si="3211"/>
        <v/>
      </c>
      <c r="ET216" s="43" t="str">
        <f t="shared" si="3212"/>
        <v/>
      </c>
      <c r="EU216" s="43" t="str">
        <f t="shared" si="3213"/>
        <v/>
      </c>
      <c r="EV216" s="43" t="str">
        <f t="shared" si="3214"/>
        <v/>
      </c>
      <c r="EW216" s="43" t="str">
        <f t="shared" si="3215"/>
        <v/>
      </c>
      <c r="EX216" s="43" t="str">
        <f t="shared" si="3216"/>
        <v/>
      </c>
      <c r="EY216" s="43" t="str">
        <f t="shared" si="3217"/>
        <v/>
      </c>
      <c r="EZ216" s="43" t="str">
        <f t="shared" si="3218"/>
        <v/>
      </c>
      <c r="FA216" s="43" t="str">
        <f t="shared" si="3219"/>
        <v/>
      </c>
      <c r="FB216" s="43" t="str">
        <f t="shared" si="3220"/>
        <v/>
      </c>
      <c r="FC216" s="43" t="str">
        <f t="shared" si="3221"/>
        <v/>
      </c>
      <c r="FD216" s="43" t="str">
        <f t="shared" si="3222"/>
        <v/>
      </c>
      <c r="FE216" s="43" t="str">
        <f t="shared" si="3223"/>
        <v/>
      </c>
      <c r="FF216" s="43" t="str">
        <f t="shared" si="3224"/>
        <v/>
      </c>
      <c r="FG216" s="43" t="str">
        <f t="shared" si="3225"/>
        <v/>
      </c>
      <c r="FH216" s="43" t="str">
        <f t="shared" si="3226"/>
        <v/>
      </c>
      <c r="FI216" s="43" t="str">
        <f t="shared" si="3227"/>
        <v/>
      </c>
      <c r="FJ216" s="43" t="str">
        <f t="shared" si="3228"/>
        <v/>
      </c>
      <c r="FK216" s="43" t="str">
        <f t="shared" si="3229"/>
        <v/>
      </c>
      <c r="FL216" s="43" t="str">
        <f t="shared" si="3230"/>
        <v/>
      </c>
      <c r="FM216" s="43" t="str">
        <f t="shared" si="3231"/>
        <v/>
      </c>
      <c r="FN216" s="43" t="str">
        <f t="shared" si="3232"/>
        <v/>
      </c>
      <c r="FO216" s="43" t="str">
        <f t="shared" si="3233"/>
        <v/>
      </c>
      <c r="FP216" s="43" t="str">
        <f t="shared" si="3234"/>
        <v/>
      </c>
      <c r="FQ216" s="43" t="str">
        <f t="shared" si="3235"/>
        <v/>
      </c>
      <c r="FR216" s="43" t="str">
        <f t="shared" si="3236"/>
        <v/>
      </c>
      <c r="FS216" s="43" t="str">
        <f t="shared" si="3237"/>
        <v/>
      </c>
    </row>
    <row r="217" ht="15" spans="1:175">
      <c r="A217" s="98"/>
      <c r="B217" s="7" t="s">
        <v>662</v>
      </c>
      <c r="C217" s="5" t="s">
        <v>663</v>
      </c>
      <c r="T217" s="108"/>
      <c r="U217" s="59"/>
      <c r="CN217" s="12" t="str">
        <f t="shared" si="3162"/>
        <v>InitUnitState('IF18',,,,,,,,,,)</v>
      </c>
      <c r="CO217" s="12" t="str">
        <f t="shared" si="3163"/>
        <v>InitUnitNormal('IF18',,,,,,,,,,)</v>
      </c>
      <c r="CP217" s="12" t="str">
        <f t="shared" si="3164"/>
        <v>InitUnitMagic('IF18',,,,,,,,,,)</v>
      </c>
      <c r="CQ217" s="12" t="str">
        <f t="shared" si="3165"/>
        <v>InitUnitAdd('IF18',,,,,,,,,,)</v>
      </c>
      <c r="CR217" s="12" t="str">
        <f t="shared" si="3166"/>
        <v>InitEquipData('IF18',,"",,,,,'','','','','','',"")</v>
      </c>
      <c r="CU217" s="71" t="str">
        <f t="shared" si="3167"/>
        <v>|n</v>
      </c>
      <c r="CW217" s="6"/>
      <c r="CX217" s="6"/>
      <c r="CY217" s="6"/>
      <c r="CZ217" s="6"/>
      <c r="DA217" s="6"/>
      <c r="DB217" s="43" t="str">
        <f t="shared" si="3168"/>
        <v/>
      </c>
      <c r="DC217" s="43" t="str">
        <f t="shared" si="3169"/>
        <v/>
      </c>
      <c r="DD217" s="43" t="str">
        <f t="shared" si="3170"/>
        <v/>
      </c>
      <c r="DE217" s="43" t="str">
        <f t="shared" si="3171"/>
        <v/>
      </c>
      <c r="DF217" s="43" t="str">
        <f t="shared" si="3172"/>
        <v/>
      </c>
      <c r="DG217" s="43" t="str">
        <f t="shared" si="3173"/>
        <v/>
      </c>
      <c r="DH217" s="43" t="str">
        <f t="shared" si="3174"/>
        <v/>
      </c>
      <c r="DI217" s="43" t="str">
        <f t="shared" si="3175"/>
        <v/>
      </c>
      <c r="DJ217" s="43" t="str">
        <f t="shared" si="3176"/>
        <v/>
      </c>
      <c r="DK217" s="43" t="str">
        <f t="shared" si="3177"/>
        <v/>
      </c>
      <c r="DL217" s="43" t="str">
        <f t="shared" si="3178"/>
        <v/>
      </c>
      <c r="DM217" s="43" t="str">
        <f t="shared" si="3179"/>
        <v/>
      </c>
      <c r="DN217" s="43" t="str">
        <f t="shared" si="3180"/>
        <v/>
      </c>
      <c r="DO217" s="43" t="str">
        <f t="shared" si="3181"/>
        <v/>
      </c>
      <c r="DP217" s="43" t="str">
        <f t="shared" si="3182"/>
        <v/>
      </c>
      <c r="DQ217" s="43" t="str">
        <f t="shared" si="3183"/>
        <v/>
      </c>
      <c r="DR217" s="43" t="str">
        <f t="shared" si="3184"/>
        <v/>
      </c>
      <c r="DS217" s="43" t="str">
        <f t="shared" si="3185"/>
        <v/>
      </c>
      <c r="DT217" s="43" t="str">
        <f t="shared" si="3186"/>
        <v/>
      </c>
      <c r="DU217" s="43" t="str">
        <f t="shared" si="3187"/>
        <v/>
      </c>
      <c r="DV217" s="43" t="str">
        <f t="shared" si="3188"/>
        <v/>
      </c>
      <c r="DW217" s="43" t="str">
        <f t="shared" si="3189"/>
        <v/>
      </c>
      <c r="DX217" s="43" t="str">
        <f t="shared" si="3190"/>
        <v/>
      </c>
      <c r="DY217" s="43" t="str">
        <f t="shared" si="3191"/>
        <v/>
      </c>
      <c r="DZ217" s="43" t="str">
        <f t="shared" si="3192"/>
        <v/>
      </c>
      <c r="EA217" s="43" t="str">
        <f t="shared" si="3193"/>
        <v/>
      </c>
      <c r="EB217" s="43" t="str">
        <f t="shared" si="3194"/>
        <v/>
      </c>
      <c r="EC217" s="43" t="str">
        <f t="shared" si="3195"/>
        <v/>
      </c>
      <c r="ED217" s="43" t="str">
        <f t="shared" si="3196"/>
        <v/>
      </c>
      <c r="EE217" s="43" t="str">
        <f t="shared" si="3197"/>
        <v/>
      </c>
      <c r="EF217" s="43" t="str">
        <f t="shared" si="3198"/>
        <v/>
      </c>
      <c r="EG217" s="43" t="str">
        <f t="shared" si="3199"/>
        <v/>
      </c>
      <c r="EH217" s="43" t="str">
        <f t="shared" si="3200"/>
        <v/>
      </c>
      <c r="EI217" s="43" t="str">
        <f t="shared" si="3201"/>
        <v/>
      </c>
      <c r="EJ217" s="43" t="str">
        <f t="shared" si="3202"/>
        <v/>
      </c>
      <c r="EK217" s="43" t="str">
        <f t="shared" si="3203"/>
        <v/>
      </c>
      <c r="EL217" s="43" t="str">
        <f t="shared" si="3204"/>
        <v/>
      </c>
      <c r="EM217" s="43" t="str">
        <f t="shared" si="3205"/>
        <v/>
      </c>
      <c r="EN217" s="43" t="str">
        <f t="shared" si="3206"/>
        <v/>
      </c>
      <c r="EO217" s="43" t="str">
        <f t="shared" si="3207"/>
        <v/>
      </c>
      <c r="EP217" s="43" t="str">
        <f t="shared" si="3208"/>
        <v/>
      </c>
      <c r="EQ217" s="43" t="str">
        <f t="shared" si="3209"/>
        <v/>
      </c>
      <c r="ER217" s="43" t="str">
        <f t="shared" si="3210"/>
        <v/>
      </c>
      <c r="ES217" s="43" t="str">
        <f t="shared" si="3211"/>
        <v/>
      </c>
      <c r="ET217" s="43" t="str">
        <f t="shared" si="3212"/>
        <v/>
      </c>
      <c r="EU217" s="43" t="str">
        <f t="shared" si="3213"/>
        <v/>
      </c>
      <c r="EV217" s="43" t="str">
        <f t="shared" si="3214"/>
        <v/>
      </c>
      <c r="EW217" s="43" t="str">
        <f t="shared" si="3215"/>
        <v/>
      </c>
      <c r="EX217" s="43" t="str">
        <f t="shared" si="3216"/>
        <v/>
      </c>
      <c r="EY217" s="43" t="str">
        <f t="shared" si="3217"/>
        <v/>
      </c>
      <c r="EZ217" s="43" t="str">
        <f t="shared" si="3218"/>
        <v/>
      </c>
      <c r="FA217" s="43" t="str">
        <f t="shared" si="3219"/>
        <v/>
      </c>
      <c r="FB217" s="43" t="str">
        <f t="shared" si="3220"/>
        <v/>
      </c>
      <c r="FC217" s="43" t="str">
        <f t="shared" si="3221"/>
        <v/>
      </c>
      <c r="FD217" s="43" t="str">
        <f t="shared" si="3222"/>
        <v/>
      </c>
      <c r="FE217" s="43" t="str">
        <f t="shared" si="3223"/>
        <v/>
      </c>
      <c r="FF217" s="43" t="str">
        <f t="shared" si="3224"/>
        <v/>
      </c>
      <c r="FG217" s="43" t="str">
        <f t="shared" si="3225"/>
        <v/>
      </c>
      <c r="FH217" s="43" t="str">
        <f t="shared" si="3226"/>
        <v/>
      </c>
      <c r="FI217" s="43" t="str">
        <f t="shared" si="3227"/>
        <v/>
      </c>
      <c r="FJ217" s="43" t="str">
        <f t="shared" si="3228"/>
        <v/>
      </c>
      <c r="FK217" s="43" t="str">
        <f t="shared" si="3229"/>
        <v/>
      </c>
      <c r="FL217" s="43" t="str">
        <f t="shared" si="3230"/>
        <v/>
      </c>
      <c r="FM217" s="43" t="str">
        <f t="shared" si="3231"/>
        <v/>
      </c>
      <c r="FN217" s="43" t="str">
        <f t="shared" si="3232"/>
        <v/>
      </c>
      <c r="FO217" s="43" t="str">
        <f t="shared" si="3233"/>
        <v/>
      </c>
      <c r="FP217" s="43" t="str">
        <f t="shared" si="3234"/>
        <v/>
      </c>
      <c r="FQ217" s="43" t="str">
        <f t="shared" si="3235"/>
        <v/>
      </c>
      <c r="FR217" s="43" t="str">
        <f t="shared" si="3236"/>
        <v/>
      </c>
      <c r="FS217" s="43" t="str">
        <f t="shared" si="3237"/>
        <v/>
      </c>
    </row>
    <row r="218" ht="15" spans="1:175">
      <c r="A218" s="98"/>
      <c r="B218" s="7" t="s">
        <v>664</v>
      </c>
      <c r="C218" s="5" t="s">
        <v>663</v>
      </c>
      <c r="T218" s="108"/>
      <c r="U218" s="59"/>
      <c r="CN218" s="12" t="str">
        <f t="shared" si="3162"/>
        <v>InitUnitState('IF19',,,,,,,,,,)</v>
      </c>
      <c r="CO218" s="12" t="str">
        <f t="shared" si="3163"/>
        <v>InitUnitNormal('IF19',,,,,,,,,,)</v>
      </c>
      <c r="CP218" s="12" t="str">
        <f t="shared" si="3164"/>
        <v>InitUnitMagic('IF19',,,,,,,,,,)</v>
      </c>
      <c r="CQ218" s="12" t="str">
        <f t="shared" si="3165"/>
        <v>InitUnitAdd('IF19',,,,,,,,,,)</v>
      </c>
      <c r="CR218" s="12" t="str">
        <f t="shared" si="3166"/>
        <v>InitEquipData('IF19',,"",,,,,'','','','','','',"")</v>
      </c>
      <c r="CU218" s="71" t="str">
        <f t="shared" si="3167"/>
        <v>|n</v>
      </c>
      <c r="CW218" s="6"/>
      <c r="CX218" s="6"/>
      <c r="CY218" s="6"/>
      <c r="CZ218" s="6"/>
      <c r="DA218" s="6"/>
      <c r="DB218" s="43" t="str">
        <f t="shared" si="3168"/>
        <v/>
      </c>
      <c r="DC218" s="43" t="str">
        <f t="shared" si="3169"/>
        <v/>
      </c>
      <c r="DD218" s="43" t="str">
        <f t="shared" si="3170"/>
        <v/>
      </c>
      <c r="DE218" s="43" t="str">
        <f t="shared" si="3171"/>
        <v/>
      </c>
      <c r="DF218" s="43" t="str">
        <f t="shared" si="3172"/>
        <v/>
      </c>
      <c r="DG218" s="43" t="str">
        <f t="shared" si="3173"/>
        <v/>
      </c>
      <c r="DH218" s="43" t="str">
        <f t="shared" si="3174"/>
        <v/>
      </c>
      <c r="DI218" s="43" t="str">
        <f t="shared" si="3175"/>
        <v/>
      </c>
      <c r="DJ218" s="43" t="str">
        <f t="shared" si="3176"/>
        <v/>
      </c>
      <c r="DK218" s="43" t="str">
        <f t="shared" si="3177"/>
        <v/>
      </c>
      <c r="DL218" s="43" t="str">
        <f t="shared" si="3178"/>
        <v/>
      </c>
      <c r="DM218" s="43" t="str">
        <f t="shared" si="3179"/>
        <v/>
      </c>
      <c r="DN218" s="43" t="str">
        <f t="shared" si="3180"/>
        <v/>
      </c>
      <c r="DO218" s="43" t="str">
        <f t="shared" si="3181"/>
        <v/>
      </c>
      <c r="DP218" s="43" t="str">
        <f t="shared" si="3182"/>
        <v/>
      </c>
      <c r="DQ218" s="43" t="str">
        <f t="shared" si="3183"/>
        <v/>
      </c>
      <c r="DR218" s="43" t="str">
        <f t="shared" si="3184"/>
        <v/>
      </c>
      <c r="DS218" s="43" t="str">
        <f t="shared" si="3185"/>
        <v/>
      </c>
      <c r="DT218" s="43" t="str">
        <f t="shared" si="3186"/>
        <v/>
      </c>
      <c r="DU218" s="43" t="str">
        <f t="shared" si="3187"/>
        <v/>
      </c>
      <c r="DV218" s="43" t="str">
        <f t="shared" si="3188"/>
        <v/>
      </c>
      <c r="DW218" s="43" t="str">
        <f t="shared" si="3189"/>
        <v/>
      </c>
      <c r="DX218" s="43" t="str">
        <f t="shared" si="3190"/>
        <v/>
      </c>
      <c r="DY218" s="43" t="str">
        <f t="shared" si="3191"/>
        <v/>
      </c>
      <c r="DZ218" s="43" t="str">
        <f t="shared" si="3192"/>
        <v/>
      </c>
      <c r="EA218" s="43" t="str">
        <f t="shared" si="3193"/>
        <v/>
      </c>
      <c r="EB218" s="43" t="str">
        <f t="shared" si="3194"/>
        <v/>
      </c>
      <c r="EC218" s="43" t="str">
        <f t="shared" si="3195"/>
        <v/>
      </c>
      <c r="ED218" s="43" t="str">
        <f t="shared" si="3196"/>
        <v/>
      </c>
      <c r="EE218" s="43" t="str">
        <f t="shared" si="3197"/>
        <v/>
      </c>
      <c r="EF218" s="43" t="str">
        <f t="shared" si="3198"/>
        <v/>
      </c>
      <c r="EG218" s="43" t="str">
        <f t="shared" si="3199"/>
        <v/>
      </c>
      <c r="EH218" s="43" t="str">
        <f t="shared" si="3200"/>
        <v/>
      </c>
      <c r="EI218" s="43" t="str">
        <f t="shared" si="3201"/>
        <v/>
      </c>
      <c r="EJ218" s="43" t="str">
        <f t="shared" si="3202"/>
        <v/>
      </c>
      <c r="EK218" s="43" t="str">
        <f t="shared" si="3203"/>
        <v/>
      </c>
      <c r="EL218" s="43" t="str">
        <f t="shared" si="3204"/>
        <v/>
      </c>
      <c r="EM218" s="43" t="str">
        <f t="shared" si="3205"/>
        <v/>
      </c>
      <c r="EN218" s="43" t="str">
        <f t="shared" si="3206"/>
        <v/>
      </c>
      <c r="EO218" s="43" t="str">
        <f t="shared" si="3207"/>
        <v/>
      </c>
      <c r="EP218" s="43" t="str">
        <f t="shared" si="3208"/>
        <v/>
      </c>
      <c r="EQ218" s="43" t="str">
        <f t="shared" si="3209"/>
        <v/>
      </c>
      <c r="ER218" s="43" t="str">
        <f t="shared" si="3210"/>
        <v/>
      </c>
      <c r="ES218" s="43" t="str">
        <f t="shared" si="3211"/>
        <v/>
      </c>
      <c r="ET218" s="43" t="str">
        <f t="shared" si="3212"/>
        <v/>
      </c>
      <c r="EU218" s="43" t="str">
        <f t="shared" si="3213"/>
        <v/>
      </c>
      <c r="EV218" s="43" t="str">
        <f t="shared" si="3214"/>
        <v/>
      </c>
      <c r="EW218" s="43" t="str">
        <f t="shared" si="3215"/>
        <v/>
      </c>
      <c r="EX218" s="43" t="str">
        <f t="shared" si="3216"/>
        <v/>
      </c>
      <c r="EY218" s="43" t="str">
        <f t="shared" si="3217"/>
        <v/>
      </c>
      <c r="EZ218" s="43" t="str">
        <f t="shared" si="3218"/>
        <v/>
      </c>
      <c r="FA218" s="43" t="str">
        <f t="shared" si="3219"/>
        <v/>
      </c>
      <c r="FB218" s="43" t="str">
        <f t="shared" si="3220"/>
        <v/>
      </c>
      <c r="FC218" s="43" t="str">
        <f t="shared" si="3221"/>
        <v/>
      </c>
      <c r="FD218" s="43" t="str">
        <f t="shared" si="3222"/>
        <v/>
      </c>
      <c r="FE218" s="43" t="str">
        <f t="shared" si="3223"/>
        <v/>
      </c>
      <c r="FF218" s="43" t="str">
        <f t="shared" si="3224"/>
        <v/>
      </c>
      <c r="FG218" s="43" t="str">
        <f t="shared" si="3225"/>
        <v/>
      </c>
      <c r="FH218" s="43" t="str">
        <f t="shared" si="3226"/>
        <v/>
      </c>
      <c r="FI218" s="43" t="str">
        <f t="shared" si="3227"/>
        <v/>
      </c>
      <c r="FJ218" s="43" t="str">
        <f t="shared" si="3228"/>
        <v/>
      </c>
      <c r="FK218" s="43" t="str">
        <f t="shared" si="3229"/>
        <v/>
      </c>
      <c r="FL218" s="43" t="str">
        <f t="shared" si="3230"/>
        <v/>
      </c>
      <c r="FM218" s="43" t="str">
        <f t="shared" si="3231"/>
        <v/>
      </c>
      <c r="FN218" s="43" t="str">
        <f t="shared" si="3232"/>
        <v/>
      </c>
      <c r="FO218" s="43" t="str">
        <f t="shared" si="3233"/>
        <v/>
      </c>
      <c r="FP218" s="43" t="str">
        <f t="shared" si="3234"/>
        <v/>
      </c>
      <c r="FQ218" s="43" t="str">
        <f t="shared" si="3235"/>
        <v/>
      </c>
      <c r="FR218" s="43" t="str">
        <f t="shared" si="3236"/>
        <v/>
      </c>
      <c r="FS218" s="43" t="str">
        <f t="shared" si="3237"/>
        <v/>
      </c>
    </row>
    <row r="219" ht="15" spans="1:175">
      <c r="A219" s="98"/>
      <c r="B219" s="7" t="s">
        <v>665</v>
      </c>
      <c r="C219" s="5" t="s">
        <v>127</v>
      </c>
      <c r="T219" s="108"/>
      <c r="U219" s="59"/>
      <c r="CN219" s="12" t="str">
        <f t="shared" si="3162"/>
        <v>InitUnitState('IF20',,,,,,,,,,)</v>
      </c>
      <c r="CO219" s="12" t="str">
        <f t="shared" si="3163"/>
        <v>InitUnitNormal('IF20',,,,,,,,,,)</v>
      </c>
      <c r="CP219" s="12" t="str">
        <f t="shared" si="3164"/>
        <v>InitUnitMagic('IF20',,,,,,,,,,)</v>
      </c>
      <c r="CQ219" s="12" t="str">
        <f t="shared" si="3165"/>
        <v>InitUnitAdd('IF20',,,,,,,,,,)</v>
      </c>
      <c r="CR219" s="12" t="str">
        <f t="shared" si="3166"/>
        <v>InitEquipData('IF20',,"",,,,,'','','','','','',"")</v>
      </c>
      <c r="CU219" s="71" t="str">
        <f t="shared" si="3167"/>
        <v>|n</v>
      </c>
      <c r="CW219" s="6"/>
      <c r="CX219" s="6"/>
      <c r="CY219" s="6"/>
      <c r="CZ219" s="6"/>
      <c r="DA219" s="6"/>
      <c r="DB219" s="43" t="str">
        <f t="shared" si="3168"/>
        <v/>
      </c>
      <c r="DC219" s="43" t="str">
        <f t="shared" si="3169"/>
        <v/>
      </c>
      <c r="DD219" s="43" t="str">
        <f t="shared" si="3170"/>
        <v/>
      </c>
      <c r="DE219" s="43" t="str">
        <f t="shared" si="3171"/>
        <v/>
      </c>
      <c r="DF219" s="43" t="str">
        <f t="shared" si="3172"/>
        <v/>
      </c>
      <c r="DG219" s="43" t="str">
        <f t="shared" si="3173"/>
        <v/>
      </c>
      <c r="DH219" s="43" t="str">
        <f t="shared" si="3174"/>
        <v/>
      </c>
      <c r="DI219" s="43" t="str">
        <f t="shared" si="3175"/>
        <v/>
      </c>
      <c r="DJ219" s="43" t="str">
        <f t="shared" si="3176"/>
        <v/>
      </c>
      <c r="DK219" s="43" t="str">
        <f t="shared" si="3177"/>
        <v/>
      </c>
      <c r="DL219" s="43" t="str">
        <f t="shared" si="3178"/>
        <v/>
      </c>
      <c r="DM219" s="43" t="str">
        <f t="shared" si="3179"/>
        <v/>
      </c>
      <c r="DN219" s="43" t="str">
        <f t="shared" si="3180"/>
        <v/>
      </c>
      <c r="DO219" s="43" t="str">
        <f t="shared" si="3181"/>
        <v/>
      </c>
      <c r="DP219" s="43" t="str">
        <f t="shared" si="3182"/>
        <v/>
      </c>
      <c r="DQ219" s="43" t="str">
        <f t="shared" si="3183"/>
        <v/>
      </c>
      <c r="DR219" s="43" t="str">
        <f t="shared" si="3184"/>
        <v/>
      </c>
      <c r="DS219" s="43" t="str">
        <f t="shared" si="3185"/>
        <v/>
      </c>
      <c r="DT219" s="43" t="str">
        <f t="shared" si="3186"/>
        <v/>
      </c>
      <c r="DU219" s="43" t="str">
        <f t="shared" si="3187"/>
        <v/>
      </c>
      <c r="DV219" s="43" t="str">
        <f t="shared" si="3188"/>
        <v/>
      </c>
      <c r="DW219" s="43" t="str">
        <f t="shared" si="3189"/>
        <v/>
      </c>
      <c r="DX219" s="43" t="str">
        <f t="shared" si="3190"/>
        <v/>
      </c>
      <c r="DY219" s="43" t="str">
        <f t="shared" si="3191"/>
        <v/>
      </c>
      <c r="DZ219" s="43" t="str">
        <f t="shared" si="3192"/>
        <v/>
      </c>
      <c r="EA219" s="43" t="str">
        <f t="shared" si="3193"/>
        <v/>
      </c>
      <c r="EB219" s="43" t="str">
        <f t="shared" si="3194"/>
        <v/>
      </c>
      <c r="EC219" s="43" t="str">
        <f t="shared" si="3195"/>
        <v/>
      </c>
      <c r="ED219" s="43" t="str">
        <f t="shared" si="3196"/>
        <v/>
      </c>
      <c r="EE219" s="43" t="str">
        <f t="shared" si="3197"/>
        <v/>
      </c>
      <c r="EF219" s="43" t="str">
        <f t="shared" si="3198"/>
        <v/>
      </c>
      <c r="EG219" s="43" t="str">
        <f t="shared" si="3199"/>
        <v/>
      </c>
      <c r="EH219" s="43" t="str">
        <f t="shared" si="3200"/>
        <v/>
      </c>
      <c r="EI219" s="43" t="str">
        <f t="shared" si="3201"/>
        <v/>
      </c>
      <c r="EJ219" s="43" t="str">
        <f t="shared" si="3202"/>
        <v/>
      </c>
      <c r="EK219" s="43" t="str">
        <f t="shared" si="3203"/>
        <v/>
      </c>
      <c r="EL219" s="43" t="str">
        <f t="shared" si="3204"/>
        <v/>
      </c>
      <c r="EM219" s="43" t="str">
        <f t="shared" si="3205"/>
        <v/>
      </c>
      <c r="EN219" s="43" t="str">
        <f t="shared" si="3206"/>
        <v/>
      </c>
      <c r="EO219" s="43" t="str">
        <f t="shared" si="3207"/>
        <v/>
      </c>
      <c r="EP219" s="43" t="str">
        <f t="shared" si="3208"/>
        <v/>
      </c>
      <c r="EQ219" s="43" t="str">
        <f t="shared" si="3209"/>
        <v/>
      </c>
      <c r="ER219" s="43" t="str">
        <f t="shared" si="3210"/>
        <v/>
      </c>
      <c r="ES219" s="43" t="str">
        <f t="shared" si="3211"/>
        <v/>
      </c>
      <c r="ET219" s="43" t="str">
        <f t="shared" si="3212"/>
        <v/>
      </c>
      <c r="EU219" s="43" t="str">
        <f t="shared" si="3213"/>
        <v/>
      </c>
      <c r="EV219" s="43" t="str">
        <f t="shared" si="3214"/>
        <v/>
      </c>
      <c r="EW219" s="43" t="str">
        <f t="shared" si="3215"/>
        <v/>
      </c>
      <c r="EX219" s="43" t="str">
        <f t="shared" si="3216"/>
        <v/>
      </c>
      <c r="EY219" s="43" t="str">
        <f t="shared" si="3217"/>
        <v/>
      </c>
      <c r="EZ219" s="43" t="str">
        <f t="shared" si="3218"/>
        <v/>
      </c>
      <c r="FA219" s="43" t="str">
        <f t="shared" si="3219"/>
        <v/>
      </c>
      <c r="FB219" s="43" t="str">
        <f t="shared" si="3220"/>
        <v/>
      </c>
      <c r="FC219" s="43" t="str">
        <f t="shared" si="3221"/>
        <v/>
      </c>
      <c r="FD219" s="43" t="str">
        <f t="shared" si="3222"/>
        <v/>
      </c>
      <c r="FE219" s="43" t="str">
        <f t="shared" si="3223"/>
        <v/>
      </c>
      <c r="FF219" s="43" t="str">
        <f t="shared" si="3224"/>
        <v/>
      </c>
      <c r="FG219" s="43" t="str">
        <f t="shared" si="3225"/>
        <v/>
      </c>
      <c r="FH219" s="43" t="str">
        <f t="shared" si="3226"/>
        <v/>
      </c>
      <c r="FI219" s="43" t="str">
        <f t="shared" si="3227"/>
        <v/>
      </c>
      <c r="FJ219" s="43" t="str">
        <f t="shared" si="3228"/>
        <v/>
      </c>
      <c r="FK219" s="43" t="str">
        <f t="shared" si="3229"/>
        <v/>
      </c>
      <c r="FL219" s="43" t="str">
        <f t="shared" si="3230"/>
        <v/>
      </c>
      <c r="FM219" s="43" t="str">
        <f t="shared" si="3231"/>
        <v/>
      </c>
      <c r="FN219" s="43" t="str">
        <f t="shared" si="3232"/>
        <v/>
      </c>
      <c r="FO219" s="43" t="str">
        <f t="shared" si="3233"/>
        <v/>
      </c>
      <c r="FP219" s="43" t="str">
        <f t="shared" si="3234"/>
        <v/>
      </c>
      <c r="FQ219" s="43" t="str">
        <f t="shared" si="3235"/>
        <v/>
      </c>
      <c r="FR219" s="43" t="str">
        <f t="shared" si="3236"/>
        <v/>
      </c>
      <c r="FS219" s="43" t="str">
        <f t="shared" si="3237"/>
        <v/>
      </c>
    </row>
    <row r="220" spans="1:175">
      <c r="A220" s="7"/>
      <c r="B220" s="7" t="s">
        <v>666</v>
      </c>
      <c r="C220" s="5" t="s">
        <v>127</v>
      </c>
      <c r="T220" s="109"/>
      <c r="U220" s="59"/>
      <c r="CN220" s="12" t="str">
        <f t="shared" si="3162"/>
        <v>InitUnitState('IF21',,,,,,,,,,)</v>
      </c>
      <c r="CO220" s="12" t="str">
        <f t="shared" si="3163"/>
        <v>InitUnitNormal('IF21',,,,,,,,,,)</v>
      </c>
      <c r="CP220" s="12" t="str">
        <f t="shared" si="3164"/>
        <v>InitUnitMagic('IF21',,,,,,,,,,)</v>
      </c>
      <c r="CQ220" s="12" t="str">
        <f t="shared" si="3165"/>
        <v>InitUnitAdd('IF21',,,,,,,,,,)</v>
      </c>
      <c r="CR220" s="12" t="str">
        <f t="shared" si="3166"/>
        <v>InitEquipData('IF21',,"",,,,,'','','','','','',"")</v>
      </c>
      <c r="CU220" s="71" t="str">
        <f t="shared" si="3167"/>
        <v>|n</v>
      </c>
      <c r="CW220" s="6"/>
      <c r="CX220" s="6"/>
      <c r="CY220" s="6"/>
      <c r="CZ220" s="6"/>
      <c r="DA220" s="6"/>
      <c r="DB220" s="43" t="str">
        <f t="shared" si="3168"/>
        <v/>
      </c>
      <c r="DC220" s="43" t="str">
        <f t="shared" si="3169"/>
        <v/>
      </c>
      <c r="DD220" s="43" t="str">
        <f t="shared" si="3170"/>
        <v/>
      </c>
      <c r="DE220" s="43" t="str">
        <f t="shared" si="3171"/>
        <v/>
      </c>
      <c r="DF220" s="43" t="str">
        <f t="shared" si="3172"/>
        <v/>
      </c>
      <c r="DG220" s="43" t="str">
        <f t="shared" si="3173"/>
        <v/>
      </c>
      <c r="DH220" s="43" t="str">
        <f t="shared" si="3174"/>
        <v/>
      </c>
      <c r="DI220" s="43" t="str">
        <f t="shared" si="3175"/>
        <v/>
      </c>
      <c r="DJ220" s="43" t="str">
        <f t="shared" si="3176"/>
        <v/>
      </c>
      <c r="DK220" s="43" t="str">
        <f t="shared" si="3177"/>
        <v/>
      </c>
      <c r="DL220" s="43" t="str">
        <f t="shared" si="3178"/>
        <v/>
      </c>
      <c r="DM220" s="43" t="str">
        <f t="shared" si="3179"/>
        <v/>
      </c>
      <c r="DN220" s="43" t="str">
        <f t="shared" si="3180"/>
        <v/>
      </c>
      <c r="DO220" s="43" t="str">
        <f t="shared" si="3181"/>
        <v/>
      </c>
      <c r="DP220" s="43" t="str">
        <f t="shared" si="3182"/>
        <v/>
      </c>
      <c r="DQ220" s="43" t="str">
        <f t="shared" si="3183"/>
        <v/>
      </c>
      <c r="DR220" s="43" t="str">
        <f t="shared" si="3184"/>
        <v/>
      </c>
      <c r="DS220" s="43" t="str">
        <f t="shared" si="3185"/>
        <v/>
      </c>
      <c r="DT220" s="43" t="str">
        <f t="shared" si="3186"/>
        <v/>
      </c>
      <c r="DU220" s="43" t="str">
        <f t="shared" si="3187"/>
        <v/>
      </c>
      <c r="DV220" s="43" t="str">
        <f t="shared" si="3188"/>
        <v/>
      </c>
      <c r="DW220" s="43" t="str">
        <f t="shared" si="3189"/>
        <v/>
      </c>
      <c r="DX220" s="43" t="str">
        <f t="shared" si="3190"/>
        <v/>
      </c>
      <c r="DY220" s="43" t="str">
        <f t="shared" si="3191"/>
        <v/>
      </c>
      <c r="DZ220" s="43" t="str">
        <f t="shared" si="3192"/>
        <v/>
      </c>
      <c r="EA220" s="43" t="str">
        <f t="shared" si="3193"/>
        <v/>
      </c>
      <c r="EB220" s="43" t="str">
        <f t="shared" si="3194"/>
        <v/>
      </c>
      <c r="EC220" s="43" t="str">
        <f t="shared" si="3195"/>
        <v/>
      </c>
      <c r="ED220" s="43" t="str">
        <f t="shared" si="3196"/>
        <v/>
      </c>
      <c r="EE220" s="43" t="str">
        <f t="shared" si="3197"/>
        <v/>
      </c>
      <c r="EF220" s="43" t="str">
        <f t="shared" si="3198"/>
        <v/>
      </c>
      <c r="EG220" s="43" t="str">
        <f t="shared" si="3199"/>
        <v/>
      </c>
      <c r="EH220" s="43" t="str">
        <f t="shared" si="3200"/>
        <v/>
      </c>
      <c r="EI220" s="43" t="str">
        <f t="shared" si="3201"/>
        <v/>
      </c>
      <c r="EJ220" s="43" t="str">
        <f t="shared" si="3202"/>
        <v/>
      </c>
      <c r="EK220" s="43" t="str">
        <f t="shared" si="3203"/>
        <v/>
      </c>
      <c r="EL220" s="43" t="str">
        <f t="shared" si="3204"/>
        <v/>
      </c>
      <c r="EM220" s="43" t="str">
        <f t="shared" si="3205"/>
        <v/>
      </c>
      <c r="EN220" s="43" t="str">
        <f t="shared" si="3206"/>
        <v/>
      </c>
      <c r="EO220" s="43" t="str">
        <f t="shared" si="3207"/>
        <v/>
      </c>
      <c r="EP220" s="43" t="str">
        <f t="shared" si="3208"/>
        <v/>
      </c>
      <c r="EQ220" s="43" t="str">
        <f t="shared" si="3209"/>
        <v/>
      </c>
      <c r="ER220" s="43" t="str">
        <f t="shared" si="3210"/>
        <v/>
      </c>
      <c r="ES220" s="43" t="str">
        <f t="shared" si="3211"/>
        <v/>
      </c>
      <c r="ET220" s="43" t="str">
        <f t="shared" si="3212"/>
        <v/>
      </c>
      <c r="EU220" s="43" t="str">
        <f t="shared" si="3213"/>
        <v/>
      </c>
      <c r="EV220" s="43" t="str">
        <f t="shared" si="3214"/>
        <v/>
      </c>
      <c r="EW220" s="43" t="str">
        <f t="shared" si="3215"/>
        <v/>
      </c>
      <c r="EX220" s="43" t="str">
        <f t="shared" si="3216"/>
        <v/>
      </c>
      <c r="EY220" s="43" t="str">
        <f t="shared" si="3217"/>
        <v/>
      </c>
      <c r="EZ220" s="43" t="str">
        <f t="shared" si="3218"/>
        <v/>
      </c>
      <c r="FA220" s="43" t="str">
        <f t="shared" si="3219"/>
        <v/>
      </c>
      <c r="FB220" s="43" t="str">
        <f t="shared" si="3220"/>
        <v/>
      </c>
      <c r="FC220" s="43" t="str">
        <f t="shared" si="3221"/>
        <v/>
      </c>
      <c r="FD220" s="43" t="str">
        <f t="shared" si="3222"/>
        <v/>
      </c>
      <c r="FE220" s="43" t="str">
        <f t="shared" si="3223"/>
        <v/>
      </c>
      <c r="FF220" s="43" t="str">
        <f t="shared" si="3224"/>
        <v/>
      </c>
      <c r="FG220" s="43" t="str">
        <f t="shared" si="3225"/>
        <v/>
      </c>
      <c r="FH220" s="43" t="str">
        <f t="shared" si="3226"/>
        <v/>
      </c>
      <c r="FI220" s="43" t="str">
        <f t="shared" si="3227"/>
        <v/>
      </c>
      <c r="FJ220" s="43" t="str">
        <f t="shared" si="3228"/>
        <v/>
      </c>
      <c r="FK220" s="43" t="str">
        <f t="shared" si="3229"/>
        <v/>
      </c>
      <c r="FL220" s="43" t="str">
        <f t="shared" si="3230"/>
        <v/>
      </c>
      <c r="FM220" s="43" t="str">
        <f t="shared" si="3231"/>
        <v/>
      </c>
      <c r="FN220" s="43" t="str">
        <f t="shared" si="3232"/>
        <v/>
      </c>
      <c r="FO220" s="43" t="str">
        <f t="shared" si="3233"/>
        <v/>
      </c>
      <c r="FP220" s="43" t="str">
        <f t="shared" si="3234"/>
        <v/>
      </c>
      <c r="FQ220" s="43" t="str">
        <f t="shared" si="3235"/>
        <v/>
      </c>
      <c r="FR220" s="43" t="str">
        <f t="shared" si="3236"/>
        <v/>
      </c>
      <c r="FS220" s="43" t="str">
        <f t="shared" si="3237"/>
        <v/>
      </c>
    </row>
    <row r="221" spans="1:175">
      <c r="A221" s="7"/>
      <c r="B221" s="7" t="s">
        <v>667</v>
      </c>
      <c r="C221" s="5" t="s">
        <v>668</v>
      </c>
      <c r="T221" s="109"/>
      <c r="U221" s="59"/>
      <c r="CN221" s="12" t="str">
        <f t="shared" si="3162"/>
        <v>InitUnitState('IF22',,,,,,,,,,)</v>
      </c>
      <c r="CO221" s="12" t="str">
        <f t="shared" si="3163"/>
        <v>InitUnitNormal('IF22',,,,,,,,,,)</v>
      </c>
      <c r="CP221" s="12" t="str">
        <f t="shared" si="3164"/>
        <v>InitUnitMagic('IF22',,,,,,,,,,)</v>
      </c>
      <c r="CQ221" s="12" t="str">
        <f t="shared" si="3165"/>
        <v>InitUnitAdd('IF22',,,,,,,,,,)</v>
      </c>
      <c r="CR221" s="12" t="str">
        <f t="shared" si="3166"/>
        <v>InitEquipData('IF22',,"",,,,,'','','','','','',"")</v>
      </c>
      <c r="CU221" s="71" t="str">
        <f t="shared" si="3167"/>
        <v>|n</v>
      </c>
      <c r="CW221" s="6"/>
      <c r="CX221" s="6"/>
      <c r="CY221" s="6"/>
      <c r="CZ221" s="6"/>
      <c r="DA221" s="6"/>
      <c r="DB221" s="43" t="str">
        <f t="shared" si="3168"/>
        <v/>
      </c>
      <c r="DC221" s="43" t="str">
        <f t="shared" si="3169"/>
        <v/>
      </c>
      <c r="DD221" s="43" t="str">
        <f t="shared" si="3170"/>
        <v/>
      </c>
      <c r="DE221" s="43" t="str">
        <f t="shared" si="3171"/>
        <v/>
      </c>
      <c r="DF221" s="43" t="str">
        <f t="shared" si="3172"/>
        <v/>
      </c>
      <c r="DG221" s="43" t="str">
        <f t="shared" si="3173"/>
        <v/>
      </c>
      <c r="DH221" s="43" t="str">
        <f t="shared" si="3174"/>
        <v/>
      </c>
      <c r="DI221" s="43" t="str">
        <f t="shared" si="3175"/>
        <v/>
      </c>
      <c r="DJ221" s="43" t="str">
        <f t="shared" si="3176"/>
        <v/>
      </c>
      <c r="DK221" s="43" t="str">
        <f t="shared" si="3177"/>
        <v/>
      </c>
      <c r="DL221" s="43" t="str">
        <f t="shared" si="3178"/>
        <v/>
      </c>
      <c r="DM221" s="43" t="str">
        <f t="shared" si="3179"/>
        <v/>
      </c>
      <c r="DN221" s="43" t="str">
        <f t="shared" si="3180"/>
        <v/>
      </c>
      <c r="DO221" s="43" t="str">
        <f t="shared" si="3181"/>
        <v/>
      </c>
      <c r="DP221" s="43" t="str">
        <f t="shared" si="3182"/>
        <v/>
      </c>
      <c r="DQ221" s="43" t="str">
        <f t="shared" si="3183"/>
        <v/>
      </c>
      <c r="DR221" s="43" t="str">
        <f t="shared" si="3184"/>
        <v/>
      </c>
      <c r="DS221" s="43" t="str">
        <f t="shared" si="3185"/>
        <v/>
      </c>
      <c r="DT221" s="43" t="str">
        <f t="shared" si="3186"/>
        <v/>
      </c>
      <c r="DU221" s="43" t="str">
        <f t="shared" si="3187"/>
        <v/>
      </c>
      <c r="DV221" s="43" t="str">
        <f t="shared" si="3188"/>
        <v/>
      </c>
      <c r="DW221" s="43" t="str">
        <f t="shared" si="3189"/>
        <v/>
      </c>
      <c r="DX221" s="43" t="str">
        <f t="shared" si="3190"/>
        <v/>
      </c>
      <c r="DY221" s="43" t="str">
        <f t="shared" si="3191"/>
        <v/>
      </c>
      <c r="DZ221" s="43" t="str">
        <f t="shared" si="3192"/>
        <v/>
      </c>
      <c r="EA221" s="43" t="str">
        <f t="shared" si="3193"/>
        <v/>
      </c>
      <c r="EB221" s="43" t="str">
        <f t="shared" si="3194"/>
        <v/>
      </c>
      <c r="EC221" s="43" t="str">
        <f t="shared" si="3195"/>
        <v/>
      </c>
      <c r="ED221" s="43" t="str">
        <f t="shared" si="3196"/>
        <v/>
      </c>
      <c r="EE221" s="43" t="str">
        <f t="shared" si="3197"/>
        <v/>
      </c>
      <c r="EF221" s="43" t="str">
        <f t="shared" si="3198"/>
        <v/>
      </c>
      <c r="EG221" s="43" t="str">
        <f t="shared" si="3199"/>
        <v/>
      </c>
      <c r="EH221" s="43" t="str">
        <f t="shared" si="3200"/>
        <v/>
      </c>
      <c r="EI221" s="43" t="str">
        <f t="shared" si="3201"/>
        <v/>
      </c>
      <c r="EJ221" s="43" t="str">
        <f t="shared" si="3202"/>
        <v/>
      </c>
      <c r="EK221" s="43" t="str">
        <f t="shared" si="3203"/>
        <v/>
      </c>
      <c r="EL221" s="43" t="str">
        <f t="shared" si="3204"/>
        <v/>
      </c>
      <c r="EM221" s="43" t="str">
        <f t="shared" si="3205"/>
        <v/>
      </c>
      <c r="EN221" s="43" t="str">
        <f t="shared" si="3206"/>
        <v/>
      </c>
      <c r="EO221" s="43" t="str">
        <f t="shared" si="3207"/>
        <v/>
      </c>
      <c r="EP221" s="43" t="str">
        <f t="shared" si="3208"/>
        <v/>
      </c>
      <c r="EQ221" s="43" t="str">
        <f t="shared" si="3209"/>
        <v/>
      </c>
      <c r="ER221" s="43" t="str">
        <f t="shared" si="3210"/>
        <v/>
      </c>
      <c r="ES221" s="43" t="str">
        <f t="shared" si="3211"/>
        <v/>
      </c>
      <c r="ET221" s="43" t="str">
        <f t="shared" si="3212"/>
        <v/>
      </c>
      <c r="EU221" s="43" t="str">
        <f t="shared" si="3213"/>
        <v/>
      </c>
      <c r="EV221" s="43" t="str">
        <f t="shared" si="3214"/>
        <v/>
      </c>
      <c r="EW221" s="43" t="str">
        <f t="shared" si="3215"/>
        <v/>
      </c>
      <c r="EX221" s="43" t="str">
        <f t="shared" si="3216"/>
        <v/>
      </c>
      <c r="EY221" s="43" t="str">
        <f t="shared" si="3217"/>
        <v/>
      </c>
      <c r="EZ221" s="43" t="str">
        <f t="shared" si="3218"/>
        <v/>
      </c>
      <c r="FA221" s="43" t="str">
        <f t="shared" si="3219"/>
        <v/>
      </c>
      <c r="FB221" s="43" t="str">
        <f t="shared" si="3220"/>
        <v/>
      </c>
      <c r="FC221" s="43" t="str">
        <f t="shared" si="3221"/>
        <v/>
      </c>
      <c r="FD221" s="43" t="str">
        <f t="shared" si="3222"/>
        <v/>
      </c>
      <c r="FE221" s="43" t="str">
        <f t="shared" si="3223"/>
        <v/>
      </c>
      <c r="FF221" s="43" t="str">
        <f t="shared" si="3224"/>
        <v/>
      </c>
      <c r="FG221" s="43" t="str">
        <f t="shared" si="3225"/>
        <v/>
      </c>
      <c r="FH221" s="43" t="str">
        <f t="shared" si="3226"/>
        <v/>
      </c>
      <c r="FI221" s="43" t="str">
        <f t="shared" si="3227"/>
        <v/>
      </c>
      <c r="FJ221" s="43" t="str">
        <f t="shared" si="3228"/>
        <v/>
      </c>
      <c r="FK221" s="43" t="str">
        <f t="shared" si="3229"/>
        <v/>
      </c>
      <c r="FL221" s="43" t="str">
        <f t="shared" si="3230"/>
        <v/>
      </c>
      <c r="FM221" s="43" t="str">
        <f t="shared" si="3231"/>
        <v/>
      </c>
      <c r="FN221" s="43" t="str">
        <f t="shared" si="3232"/>
        <v/>
      </c>
      <c r="FO221" s="43" t="str">
        <f t="shared" si="3233"/>
        <v/>
      </c>
      <c r="FP221" s="43" t="str">
        <f t="shared" si="3234"/>
        <v/>
      </c>
      <c r="FQ221" s="43" t="str">
        <f t="shared" si="3235"/>
        <v/>
      </c>
      <c r="FR221" s="43" t="str">
        <f t="shared" si="3236"/>
        <v/>
      </c>
      <c r="FS221" s="43" t="str">
        <f t="shared" si="3237"/>
        <v/>
      </c>
    </row>
    <row r="222" spans="1:175">
      <c r="A222" s="7"/>
      <c r="B222" s="7" t="s">
        <v>669</v>
      </c>
      <c r="C222" s="5" t="s">
        <v>668</v>
      </c>
      <c r="T222" s="109"/>
      <c r="U222" s="59"/>
      <c r="CN222" s="12" t="str">
        <f t="shared" si="3162"/>
        <v>InitUnitState('IF23',,,,,,,,,,)</v>
      </c>
      <c r="CO222" s="12" t="str">
        <f t="shared" si="3163"/>
        <v>InitUnitNormal('IF23',,,,,,,,,,)</v>
      </c>
      <c r="CP222" s="12" t="str">
        <f t="shared" si="3164"/>
        <v>InitUnitMagic('IF23',,,,,,,,,,)</v>
      </c>
      <c r="CQ222" s="12" t="str">
        <f t="shared" si="3165"/>
        <v>InitUnitAdd('IF23',,,,,,,,,,)</v>
      </c>
      <c r="CR222" s="12" t="str">
        <f t="shared" si="3166"/>
        <v>InitEquipData('IF23',,"",,,,,'','','','','','',"")</v>
      </c>
      <c r="CU222" s="71" t="str">
        <f t="shared" si="3167"/>
        <v>|n</v>
      </c>
      <c r="CW222" s="6"/>
      <c r="CX222" s="6"/>
      <c r="CY222" s="6"/>
      <c r="CZ222" s="6"/>
      <c r="DA222" s="6"/>
      <c r="DB222" s="43" t="str">
        <f t="shared" si="3168"/>
        <v/>
      </c>
      <c r="DC222" s="43" t="str">
        <f t="shared" si="3169"/>
        <v/>
      </c>
      <c r="DD222" s="43" t="str">
        <f t="shared" si="3170"/>
        <v/>
      </c>
      <c r="DE222" s="43" t="str">
        <f t="shared" si="3171"/>
        <v/>
      </c>
      <c r="DF222" s="43" t="str">
        <f t="shared" si="3172"/>
        <v/>
      </c>
      <c r="DG222" s="43" t="str">
        <f t="shared" si="3173"/>
        <v/>
      </c>
      <c r="DH222" s="43" t="str">
        <f t="shared" si="3174"/>
        <v/>
      </c>
      <c r="DI222" s="43" t="str">
        <f t="shared" si="3175"/>
        <v/>
      </c>
      <c r="DJ222" s="43" t="str">
        <f t="shared" si="3176"/>
        <v/>
      </c>
      <c r="DK222" s="43" t="str">
        <f t="shared" si="3177"/>
        <v/>
      </c>
      <c r="DL222" s="43" t="str">
        <f t="shared" si="3178"/>
        <v/>
      </c>
      <c r="DM222" s="43" t="str">
        <f t="shared" si="3179"/>
        <v/>
      </c>
      <c r="DN222" s="43" t="str">
        <f t="shared" si="3180"/>
        <v/>
      </c>
      <c r="DO222" s="43" t="str">
        <f t="shared" si="3181"/>
        <v/>
      </c>
      <c r="DP222" s="43" t="str">
        <f t="shared" si="3182"/>
        <v/>
      </c>
      <c r="DQ222" s="43" t="str">
        <f t="shared" si="3183"/>
        <v/>
      </c>
      <c r="DR222" s="43" t="str">
        <f t="shared" si="3184"/>
        <v/>
      </c>
      <c r="DS222" s="43" t="str">
        <f t="shared" si="3185"/>
        <v/>
      </c>
      <c r="DT222" s="43" t="str">
        <f t="shared" si="3186"/>
        <v/>
      </c>
      <c r="DU222" s="43" t="str">
        <f t="shared" si="3187"/>
        <v/>
      </c>
      <c r="DV222" s="43" t="str">
        <f t="shared" si="3188"/>
        <v/>
      </c>
      <c r="DW222" s="43" t="str">
        <f t="shared" si="3189"/>
        <v/>
      </c>
      <c r="DX222" s="43" t="str">
        <f t="shared" si="3190"/>
        <v/>
      </c>
      <c r="DY222" s="43" t="str">
        <f t="shared" si="3191"/>
        <v/>
      </c>
      <c r="DZ222" s="43" t="str">
        <f t="shared" si="3192"/>
        <v/>
      </c>
      <c r="EA222" s="43" t="str">
        <f t="shared" si="3193"/>
        <v/>
      </c>
      <c r="EB222" s="43" t="str">
        <f t="shared" si="3194"/>
        <v/>
      </c>
      <c r="EC222" s="43" t="str">
        <f t="shared" si="3195"/>
        <v/>
      </c>
      <c r="ED222" s="43" t="str">
        <f t="shared" si="3196"/>
        <v/>
      </c>
      <c r="EE222" s="43" t="str">
        <f t="shared" si="3197"/>
        <v/>
      </c>
      <c r="EF222" s="43" t="str">
        <f t="shared" si="3198"/>
        <v/>
      </c>
      <c r="EG222" s="43" t="str">
        <f t="shared" si="3199"/>
        <v/>
      </c>
      <c r="EH222" s="43" t="str">
        <f t="shared" si="3200"/>
        <v/>
      </c>
      <c r="EI222" s="43" t="str">
        <f t="shared" si="3201"/>
        <v/>
      </c>
      <c r="EJ222" s="43" t="str">
        <f t="shared" si="3202"/>
        <v/>
      </c>
      <c r="EK222" s="43" t="str">
        <f t="shared" si="3203"/>
        <v/>
      </c>
      <c r="EL222" s="43" t="str">
        <f t="shared" si="3204"/>
        <v/>
      </c>
      <c r="EM222" s="43" t="str">
        <f t="shared" si="3205"/>
        <v/>
      </c>
      <c r="EN222" s="43" t="str">
        <f t="shared" si="3206"/>
        <v/>
      </c>
      <c r="EO222" s="43" t="str">
        <f t="shared" si="3207"/>
        <v/>
      </c>
      <c r="EP222" s="43" t="str">
        <f t="shared" si="3208"/>
        <v/>
      </c>
      <c r="EQ222" s="43" t="str">
        <f t="shared" si="3209"/>
        <v/>
      </c>
      <c r="ER222" s="43" t="str">
        <f t="shared" si="3210"/>
        <v/>
      </c>
      <c r="ES222" s="43" t="str">
        <f t="shared" si="3211"/>
        <v/>
      </c>
      <c r="ET222" s="43" t="str">
        <f t="shared" si="3212"/>
        <v/>
      </c>
      <c r="EU222" s="43" t="str">
        <f t="shared" si="3213"/>
        <v/>
      </c>
      <c r="EV222" s="43" t="str">
        <f t="shared" si="3214"/>
        <v/>
      </c>
      <c r="EW222" s="43" t="str">
        <f t="shared" si="3215"/>
        <v/>
      </c>
      <c r="EX222" s="43" t="str">
        <f t="shared" si="3216"/>
        <v/>
      </c>
      <c r="EY222" s="43" t="str">
        <f t="shared" si="3217"/>
        <v/>
      </c>
      <c r="EZ222" s="43" t="str">
        <f t="shared" si="3218"/>
        <v/>
      </c>
      <c r="FA222" s="43" t="str">
        <f t="shared" si="3219"/>
        <v/>
      </c>
      <c r="FB222" s="43" t="str">
        <f t="shared" si="3220"/>
        <v/>
      </c>
      <c r="FC222" s="43" t="str">
        <f t="shared" si="3221"/>
        <v/>
      </c>
      <c r="FD222" s="43" t="str">
        <f t="shared" si="3222"/>
        <v/>
      </c>
      <c r="FE222" s="43" t="str">
        <f t="shared" si="3223"/>
        <v/>
      </c>
      <c r="FF222" s="43" t="str">
        <f t="shared" si="3224"/>
        <v/>
      </c>
      <c r="FG222" s="43" t="str">
        <f t="shared" si="3225"/>
        <v/>
      </c>
      <c r="FH222" s="43" t="str">
        <f t="shared" si="3226"/>
        <v/>
      </c>
      <c r="FI222" s="43" t="str">
        <f t="shared" si="3227"/>
        <v/>
      </c>
      <c r="FJ222" s="43" t="str">
        <f t="shared" si="3228"/>
        <v/>
      </c>
      <c r="FK222" s="43" t="str">
        <f t="shared" si="3229"/>
        <v/>
      </c>
      <c r="FL222" s="43" t="str">
        <f t="shared" si="3230"/>
        <v/>
      </c>
      <c r="FM222" s="43" t="str">
        <f t="shared" si="3231"/>
        <v/>
      </c>
      <c r="FN222" s="43" t="str">
        <f t="shared" si="3232"/>
        <v/>
      </c>
      <c r="FO222" s="43" t="str">
        <f t="shared" si="3233"/>
        <v/>
      </c>
      <c r="FP222" s="43" t="str">
        <f t="shared" si="3234"/>
        <v/>
      </c>
      <c r="FQ222" s="43" t="str">
        <f t="shared" si="3235"/>
        <v/>
      </c>
      <c r="FR222" s="43" t="str">
        <f t="shared" si="3236"/>
        <v/>
      </c>
      <c r="FS222" s="43" t="str">
        <f t="shared" si="3237"/>
        <v/>
      </c>
    </row>
    <row r="223" spans="1:175">
      <c r="A223" s="7"/>
      <c r="B223" s="7" t="s">
        <v>670</v>
      </c>
      <c r="C223" s="5" t="s">
        <v>122</v>
      </c>
      <c r="T223" s="109"/>
      <c r="U223" s="59"/>
      <c r="CN223" s="12" t="str">
        <f t="shared" si="3162"/>
        <v>InitUnitState('IF24',,,,,,,,,,)</v>
      </c>
      <c r="CO223" s="12" t="str">
        <f t="shared" si="3163"/>
        <v>InitUnitNormal('IF24',,,,,,,,,,)</v>
      </c>
      <c r="CP223" s="12" t="str">
        <f t="shared" si="3164"/>
        <v>InitUnitMagic('IF24',,,,,,,,,,)</v>
      </c>
      <c r="CQ223" s="12" t="str">
        <f t="shared" si="3165"/>
        <v>InitUnitAdd('IF24',,,,,,,,,,)</v>
      </c>
      <c r="CR223" s="12" t="str">
        <f t="shared" si="3166"/>
        <v>InitEquipData('IF24',,"",,,,,'','','','','','',"")</v>
      </c>
      <c r="CU223" s="71" t="str">
        <f t="shared" ref="CU223:CU264" si="3238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W223" s="6"/>
      <c r="CX223" s="6"/>
      <c r="CY223" s="6"/>
      <c r="CZ223" s="6"/>
      <c r="DA223" s="6"/>
      <c r="DB223" s="43" t="str">
        <f t="shared" ref="DB223:DB264" si="3239">IF(V223="","","|n"&amp;DB$2&amp;"+"&amp;V223&amp;DB$1)</f>
        <v/>
      </c>
      <c r="DC223" s="43" t="str">
        <f t="shared" ref="DC223:DC264" si="3240">IF(W223="","","|n"&amp;DC$2&amp;"+"&amp;W223&amp;DC$1)</f>
        <v/>
      </c>
      <c r="DD223" s="43" t="str">
        <f t="shared" ref="DD223:DD264" si="3241">IF(X223="","","|n"&amp;DD$2&amp;"+"&amp;X223&amp;DD$1)</f>
        <v/>
      </c>
      <c r="DE223" s="43" t="str">
        <f t="shared" ref="DE223:DE264" si="3242">IF(Y223="","","|n"&amp;DE$2&amp;"+"&amp;Y223&amp;DE$1)</f>
        <v/>
      </c>
      <c r="DF223" s="43" t="str">
        <f t="shared" ref="DF223:DF264" si="3243">IF(Z223="","","|n"&amp;DF$2&amp;"+"&amp;Z223&amp;DF$1)</f>
        <v/>
      </c>
      <c r="DG223" s="43" t="str">
        <f t="shared" ref="DG223:DG264" si="3244">IF(AA223="","","|n"&amp;DG$2&amp;"+"&amp;AA223&amp;DG$1)</f>
        <v/>
      </c>
      <c r="DH223" s="43" t="str">
        <f t="shared" ref="DH223:DH264" si="3245">IF(AB223="","","|n"&amp;DH$2&amp;"+"&amp;AB223&amp;DH$1)</f>
        <v/>
      </c>
      <c r="DI223" s="43" t="str">
        <f t="shared" ref="DI223:DI264" si="3246">IF(AC223="","","|n"&amp;DI$2&amp;"+"&amp;AC223&amp;DI$1)</f>
        <v/>
      </c>
      <c r="DJ223" s="43" t="str">
        <f t="shared" ref="DJ223:DJ264" si="3247">IF(AD223="","","|n"&amp;DJ$2&amp;"+"&amp;AD223&amp;DJ$1)</f>
        <v/>
      </c>
      <c r="DK223" s="43" t="str">
        <f t="shared" ref="DK223:DK264" si="3248">IF(AE223="","","|n"&amp;DK$2&amp;"+"&amp;AE223&amp;DK$1)</f>
        <v/>
      </c>
      <c r="DL223" s="43" t="str">
        <f t="shared" ref="DL223:DL264" si="3249">IF(AF223="","","|n"&amp;DL$2&amp;"+"&amp;AF223&amp;DL$1)</f>
        <v/>
      </c>
      <c r="DM223" s="43" t="str">
        <f t="shared" ref="DM223:DM264" si="3250">IF(AG223="","","|n"&amp;DM$2&amp;"+"&amp;AG223&amp;DM$1)</f>
        <v/>
      </c>
      <c r="DN223" s="43" t="str">
        <f t="shared" ref="DN223:DN264" si="3251">IF(AH223="","","|n"&amp;DN$2&amp;"+"&amp;AH223&amp;DN$1)</f>
        <v/>
      </c>
      <c r="DO223" s="43" t="str">
        <f t="shared" ref="DO223:DO264" si="3252">IF(AI223="","","|n"&amp;DO$2&amp;"+"&amp;AI223&amp;DO$1)</f>
        <v/>
      </c>
      <c r="DP223" s="43" t="str">
        <f t="shared" ref="DP223:DP264" si="3253">IF(AJ223="","","|n"&amp;DP$2&amp;"+"&amp;AJ223&amp;DP$1)</f>
        <v/>
      </c>
      <c r="DQ223" s="43" t="str">
        <f t="shared" ref="DQ223:DQ264" si="3254">IF(AK223="","","|n"&amp;DQ$2&amp;"+"&amp;AK223&amp;DQ$1)</f>
        <v/>
      </c>
      <c r="DR223" s="43" t="str">
        <f t="shared" ref="DR223:DR264" si="3255">IF(AL223="","","|n"&amp;DR$2&amp;"+"&amp;AL223&amp;DR$1)</f>
        <v/>
      </c>
      <c r="DS223" s="43" t="str">
        <f t="shared" ref="DS223:DS264" si="3256">IF(AM223="","","|n"&amp;DS$2&amp;"+"&amp;AM223&amp;DS$1)</f>
        <v/>
      </c>
      <c r="DT223" s="43" t="str">
        <f t="shared" ref="DT223:DT264" si="3257">IF(AN223="","","|n"&amp;DT$2&amp;"+"&amp;AN223&amp;DT$1)</f>
        <v/>
      </c>
      <c r="DU223" s="43" t="str">
        <f t="shared" ref="DU223:DU264" si="3258">IF(AO223="","","|n"&amp;DU$2&amp;"+"&amp;AO223&amp;DU$1)</f>
        <v/>
      </c>
      <c r="DV223" s="43" t="str">
        <f t="shared" ref="DV223:DV264" si="3259">IF(AP223="","","|n"&amp;DV$2&amp;"+"&amp;AP223&amp;DV$1)</f>
        <v/>
      </c>
      <c r="DW223" s="43" t="str">
        <f t="shared" ref="DW223:DW264" si="3260">IF(AQ223="","","|n"&amp;DW$2&amp;"+"&amp;AQ223&amp;DW$1)</f>
        <v/>
      </c>
      <c r="DX223" s="43" t="str">
        <f t="shared" ref="DX223:DX264" si="3261">IF(AR223="","","|n"&amp;DX$2&amp;"+"&amp;AR223&amp;DX$1)</f>
        <v/>
      </c>
      <c r="DY223" s="43" t="str">
        <f t="shared" ref="DY223:DY264" si="3262">IF(AS223="","","|n"&amp;DY$2&amp;"+"&amp;AS223&amp;DY$1)</f>
        <v/>
      </c>
      <c r="DZ223" s="43" t="str">
        <f t="shared" ref="DZ223:DZ264" si="3263">IF(AT223="","","|n"&amp;DZ$2&amp;"+"&amp;AT223&amp;DZ$1)</f>
        <v/>
      </c>
      <c r="EA223" s="43" t="str">
        <f t="shared" ref="EA223:EA264" si="3264">IF(AU223="","","|n"&amp;EA$2&amp;"+"&amp;AU223&amp;EA$1)</f>
        <v/>
      </c>
      <c r="EB223" s="43" t="str">
        <f t="shared" ref="EB223:EB264" si="3265">IF(AV223="","","|n"&amp;EB$2&amp;"+"&amp;AV223&amp;EB$1)</f>
        <v/>
      </c>
      <c r="EC223" s="43" t="str">
        <f t="shared" ref="EC223:EC264" si="3266">IF(AW223="","","|n"&amp;EC$2&amp;"+"&amp;AW223&amp;EC$1)</f>
        <v/>
      </c>
      <c r="ED223" s="43" t="str">
        <f t="shared" ref="ED223:ED264" si="3267">IF(AX223="","","|n"&amp;ED$2&amp;"+"&amp;AX223&amp;ED$1)</f>
        <v/>
      </c>
      <c r="EE223" s="43" t="str">
        <f t="shared" ref="EE223:EE264" si="3268">IF(AY223="","","|n"&amp;EE$2&amp;"+"&amp;AY223&amp;EE$1)</f>
        <v/>
      </c>
      <c r="EF223" s="43" t="str">
        <f t="shared" ref="EF223:EF264" si="3269">IF(AZ223="","","|n"&amp;EF$2&amp;"+"&amp;AZ223&amp;EF$1)</f>
        <v/>
      </c>
      <c r="EG223" s="43" t="str">
        <f t="shared" ref="EG223:EG264" si="3270">IF(BA223="","","|n"&amp;EG$2&amp;"+"&amp;BA223&amp;EG$1)</f>
        <v/>
      </c>
      <c r="EH223" s="43" t="str">
        <f t="shared" ref="EH223:EH264" si="3271">IF(BB223="","","|n"&amp;EH$2&amp;"+"&amp;BB223&amp;EH$1)</f>
        <v/>
      </c>
      <c r="EI223" s="43" t="str">
        <f t="shared" ref="EI223:EI264" si="3272">IF(BC223="","","|n"&amp;EI$2&amp;"+"&amp;BC223&amp;EI$1)</f>
        <v/>
      </c>
      <c r="EJ223" s="43" t="str">
        <f t="shared" ref="EJ223:EJ264" si="3273">IF(BD223="","","|n"&amp;EJ$2&amp;"+"&amp;BD223&amp;EJ$1)</f>
        <v/>
      </c>
      <c r="EK223" s="43" t="str">
        <f t="shared" ref="EK223:EK264" si="3274">IF(BE223="","","|n"&amp;EK$2&amp;"+"&amp;BE223&amp;EK$1)</f>
        <v/>
      </c>
      <c r="EL223" s="43" t="str">
        <f t="shared" ref="EL223:EL264" si="3275">IF(BF223="","","|n"&amp;EL$2&amp;"+"&amp;BF223&amp;EL$1)</f>
        <v/>
      </c>
      <c r="EM223" s="43" t="str">
        <f t="shared" ref="EM223:EM264" si="3276">IF(BG223="","","|n"&amp;EM$2&amp;"+"&amp;BG223&amp;EM$1)</f>
        <v/>
      </c>
      <c r="EN223" s="43" t="str">
        <f t="shared" ref="EN223:EN264" si="3277">IF(BH223="","","|n"&amp;EN$2&amp;"+"&amp;BH223&amp;EN$1)</f>
        <v/>
      </c>
      <c r="EO223" s="43" t="str">
        <f t="shared" ref="EO223:EO264" si="3278">IF(BI223="","","|n"&amp;EO$2&amp;"+"&amp;BI223&amp;EO$1)</f>
        <v/>
      </c>
      <c r="EP223" s="43" t="str">
        <f t="shared" ref="EP223:EP264" si="3279">IF(BJ223="","","|n"&amp;EP$2&amp;"+"&amp;BJ223&amp;EP$1)</f>
        <v/>
      </c>
      <c r="EQ223" s="43" t="str">
        <f t="shared" ref="EQ223:EQ264" si="3280">IF(BK223="","","|n"&amp;EQ$2&amp;"+"&amp;BK223&amp;EQ$1)</f>
        <v/>
      </c>
      <c r="ER223" s="43" t="str">
        <f t="shared" ref="ER223:ER264" si="3281">IF(BL223="","","|n"&amp;ER$2&amp;"+"&amp;BL223&amp;ER$1)</f>
        <v/>
      </c>
      <c r="ES223" s="43" t="str">
        <f t="shared" ref="ES223:ES264" si="3282">IF(BM223="","","|n"&amp;ES$2&amp;"+"&amp;BM223&amp;ES$1)</f>
        <v/>
      </c>
      <c r="ET223" s="43" t="str">
        <f t="shared" ref="ET223:ET264" si="3283">IF(BN223="","","|n"&amp;ET$2&amp;"+"&amp;BN223&amp;ET$1)</f>
        <v/>
      </c>
      <c r="EU223" s="43" t="str">
        <f t="shared" ref="EU223:EU264" si="3284">IF(BO223="","","|n"&amp;EU$2&amp;"+"&amp;BO223&amp;EU$1)</f>
        <v/>
      </c>
      <c r="EV223" s="43" t="str">
        <f t="shared" ref="EV223:EV264" si="3285">IF(BP223="","","|n"&amp;EV$2&amp;"+"&amp;BP223&amp;EV$1)</f>
        <v/>
      </c>
      <c r="EW223" s="43" t="str">
        <f t="shared" ref="EW223:EW264" si="3286">IF(BQ223="","","|n"&amp;EW$2&amp;"+"&amp;BQ223&amp;EW$1)</f>
        <v/>
      </c>
      <c r="EX223" s="43" t="str">
        <f t="shared" ref="EX223:EX264" si="3287">IF(BR223="","","|n"&amp;EX$2&amp;"+"&amp;BR223&amp;EX$1)</f>
        <v/>
      </c>
      <c r="EY223" s="43" t="str">
        <f t="shared" ref="EY223:EY264" si="3288">IF(BS223="","","|n"&amp;EY$2&amp;"+"&amp;BS223&amp;EY$1)</f>
        <v/>
      </c>
      <c r="EZ223" s="43" t="str">
        <f t="shared" ref="EZ223:EZ264" si="3289">IF(BT223="","","|n"&amp;EZ$2&amp;"+"&amp;BT223&amp;EZ$1)</f>
        <v/>
      </c>
      <c r="FA223" s="43" t="str">
        <f t="shared" ref="FA223:FA264" si="3290">IF(BU223="","","|n"&amp;FA$2&amp;"+"&amp;BU223&amp;FA$1)</f>
        <v/>
      </c>
      <c r="FB223" s="43" t="str">
        <f t="shared" ref="FB223:FB264" si="3291">IF(BV223="","","|n"&amp;FB$2&amp;"+"&amp;BV223&amp;FB$1)</f>
        <v/>
      </c>
      <c r="FC223" s="43" t="str">
        <f t="shared" ref="FC223:FC264" si="3292">IF(BW223="","","|n"&amp;FC$2&amp;"+"&amp;BW223&amp;FC$1)</f>
        <v/>
      </c>
      <c r="FD223" s="43" t="str">
        <f t="shared" ref="FD223:FD264" si="3293">IF(BX223="","","|n"&amp;FD$2&amp;"+"&amp;BX223&amp;FD$1)</f>
        <v/>
      </c>
      <c r="FE223" s="43" t="str">
        <f t="shared" ref="FE223:FE264" si="3294">IF(BY223="","","|n"&amp;FE$2&amp;"+"&amp;BY223&amp;FE$1)</f>
        <v/>
      </c>
      <c r="FF223" s="43" t="str">
        <f t="shared" ref="FF223:FF264" si="3295">IF(BZ223="","","|n"&amp;FF$2&amp;"+"&amp;BZ223&amp;FF$1)</f>
        <v/>
      </c>
      <c r="FG223" s="43" t="str">
        <f t="shared" ref="FG223:FG264" si="3296">IF(CA223="","","|n"&amp;FG$2&amp;"+"&amp;CA223&amp;FG$1)</f>
        <v/>
      </c>
      <c r="FH223" s="43" t="str">
        <f t="shared" ref="FH223:FH264" si="3297">IF(CB223="","","|n"&amp;FH$2&amp;"+"&amp;CB223&amp;FH$1)</f>
        <v/>
      </c>
      <c r="FI223" s="43" t="str">
        <f t="shared" ref="FI223:FI264" si="3298">IF(CC223="","","|n"&amp;FI$2&amp;"+"&amp;CC223&amp;FI$1)</f>
        <v/>
      </c>
      <c r="FJ223" s="43" t="str">
        <f t="shared" ref="FJ223:FJ264" si="3299">IF(CD223="","","|n"&amp;FJ$2&amp;"+"&amp;CD223&amp;FJ$1)</f>
        <v/>
      </c>
      <c r="FK223" s="43" t="str">
        <f t="shared" ref="FK223:FK264" si="3300">IF(CE223="","","|n"&amp;FK$2&amp;"+"&amp;CE223&amp;FK$1)</f>
        <v/>
      </c>
      <c r="FL223" s="43" t="str">
        <f t="shared" ref="FL223:FL264" si="3301">IF(CF223="","","|n"&amp;FL$2&amp;"+"&amp;CF223&amp;FL$1)</f>
        <v/>
      </c>
      <c r="FM223" s="43" t="str">
        <f t="shared" ref="FM223:FM264" si="3302">IF(CG223="","","|n"&amp;FM$2&amp;"+"&amp;CG223&amp;FM$1)</f>
        <v/>
      </c>
      <c r="FN223" s="43" t="str">
        <f t="shared" ref="FN223:FN264" si="3303">IF(CH223="","","|n"&amp;FN$2&amp;"+"&amp;CH223&amp;FN$1)</f>
        <v/>
      </c>
      <c r="FO223" s="43" t="str">
        <f t="shared" ref="FO223:FO264" si="3304">IF(CI223="","","|n"&amp;FO$2&amp;"+"&amp;CI223&amp;FO$1)</f>
        <v/>
      </c>
      <c r="FP223" s="43" t="str">
        <f t="shared" ref="FP223:FP264" si="3305">IF(CJ223="","","|n"&amp;FP$2&amp;"+"&amp;CJ223&amp;FP$1)</f>
        <v/>
      </c>
      <c r="FQ223" s="43" t="str">
        <f t="shared" ref="FQ223:FQ264" si="3306">IF(CK223="","","|n"&amp;FQ$2&amp;"+"&amp;CK223&amp;FQ$1)</f>
        <v/>
      </c>
      <c r="FR223" s="43" t="str">
        <f t="shared" ref="FR223:FR264" si="3307">IF(CL223="","","|n"&amp;FR$2&amp;"+"&amp;CL223&amp;FR$1)</f>
        <v/>
      </c>
      <c r="FS223" s="43" t="str">
        <f t="shared" ref="FS223:FS264" si="3308">IF(CM223="","","|n"&amp;FS$2&amp;"+"&amp;CM223&amp;FS$1)</f>
        <v/>
      </c>
    </row>
    <row r="224" spans="1:175">
      <c r="A224" s="7"/>
      <c r="B224" s="7" t="s">
        <v>671</v>
      </c>
      <c r="C224" s="5" t="s">
        <v>672</v>
      </c>
      <c r="T224" s="109"/>
      <c r="U224" s="59"/>
      <c r="CN224" s="12" t="str">
        <f t="shared" si="3162"/>
        <v>InitUnitState('IF25',,,,,,,,,,)</v>
      </c>
      <c r="CO224" s="12" t="str">
        <f t="shared" si="3163"/>
        <v>InitUnitNormal('IF25',,,,,,,,,,)</v>
      </c>
      <c r="CP224" s="12" t="str">
        <f t="shared" si="3164"/>
        <v>InitUnitMagic('IF25',,,,,,,,,,)</v>
      </c>
      <c r="CQ224" s="12" t="str">
        <f t="shared" si="3165"/>
        <v>InitUnitAdd('IF25',,,,,,,,,,)</v>
      </c>
      <c r="CR224" s="12" t="str">
        <f t="shared" si="3166"/>
        <v>InitEquipData('IF25',,"",,,,,'','','','','','',"")</v>
      </c>
      <c r="CU224" s="71" t="str">
        <f t="shared" si="3238"/>
        <v>|n</v>
      </c>
      <c r="CW224" s="6"/>
      <c r="CX224" s="6"/>
      <c r="CY224" s="6"/>
      <c r="CZ224" s="6"/>
      <c r="DA224" s="6"/>
      <c r="DB224" s="43" t="str">
        <f t="shared" si="3239"/>
        <v/>
      </c>
      <c r="DC224" s="43" t="str">
        <f t="shared" si="3240"/>
        <v/>
      </c>
      <c r="DD224" s="43" t="str">
        <f t="shared" si="3241"/>
        <v/>
      </c>
      <c r="DE224" s="43" t="str">
        <f t="shared" si="3242"/>
        <v/>
      </c>
      <c r="DF224" s="43" t="str">
        <f t="shared" si="3243"/>
        <v/>
      </c>
      <c r="DG224" s="43" t="str">
        <f t="shared" si="3244"/>
        <v/>
      </c>
      <c r="DH224" s="43" t="str">
        <f t="shared" si="3245"/>
        <v/>
      </c>
      <c r="DI224" s="43" t="str">
        <f t="shared" si="3246"/>
        <v/>
      </c>
      <c r="DJ224" s="43" t="str">
        <f t="shared" si="3247"/>
        <v/>
      </c>
      <c r="DK224" s="43" t="str">
        <f t="shared" si="3248"/>
        <v/>
      </c>
      <c r="DL224" s="43" t="str">
        <f t="shared" si="3249"/>
        <v/>
      </c>
      <c r="DM224" s="43" t="str">
        <f t="shared" si="3250"/>
        <v/>
      </c>
      <c r="DN224" s="43" t="str">
        <f t="shared" si="3251"/>
        <v/>
      </c>
      <c r="DO224" s="43" t="str">
        <f t="shared" si="3252"/>
        <v/>
      </c>
      <c r="DP224" s="43" t="str">
        <f t="shared" si="3253"/>
        <v/>
      </c>
      <c r="DQ224" s="43" t="str">
        <f t="shared" si="3254"/>
        <v/>
      </c>
      <c r="DR224" s="43" t="str">
        <f t="shared" si="3255"/>
        <v/>
      </c>
      <c r="DS224" s="43" t="str">
        <f t="shared" si="3256"/>
        <v/>
      </c>
      <c r="DT224" s="43" t="str">
        <f t="shared" si="3257"/>
        <v/>
      </c>
      <c r="DU224" s="43" t="str">
        <f t="shared" si="3258"/>
        <v/>
      </c>
      <c r="DV224" s="43" t="str">
        <f t="shared" si="3259"/>
        <v/>
      </c>
      <c r="DW224" s="43" t="str">
        <f t="shared" si="3260"/>
        <v/>
      </c>
      <c r="DX224" s="43" t="str">
        <f t="shared" si="3261"/>
        <v/>
      </c>
      <c r="DY224" s="43" t="str">
        <f t="shared" si="3262"/>
        <v/>
      </c>
      <c r="DZ224" s="43" t="str">
        <f t="shared" si="3263"/>
        <v/>
      </c>
      <c r="EA224" s="43" t="str">
        <f t="shared" si="3264"/>
        <v/>
      </c>
      <c r="EB224" s="43" t="str">
        <f t="shared" si="3265"/>
        <v/>
      </c>
      <c r="EC224" s="43" t="str">
        <f t="shared" si="3266"/>
        <v/>
      </c>
      <c r="ED224" s="43" t="str">
        <f t="shared" si="3267"/>
        <v/>
      </c>
      <c r="EE224" s="43" t="str">
        <f t="shared" si="3268"/>
        <v/>
      </c>
      <c r="EF224" s="43" t="str">
        <f t="shared" si="3269"/>
        <v/>
      </c>
      <c r="EG224" s="43" t="str">
        <f t="shared" si="3270"/>
        <v/>
      </c>
      <c r="EH224" s="43" t="str">
        <f t="shared" si="3271"/>
        <v/>
      </c>
      <c r="EI224" s="43" t="str">
        <f t="shared" si="3272"/>
        <v/>
      </c>
      <c r="EJ224" s="43" t="str">
        <f t="shared" si="3273"/>
        <v/>
      </c>
      <c r="EK224" s="43" t="str">
        <f t="shared" si="3274"/>
        <v/>
      </c>
      <c r="EL224" s="43" t="str">
        <f t="shared" si="3275"/>
        <v/>
      </c>
      <c r="EM224" s="43" t="str">
        <f t="shared" si="3276"/>
        <v/>
      </c>
      <c r="EN224" s="43" t="str">
        <f t="shared" si="3277"/>
        <v/>
      </c>
      <c r="EO224" s="43" t="str">
        <f t="shared" si="3278"/>
        <v/>
      </c>
      <c r="EP224" s="43" t="str">
        <f t="shared" si="3279"/>
        <v/>
      </c>
      <c r="EQ224" s="43" t="str">
        <f t="shared" si="3280"/>
        <v/>
      </c>
      <c r="ER224" s="43" t="str">
        <f t="shared" si="3281"/>
        <v/>
      </c>
      <c r="ES224" s="43" t="str">
        <f t="shared" si="3282"/>
        <v/>
      </c>
      <c r="ET224" s="43" t="str">
        <f t="shared" si="3283"/>
        <v/>
      </c>
      <c r="EU224" s="43" t="str">
        <f t="shared" si="3284"/>
        <v/>
      </c>
      <c r="EV224" s="43" t="str">
        <f t="shared" si="3285"/>
        <v/>
      </c>
      <c r="EW224" s="43" t="str">
        <f t="shared" si="3286"/>
        <v/>
      </c>
      <c r="EX224" s="43" t="str">
        <f t="shared" si="3287"/>
        <v/>
      </c>
      <c r="EY224" s="43" t="str">
        <f t="shared" si="3288"/>
        <v/>
      </c>
      <c r="EZ224" s="43" t="str">
        <f t="shared" si="3289"/>
        <v/>
      </c>
      <c r="FA224" s="43" t="str">
        <f t="shared" si="3290"/>
        <v/>
      </c>
      <c r="FB224" s="43" t="str">
        <f t="shared" si="3291"/>
        <v/>
      </c>
      <c r="FC224" s="43" t="str">
        <f t="shared" si="3292"/>
        <v/>
      </c>
      <c r="FD224" s="43" t="str">
        <f t="shared" si="3293"/>
        <v/>
      </c>
      <c r="FE224" s="43" t="str">
        <f t="shared" si="3294"/>
        <v/>
      </c>
      <c r="FF224" s="43" t="str">
        <f t="shared" si="3295"/>
        <v/>
      </c>
      <c r="FG224" s="43" t="str">
        <f t="shared" si="3296"/>
        <v/>
      </c>
      <c r="FH224" s="43" t="str">
        <f t="shared" si="3297"/>
        <v/>
      </c>
      <c r="FI224" s="43" t="str">
        <f t="shared" si="3298"/>
        <v/>
      </c>
      <c r="FJ224" s="43" t="str">
        <f t="shared" si="3299"/>
        <v/>
      </c>
      <c r="FK224" s="43" t="str">
        <f t="shared" si="3300"/>
        <v/>
      </c>
      <c r="FL224" s="43" t="str">
        <f t="shared" si="3301"/>
        <v/>
      </c>
      <c r="FM224" s="43" t="str">
        <f t="shared" si="3302"/>
        <v/>
      </c>
      <c r="FN224" s="43" t="str">
        <f t="shared" si="3303"/>
        <v/>
      </c>
      <c r="FO224" s="43" t="str">
        <f t="shared" si="3304"/>
        <v/>
      </c>
      <c r="FP224" s="43" t="str">
        <f t="shared" si="3305"/>
        <v/>
      </c>
      <c r="FQ224" s="43" t="str">
        <f t="shared" si="3306"/>
        <v/>
      </c>
      <c r="FR224" s="43" t="str">
        <f t="shared" si="3307"/>
        <v/>
      </c>
      <c r="FS224" s="43" t="str">
        <f t="shared" si="3308"/>
        <v/>
      </c>
    </row>
    <row r="225" spans="1:175">
      <c r="A225" s="7"/>
      <c r="B225" s="7" t="s">
        <v>673</v>
      </c>
      <c r="C225" s="5" t="s">
        <v>125</v>
      </c>
      <c r="T225" s="109"/>
      <c r="U225" s="59"/>
      <c r="CN225" s="12" t="str">
        <f t="shared" si="3162"/>
        <v>InitUnitState('IF26',,,,,,,,,,)</v>
      </c>
      <c r="CO225" s="12" t="str">
        <f t="shared" si="3163"/>
        <v>InitUnitNormal('IF26',,,,,,,,,,)</v>
      </c>
      <c r="CP225" s="12" t="str">
        <f t="shared" si="3164"/>
        <v>InitUnitMagic('IF26',,,,,,,,,,)</v>
      </c>
      <c r="CQ225" s="12" t="str">
        <f t="shared" si="3165"/>
        <v>InitUnitAdd('IF26',,,,,,,,,,)</v>
      </c>
      <c r="CR225" s="12" t="str">
        <f t="shared" si="3166"/>
        <v>InitEquipData('IF26',,"",,,,,'','','','','','',"")</v>
      </c>
      <c r="CU225" s="71" t="str">
        <f t="shared" si="3238"/>
        <v>|n</v>
      </c>
      <c r="CW225" s="6"/>
      <c r="CX225" s="6"/>
      <c r="CY225" s="6"/>
      <c r="CZ225" s="6"/>
      <c r="DA225" s="6"/>
      <c r="DB225" s="43" t="str">
        <f t="shared" si="3239"/>
        <v/>
      </c>
      <c r="DC225" s="43" t="str">
        <f t="shared" si="3240"/>
        <v/>
      </c>
      <c r="DD225" s="43" t="str">
        <f t="shared" si="3241"/>
        <v/>
      </c>
      <c r="DE225" s="43" t="str">
        <f t="shared" si="3242"/>
        <v/>
      </c>
      <c r="DF225" s="43" t="str">
        <f t="shared" si="3243"/>
        <v/>
      </c>
      <c r="DG225" s="43" t="str">
        <f t="shared" si="3244"/>
        <v/>
      </c>
      <c r="DH225" s="43" t="str">
        <f t="shared" si="3245"/>
        <v/>
      </c>
      <c r="DI225" s="43" t="str">
        <f t="shared" si="3246"/>
        <v/>
      </c>
      <c r="DJ225" s="43" t="str">
        <f t="shared" si="3247"/>
        <v/>
      </c>
      <c r="DK225" s="43" t="str">
        <f t="shared" si="3248"/>
        <v/>
      </c>
      <c r="DL225" s="43" t="str">
        <f t="shared" si="3249"/>
        <v/>
      </c>
      <c r="DM225" s="43" t="str">
        <f t="shared" si="3250"/>
        <v/>
      </c>
      <c r="DN225" s="43" t="str">
        <f t="shared" si="3251"/>
        <v/>
      </c>
      <c r="DO225" s="43" t="str">
        <f t="shared" si="3252"/>
        <v/>
      </c>
      <c r="DP225" s="43" t="str">
        <f t="shared" si="3253"/>
        <v/>
      </c>
      <c r="DQ225" s="43" t="str">
        <f t="shared" si="3254"/>
        <v/>
      </c>
      <c r="DR225" s="43" t="str">
        <f t="shared" si="3255"/>
        <v/>
      </c>
      <c r="DS225" s="43" t="str">
        <f t="shared" si="3256"/>
        <v/>
      </c>
      <c r="DT225" s="43" t="str">
        <f t="shared" si="3257"/>
        <v/>
      </c>
      <c r="DU225" s="43" t="str">
        <f t="shared" si="3258"/>
        <v/>
      </c>
      <c r="DV225" s="43" t="str">
        <f t="shared" si="3259"/>
        <v/>
      </c>
      <c r="DW225" s="43" t="str">
        <f t="shared" si="3260"/>
        <v/>
      </c>
      <c r="DX225" s="43" t="str">
        <f t="shared" si="3261"/>
        <v/>
      </c>
      <c r="DY225" s="43" t="str">
        <f t="shared" si="3262"/>
        <v/>
      </c>
      <c r="DZ225" s="43" t="str">
        <f t="shared" si="3263"/>
        <v/>
      </c>
      <c r="EA225" s="43" t="str">
        <f t="shared" si="3264"/>
        <v/>
      </c>
      <c r="EB225" s="43" t="str">
        <f t="shared" si="3265"/>
        <v/>
      </c>
      <c r="EC225" s="43" t="str">
        <f t="shared" si="3266"/>
        <v/>
      </c>
      <c r="ED225" s="43" t="str">
        <f t="shared" si="3267"/>
        <v/>
      </c>
      <c r="EE225" s="43" t="str">
        <f t="shared" si="3268"/>
        <v/>
      </c>
      <c r="EF225" s="43" t="str">
        <f t="shared" si="3269"/>
        <v/>
      </c>
      <c r="EG225" s="43" t="str">
        <f t="shared" si="3270"/>
        <v/>
      </c>
      <c r="EH225" s="43" t="str">
        <f t="shared" si="3271"/>
        <v/>
      </c>
      <c r="EI225" s="43" t="str">
        <f t="shared" si="3272"/>
        <v/>
      </c>
      <c r="EJ225" s="43" t="str">
        <f t="shared" si="3273"/>
        <v/>
      </c>
      <c r="EK225" s="43" t="str">
        <f t="shared" si="3274"/>
        <v/>
      </c>
      <c r="EL225" s="43" t="str">
        <f t="shared" si="3275"/>
        <v/>
      </c>
      <c r="EM225" s="43" t="str">
        <f t="shared" si="3276"/>
        <v/>
      </c>
      <c r="EN225" s="43" t="str">
        <f t="shared" si="3277"/>
        <v/>
      </c>
      <c r="EO225" s="43" t="str">
        <f t="shared" si="3278"/>
        <v/>
      </c>
      <c r="EP225" s="43" t="str">
        <f t="shared" si="3279"/>
        <v/>
      </c>
      <c r="EQ225" s="43" t="str">
        <f t="shared" si="3280"/>
        <v/>
      </c>
      <c r="ER225" s="43" t="str">
        <f t="shared" si="3281"/>
        <v/>
      </c>
      <c r="ES225" s="43" t="str">
        <f t="shared" si="3282"/>
        <v/>
      </c>
      <c r="ET225" s="43" t="str">
        <f t="shared" si="3283"/>
        <v/>
      </c>
      <c r="EU225" s="43" t="str">
        <f t="shared" si="3284"/>
        <v/>
      </c>
      <c r="EV225" s="43" t="str">
        <f t="shared" si="3285"/>
        <v/>
      </c>
      <c r="EW225" s="43" t="str">
        <f t="shared" si="3286"/>
        <v/>
      </c>
      <c r="EX225" s="43" t="str">
        <f t="shared" si="3287"/>
        <v/>
      </c>
      <c r="EY225" s="43" t="str">
        <f t="shared" si="3288"/>
        <v/>
      </c>
      <c r="EZ225" s="43" t="str">
        <f t="shared" si="3289"/>
        <v/>
      </c>
      <c r="FA225" s="43" t="str">
        <f t="shared" si="3290"/>
        <v/>
      </c>
      <c r="FB225" s="43" t="str">
        <f t="shared" si="3291"/>
        <v/>
      </c>
      <c r="FC225" s="43" t="str">
        <f t="shared" si="3292"/>
        <v/>
      </c>
      <c r="FD225" s="43" t="str">
        <f t="shared" si="3293"/>
        <v/>
      </c>
      <c r="FE225" s="43" t="str">
        <f t="shared" si="3294"/>
        <v/>
      </c>
      <c r="FF225" s="43" t="str">
        <f t="shared" si="3295"/>
        <v/>
      </c>
      <c r="FG225" s="43" t="str">
        <f t="shared" si="3296"/>
        <v/>
      </c>
      <c r="FH225" s="43" t="str">
        <f t="shared" si="3297"/>
        <v/>
      </c>
      <c r="FI225" s="43" t="str">
        <f t="shared" si="3298"/>
        <v/>
      </c>
      <c r="FJ225" s="43" t="str">
        <f t="shared" si="3299"/>
        <v/>
      </c>
      <c r="FK225" s="43" t="str">
        <f t="shared" si="3300"/>
        <v/>
      </c>
      <c r="FL225" s="43" t="str">
        <f t="shared" si="3301"/>
        <v/>
      </c>
      <c r="FM225" s="43" t="str">
        <f t="shared" si="3302"/>
        <v/>
      </c>
      <c r="FN225" s="43" t="str">
        <f t="shared" si="3303"/>
        <v/>
      </c>
      <c r="FO225" s="43" t="str">
        <f t="shared" si="3304"/>
        <v/>
      </c>
      <c r="FP225" s="43" t="str">
        <f t="shared" si="3305"/>
        <v/>
      </c>
      <c r="FQ225" s="43" t="str">
        <f t="shared" si="3306"/>
        <v/>
      </c>
      <c r="FR225" s="43" t="str">
        <f t="shared" si="3307"/>
        <v/>
      </c>
      <c r="FS225" s="43" t="str">
        <f t="shared" si="3308"/>
        <v/>
      </c>
    </row>
    <row r="226" spans="1:175">
      <c r="A226" s="7"/>
      <c r="B226" s="7" t="s">
        <v>674</v>
      </c>
      <c r="C226" s="5" t="s">
        <v>133</v>
      </c>
      <c r="T226" s="109"/>
      <c r="U226" s="59"/>
      <c r="CN226" s="12" t="str">
        <f t="shared" si="3162"/>
        <v>InitUnitState('IF27',,,,,,,,,,)</v>
      </c>
      <c r="CO226" s="12" t="str">
        <f t="shared" si="3163"/>
        <v>InitUnitNormal('IF27',,,,,,,,,,)</v>
      </c>
      <c r="CP226" s="12" t="str">
        <f t="shared" si="3164"/>
        <v>InitUnitMagic('IF27',,,,,,,,,,)</v>
      </c>
      <c r="CQ226" s="12" t="str">
        <f t="shared" si="3165"/>
        <v>InitUnitAdd('IF27',,,,,,,,,,)</v>
      </c>
      <c r="CR226" s="12" t="str">
        <f t="shared" si="3166"/>
        <v>InitEquipData('IF27',,"",,,,,'','','','','','',"")</v>
      </c>
      <c r="CU226" s="71" t="str">
        <f t="shared" si="3238"/>
        <v>|n</v>
      </c>
      <c r="CW226" s="6"/>
      <c r="CX226" s="6"/>
      <c r="CY226" s="6"/>
      <c r="CZ226" s="6"/>
      <c r="DA226" s="6"/>
      <c r="DB226" s="43" t="str">
        <f t="shared" si="3239"/>
        <v/>
      </c>
      <c r="DC226" s="43" t="str">
        <f t="shared" si="3240"/>
        <v/>
      </c>
      <c r="DD226" s="43" t="str">
        <f t="shared" si="3241"/>
        <v/>
      </c>
      <c r="DE226" s="43" t="str">
        <f t="shared" si="3242"/>
        <v/>
      </c>
      <c r="DF226" s="43" t="str">
        <f t="shared" si="3243"/>
        <v/>
      </c>
      <c r="DG226" s="43" t="str">
        <f t="shared" si="3244"/>
        <v/>
      </c>
      <c r="DH226" s="43" t="str">
        <f t="shared" si="3245"/>
        <v/>
      </c>
      <c r="DI226" s="43" t="str">
        <f t="shared" si="3246"/>
        <v/>
      </c>
      <c r="DJ226" s="43" t="str">
        <f t="shared" si="3247"/>
        <v/>
      </c>
      <c r="DK226" s="43" t="str">
        <f t="shared" si="3248"/>
        <v/>
      </c>
      <c r="DL226" s="43" t="str">
        <f t="shared" si="3249"/>
        <v/>
      </c>
      <c r="DM226" s="43" t="str">
        <f t="shared" si="3250"/>
        <v/>
      </c>
      <c r="DN226" s="43" t="str">
        <f t="shared" si="3251"/>
        <v/>
      </c>
      <c r="DO226" s="43" t="str">
        <f t="shared" si="3252"/>
        <v/>
      </c>
      <c r="DP226" s="43" t="str">
        <f t="shared" si="3253"/>
        <v/>
      </c>
      <c r="DQ226" s="43" t="str">
        <f t="shared" si="3254"/>
        <v/>
      </c>
      <c r="DR226" s="43" t="str">
        <f t="shared" si="3255"/>
        <v/>
      </c>
      <c r="DS226" s="43" t="str">
        <f t="shared" si="3256"/>
        <v/>
      </c>
      <c r="DT226" s="43" t="str">
        <f t="shared" si="3257"/>
        <v/>
      </c>
      <c r="DU226" s="43" t="str">
        <f t="shared" si="3258"/>
        <v/>
      </c>
      <c r="DV226" s="43" t="str">
        <f t="shared" si="3259"/>
        <v/>
      </c>
      <c r="DW226" s="43" t="str">
        <f t="shared" si="3260"/>
        <v/>
      </c>
      <c r="DX226" s="43" t="str">
        <f t="shared" si="3261"/>
        <v/>
      </c>
      <c r="DY226" s="43" t="str">
        <f t="shared" si="3262"/>
        <v/>
      </c>
      <c r="DZ226" s="43" t="str">
        <f t="shared" si="3263"/>
        <v/>
      </c>
      <c r="EA226" s="43" t="str">
        <f t="shared" si="3264"/>
        <v/>
      </c>
      <c r="EB226" s="43" t="str">
        <f t="shared" si="3265"/>
        <v/>
      </c>
      <c r="EC226" s="43" t="str">
        <f t="shared" si="3266"/>
        <v/>
      </c>
      <c r="ED226" s="43" t="str">
        <f t="shared" si="3267"/>
        <v/>
      </c>
      <c r="EE226" s="43" t="str">
        <f t="shared" si="3268"/>
        <v/>
      </c>
      <c r="EF226" s="43" t="str">
        <f t="shared" si="3269"/>
        <v/>
      </c>
      <c r="EG226" s="43" t="str">
        <f t="shared" si="3270"/>
        <v/>
      </c>
      <c r="EH226" s="43" t="str">
        <f t="shared" si="3271"/>
        <v/>
      </c>
      <c r="EI226" s="43" t="str">
        <f t="shared" si="3272"/>
        <v/>
      </c>
      <c r="EJ226" s="43" t="str">
        <f t="shared" si="3273"/>
        <v/>
      </c>
      <c r="EK226" s="43" t="str">
        <f t="shared" si="3274"/>
        <v/>
      </c>
      <c r="EL226" s="43" t="str">
        <f t="shared" si="3275"/>
        <v/>
      </c>
      <c r="EM226" s="43" t="str">
        <f t="shared" si="3276"/>
        <v/>
      </c>
      <c r="EN226" s="43" t="str">
        <f t="shared" si="3277"/>
        <v/>
      </c>
      <c r="EO226" s="43" t="str">
        <f t="shared" si="3278"/>
        <v/>
      </c>
      <c r="EP226" s="43" t="str">
        <f t="shared" si="3279"/>
        <v/>
      </c>
      <c r="EQ226" s="43" t="str">
        <f t="shared" si="3280"/>
        <v/>
      </c>
      <c r="ER226" s="43" t="str">
        <f t="shared" si="3281"/>
        <v/>
      </c>
      <c r="ES226" s="43" t="str">
        <f t="shared" si="3282"/>
        <v/>
      </c>
      <c r="ET226" s="43" t="str">
        <f t="shared" si="3283"/>
        <v/>
      </c>
      <c r="EU226" s="43" t="str">
        <f t="shared" si="3284"/>
        <v/>
      </c>
      <c r="EV226" s="43" t="str">
        <f t="shared" si="3285"/>
        <v/>
      </c>
      <c r="EW226" s="43" t="str">
        <f t="shared" si="3286"/>
        <v/>
      </c>
      <c r="EX226" s="43" t="str">
        <f t="shared" si="3287"/>
        <v/>
      </c>
      <c r="EY226" s="43" t="str">
        <f t="shared" si="3288"/>
        <v/>
      </c>
      <c r="EZ226" s="43" t="str">
        <f t="shared" si="3289"/>
        <v/>
      </c>
      <c r="FA226" s="43" t="str">
        <f t="shared" si="3290"/>
        <v/>
      </c>
      <c r="FB226" s="43" t="str">
        <f t="shared" si="3291"/>
        <v/>
      </c>
      <c r="FC226" s="43" t="str">
        <f t="shared" si="3292"/>
        <v/>
      </c>
      <c r="FD226" s="43" t="str">
        <f t="shared" si="3293"/>
        <v/>
      </c>
      <c r="FE226" s="43" t="str">
        <f t="shared" si="3294"/>
        <v/>
      </c>
      <c r="FF226" s="43" t="str">
        <f t="shared" si="3295"/>
        <v/>
      </c>
      <c r="FG226" s="43" t="str">
        <f t="shared" si="3296"/>
        <v/>
      </c>
      <c r="FH226" s="43" t="str">
        <f t="shared" si="3297"/>
        <v/>
      </c>
      <c r="FI226" s="43" t="str">
        <f t="shared" si="3298"/>
        <v/>
      </c>
      <c r="FJ226" s="43" t="str">
        <f t="shared" si="3299"/>
        <v/>
      </c>
      <c r="FK226" s="43" t="str">
        <f t="shared" si="3300"/>
        <v/>
      </c>
      <c r="FL226" s="43" t="str">
        <f t="shared" si="3301"/>
        <v/>
      </c>
      <c r="FM226" s="43" t="str">
        <f t="shared" si="3302"/>
        <v/>
      </c>
      <c r="FN226" s="43" t="str">
        <f t="shared" si="3303"/>
        <v/>
      </c>
      <c r="FO226" s="43" t="str">
        <f t="shared" si="3304"/>
        <v/>
      </c>
      <c r="FP226" s="43" t="str">
        <f t="shared" si="3305"/>
        <v/>
      </c>
      <c r="FQ226" s="43" t="str">
        <f t="shared" si="3306"/>
        <v/>
      </c>
      <c r="FR226" s="43" t="str">
        <f t="shared" si="3307"/>
        <v/>
      </c>
      <c r="FS226" s="43" t="str">
        <f t="shared" si="3308"/>
        <v/>
      </c>
    </row>
    <row r="227" spans="1:175">
      <c r="A227" s="7"/>
      <c r="B227" s="7"/>
      <c r="C227" s="7"/>
      <c r="T227" s="109"/>
      <c r="U227" s="59"/>
      <c r="CN227" s="12" t="str">
        <f t="shared" si="3162"/>
        <v>InitUnitState('',,,,,,,,,,)</v>
      </c>
      <c r="CO227" s="12" t="str">
        <f t="shared" si="3163"/>
        <v>InitUnitNormal('',,,,,,,,,,)</v>
      </c>
      <c r="CP227" s="12" t="str">
        <f t="shared" si="3164"/>
        <v>InitUnitMagic('',,,,,,,,,,)</v>
      </c>
      <c r="CQ227" s="12" t="str">
        <f t="shared" si="3165"/>
        <v>InitUnitAdd('',,,,,,,,,,)</v>
      </c>
      <c r="CR227" s="12" t="str">
        <f t="shared" si="3166"/>
        <v>InitEquipData('',,"",,,,,'','','','','','',"")</v>
      </c>
      <c r="CU227" s="71" t="str">
        <f t="shared" si="3238"/>
        <v>|n</v>
      </c>
      <c r="CW227" s="6"/>
      <c r="CX227" s="6"/>
      <c r="CY227" s="6"/>
      <c r="CZ227" s="6"/>
      <c r="DA227" s="6"/>
      <c r="DB227" s="43" t="str">
        <f t="shared" si="3239"/>
        <v/>
      </c>
      <c r="DC227" s="43" t="str">
        <f t="shared" si="3240"/>
        <v/>
      </c>
      <c r="DD227" s="43" t="str">
        <f t="shared" si="3241"/>
        <v/>
      </c>
      <c r="DE227" s="43" t="str">
        <f t="shared" si="3242"/>
        <v/>
      </c>
      <c r="DF227" s="43" t="str">
        <f t="shared" si="3243"/>
        <v/>
      </c>
      <c r="DG227" s="43" t="str">
        <f t="shared" si="3244"/>
        <v/>
      </c>
      <c r="DH227" s="43" t="str">
        <f t="shared" si="3245"/>
        <v/>
      </c>
      <c r="DI227" s="43" t="str">
        <f t="shared" si="3246"/>
        <v/>
      </c>
      <c r="DJ227" s="43" t="str">
        <f t="shared" si="3247"/>
        <v/>
      </c>
      <c r="DK227" s="43" t="str">
        <f t="shared" si="3248"/>
        <v/>
      </c>
      <c r="DL227" s="43" t="str">
        <f t="shared" si="3249"/>
        <v/>
      </c>
      <c r="DM227" s="43" t="str">
        <f t="shared" si="3250"/>
        <v/>
      </c>
      <c r="DN227" s="43" t="str">
        <f t="shared" si="3251"/>
        <v/>
      </c>
      <c r="DO227" s="43" t="str">
        <f t="shared" si="3252"/>
        <v/>
      </c>
      <c r="DP227" s="43" t="str">
        <f t="shared" si="3253"/>
        <v/>
      </c>
      <c r="DQ227" s="43" t="str">
        <f t="shared" si="3254"/>
        <v/>
      </c>
      <c r="DR227" s="43" t="str">
        <f t="shared" si="3255"/>
        <v/>
      </c>
      <c r="DS227" s="43" t="str">
        <f t="shared" si="3256"/>
        <v/>
      </c>
      <c r="DT227" s="43" t="str">
        <f t="shared" si="3257"/>
        <v/>
      </c>
      <c r="DU227" s="43" t="str">
        <f t="shared" si="3258"/>
        <v/>
      </c>
      <c r="DV227" s="43" t="str">
        <f t="shared" si="3259"/>
        <v/>
      </c>
      <c r="DW227" s="43" t="str">
        <f t="shared" si="3260"/>
        <v/>
      </c>
      <c r="DX227" s="43" t="str">
        <f t="shared" si="3261"/>
        <v/>
      </c>
      <c r="DY227" s="43" t="str">
        <f t="shared" si="3262"/>
        <v/>
      </c>
      <c r="DZ227" s="43" t="str">
        <f t="shared" si="3263"/>
        <v/>
      </c>
      <c r="EA227" s="43" t="str">
        <f t="shared" si="3264"/>
        <v/>
      </c>
      <c r="EB227" s="43" t="str">
        <f t="shared" si="3265"/>
        <v/>
      </c>
      <c r="EC227" s="43" t="str">
        <f t="shared" si="3266"/>
        <v/>
      </c>
      <c r="ED227" s="43" t="str">
        <f t="shared" si="3267"/>
        <v/>
      </c>
      <c r="EE227" s="43" t="str">
        <f t="shared" si="3268"/>
        <v/>
      </c>
      <c r="EF227" s="43" t="str">
        <f t="shared" si="3269"/>
        <v/>
      </c>
      <c r="EG227" s="43" t="str">
        <f t="shared" si="3270"/>
        <v/>
      </c>
      <c r="EH227" s="43" t="str">
        <f t="shared" si="3271"/>
        <v/>
      </c>
      <c r="EI227" s="43" t="str">
        <f t="shared" si="3272"/>
        <v/>
      </c>
      <c r="EJ227" s="43" t="str">
        <f t="shared" si="3273"/>
        <v/>
      </c>
      <c r="EK227" s="43" t="str">
        <f t="shared" si="3274"/>
        <v/>
      </c>
      <c r="EL227" s="43" t="str">
        <f t="shared" si="3275"/>
        <v/>
      </c>
      <c r="EM227" s="43" t="str">
        <f t="shared" si="3276"/>
        <v/>
      </c>
      <c r="EN227" s="43" t="str">
        <f t="shared" si="3277"/>
        <v/>
      </c>
      <c r="EO227" s="43" t="str">
        <f t="shared" si="3278"/>
        <v/>
      </c>
      <c r="EP227" s="43" t="str">
        <f t="shared" si="3279"/>
        <v/>
      </c>
      <c r="EQ227" s="43" t="str">
        <f t="shared" si="3280"/>
        <v/>
      </c>
      <c r="ER227" s="43" t="str">
        <f t="shared" si="3281"/>
        <v/>
      </c>
      <c r="ES227" s="43" t="str">
        <f t="shared" si="3282"/>
        <v/>
      </c>
      <c r="ET227" s="43" t="str">
        <f t="shared" si="3283"/>
        <v/>
      </c>
      <c r="EU227" s="43" t="str">
        <f t="shared" si="3284"/>
        <v/>
      </c>
      <c r="EV227" s="43" t="str">
        <f t="shared" si="3285"/>
        <v/>
      </c>
      <c r="EW227" s="43" t="str">
        <f t="shared" si="3286"/>
        <v/>
      </c>
      <c r="EX227" s="43" t="str">
        <f t="shared" si="3287"/>
        <v/>
      </c>
      <c r="EY227" s="43" t="str">
        <f t="shared" si="3288"/>
        <v/>
      </c>
      <c r="EZ227" s="43" t="str">
        <f t="shared" si="3289"/>
        <v/>
      </c>
      <c r="FA227" s="43" t="str">
        <f t="shared" si="3290"/>
        <v/>
      </c>
      <c r="FB227" s="43" t="str">
        <f t="shared" si="3291"/>
        <v/>
      </c>
      <c r="FC227" s="43" t="str">
        <f t="shared" si="3292"/>
        <v/>
      </c>
      <c r="FD227" s="43" t="str">
        <f t="shared" si="3293"/>
        <v/>
      </c>
      <c r="FE227" s="43" t="str">
        <f t="shared" si="3294"/>
        <v/>
      </c>
      <c r="FF227" s="43" t="str">
        <f t="shared" si="3295"/>
        <v/>
      </c>
      <c r="FG227" s="43" t="str">
        <f t="shared" si="3296"/>
        <v/>
      </c>
      <c r="FH227" s="43" t="str">
        <f t="shared" si="3297"/>
        <v/>
      </c>
      <c r="FI227" s="43" t="str">
        <f t="shared" si="3298"/>
        <v/>
      </c>
      <c r="FJ227" s="43" t="str">
        <f t="shared" si="3299"/>
        <v/>
      </c>
      <c r="FK227" s="43" t="str">
        <f t="shared" si="3300"/>
        <v/>
      </c>
      <c r="FL227" s="43" t="str">
        <f t="shared" si="3301"/>
        <v/>
      </c>
      <c r="FM227" s="43" t="str">
        <f t="shared" si="3302"/>
        <v/>
      </c>
      <c r="FN227" s="43" t="str">
        <f t="shared" si="3303"/>
        <v/>
      </c>
      <c r="FO227" s="43" t="str">
        <f t="shared" si="3304"/>
        <v/>
      </c>
      <c r="FP227" s="43" t="str">
        <f t="shared" si="3305"/>
        <v/>
      </c>
      <c r="FQ227" s="43" t="str">
        <f t="shared" si="3306"/>
        <v/>
      </c>
      <c r="FR227" s="43" t="str">
        <f t="shared" si="3307"/>
        <v/>
      </c>
      <c r="FS227" s="43" t="str">
        <f t="shared" si="3308"/>
        <v/>
      </c>
    </row>
    <row r="228" spans="1:175">
      <c r="A228" s="7"/>
      <c r="B228" s="7"/>
      <c r="C228" s="7"/>
      <c r="T228" s="109"/>
      <c r="U228" s="59"/>
      <c r="CN228" s="12" t="str">
        <f t="shared" ref="CN228:CN236" si="3309">"InitUnitState('"&amp;B228&amp;"',"&amp;V228&amp;","&amp;W228&amp;","&amp;X228&amp;","&amp;Y228&amp;","&amp;Z228&amp;","&amp;AA228&amp;","&amp;AB228&amp;","&amp;AC228&amp;","&amp;AD228&amp;","&amp;AE228&amp;")"</f>
        <v>InitUnitState('',,,,,,,,,,)</v>
      </c>
      <c r="CO228" s="12" t="str">
        <f t="shared" ref="CO228:CO236" si="3310">"InitUnitNormal('"&amp;B228&amp;"',"&amp;AF228&amp;","&amp;AG228&amp;","&amp;AH228&amp;","&amp;AI228&amp;","&amp;AJ228&amp;","&amp;AK228&amp;","&amp;AL228&amp;","&amp;AM228&amp;","&amp;AN228&amp;","&amp;AO228&amp;")"</f>
        <v>InitUnitNormal('',,,,,,,,,,)</v>
      </c>
      <c r="CP228" s="12" t="str">
        <f t="shared" ref="CP228:CP236" si="3311">"InitUnitMagic('"&amp;B228&amp;"',"&amp;AP228&amp;","&amp;AQ228&amp;","&amp;AR228&amp;","&amp;AS228&amp;","&amp;AT228&amp;","&amp;AU228&amp;","&amp;AV228&amp;","&amp;AW228&amp;","&amp;BI228&amp;","&amp;BJ228&amp;")"</f>
        <v>InitUnitMagic('',,,,,,,,,,)</v>
      </c>
      <c r="CQ228" s="12" t="str">
        <f t="shared" ref="CQ228:CQ236" si="3312">"InitUnitAdd('"&amp;B228&amp;"',"&amp;BK228&amp;","&amp;BL228&amp;","&amp;BM228&amp;","&amp;BN228&amp;","&amp;BO228&amp;","&amp;BP228&amp;","&amp;BQ228&amp;","&amp;BR228&amp;","&amp;BS228&amp;","&amp;BT228&amp;")"</f>
        <v>InitUnitAdd('',,,,,,,,,,)</v>
      </c>
      <c r="CR228" s="12" t="str">
        <f t="shared" si="3166"/>
        <v>InitEquipData('',,"",,,,,'','','','','','',"")</v>
      </c>
      <c r="CU228" s="71" t="str">
        <f t="shared" si="3238"/>
        <v>|n</v>
      </c>
      <c r="CW228" s="6"/>
      <c r="CX228" s="6"/>
      <c r="CY228" s="6"/>
      <c r="CZ228" s="6"/>
      <c r="DA228" s="6"/>
      <c r="DB228" s="43" t="str">
        <f t="shared" si="3239"/>
        <v/>
      </c>
      <c r="DC228" s="43" t="str">
        <f t="shared" si="3240"/>
        <v/>
      </c>
      <c r="DD228" s="43" t="str">
        <f t="shared" si="3241"/>
        <v/>
      </c>
      <c r="DE228" s="43" t="str">
        <f t="shared" si="3242"/>
        <v/>
      </c>
      <c r="DF228" s="43" t="str">
        <f t="shared" si="3243"/>
        <v/>
      </c>
      <c r="DG228" s="43" t="str">
        <f t="shared" si="3244"/>
        <v/>
      </c>
      <c r="DH228" s="43" t="str">
        <f t="shared" si="3245"/>
        <v/>
      </c>
      <c r="DI228" s="43" t="str">
        <f t="shared" si="3246"/>
        <v/>
      </c>
      <c r="DJ228" s="43" t="str">
        <f t="shared" si="3247"/>
        <v/>
      </c>
      <c r="DK228" s="43" t="str">
        <f t="shared" si="3248"/>
        <v/>
      </c>
      <c r="DL228" s="43" t="str">
        <f t="shared" si="3249"/>
        <v/>
      </c>
      <c r="DM228" s="43" t="str">
        <f t="shared" si="3250"/>
        <v/>
      </c>
      <c r="DN228" s="43" t="str">
        <f t="shared" si="3251"/>
        <v/>
      </c>
      <c r="DO228" s="43" t="str">
        <f t="shared" si="3252"/>
        <v/>
      </c>
      <c r="DP228" s="43" t="str">
        <f t="shared" si="3253"/>
        <v/>
      </c>
      <c r="DQ228" s="43" t="str">
        <f t="shared" si="3254"/>
        <v/>
      </c>
      <c r="DR228" s="43" t="str">
        <f t="shared" si="3255"/>
        <v/>
      </c>
      <c r="DS228" s="43" t="str">
        <f t="shared" si="3256"/>
        <v/>
      </c>
      <c r="DT228" s="43" t="str">
        <f t="shared" si="3257"/>
        <v/>
      </c>
      <c r="DU228" s="43" t="str">
        <f t="shared" si="3258"/>
        <v/>
      </c>
      <c r="DV228" s="43" t="str">
        <f t="shared" si="3259"/>
        <v/>
      </c>
      <c r="DW228" s="43" t="str">
        <f t="shared" si="3260"/>
        <v/>
      </c>
      <c r="DX228" s="43" t="str">
        <f t="shared" si="3261"/>
        <v/>
      </c>
      <c r="DY228" s="43" t="str">
        <f t="shared" si="3262"/>
        <v/>
      </c>
      <c r="DZ228" s="43" t="str">
        <f t="shared" si="3263"/>
        <v/>
      </c>
      <c r="EA228" s="43" t="str">
        <f t="shared" si="3264"/>
        <v/>
      </c>
      <c r="EB228" s="43" t="str">
        <f t="shared" si="3265"/>
        <v/>
      </c>
      <c r="EC228" s="43" t="str">
        <f t="shared" si="3266"/>
        <v/>
      </c>
      <c r="ED228" s="43" t="str">
        <f t="shared" si="3267"/>
        <v/>
      </c>
      <c r="EE228" s="43" t="str">
        <f t="shared" si="3268"/>
        <v/>
      </c>
      <c r="EF228" s="43" t="str">
        <f t="shared" si="3269"/>
        <v/>
      </c>
      <c r="EG228" s="43" t="str">
        <f t="shared" si="3270"/>
        <v/>
      </c>
      <c r="EH228" s="43" t="str">
        <f t="shared" si="3271"/>
        <v/>
      </c>
      <c r="EI228" s="43" t="str">
        <f t="shared" si="3272"/>
        <v/>
      </c>
      <c r="EJ228" s="43" t="str">
        <f t="shared" si="3273"/>
        <v/>
      </c>
      <c r="EK228" s="43" t="str">
        <f t="shared" si="3274"/>
        <v/>
      </c>
      <c r="EL228" s="43" t="str">
        <f t="shared" si="3275"/>
        <v/>
      </c>
      <c r="EM228" s="43" t="str">
        <f t="shared" si="3276"/>
        <v/>
      </c>
      <c r="EN228" s="43" t="str">
        <f t="shared" si="3277"/>
        <v/>
      </c>
      <c r="EO228" s="43" t="str">
        <f t="shared" si="3278"/>
        <v/>
      </c>
      <c r="EP228" s="43" t="str">
        <f t="shared" si="3279"/>
        <v/>
      </c>
      <c r="EQ228" s="43" t="str">
        <f t="shared" si="3280"/>
        <v/>
      </c>
      <c r="ER228" s="43" t="str">
        <f t="shared" si="3281"/>
        <v/>
      </c>
      <c r="ES228" s="43" t="str">
        <f t="shared" si="3282"/>
        <v/>
      </c>
      <c r="ET228" s="43" t="str">
        <f t="shared" si="3283"/>
        <v/>
      </c>
      <c r="EU228" s="43" t="str">
        <f t="shared" si="3284"/>
        <v/>
      </c>
      <c r="EV228" s="43" t="str">
        <f t="shared" si="3285"/>
        <v/>
      </c>
      <c r="EW228" s="43" t="str">
        <f t="shared" si="3286"/>
        <v/>
      </c>
      <c r="EX228" s="43" t="str">
        <f t="shared" si="3287"/>
        <v/>
      </c>
      <c r="EY228" s="43" t="str">
        <f t="shared" si="3288"/>
        <v/>
      </c>
      <c r="EZ228" s="43" t="str">
        <f t="shared" si="3289"/>
        <v/>
      </c>
      <c r="FA228" s="43" t="str">
        <f t="shared" si="3290"/>
        <v/>
      </c>
      <c r="FB228" s="43" t="str">
        <f t="shared" si="3291"/>
        <v/>
      </c>
      <c r="FC228" s="43" t="str">
        <f t="shared" si="3292"/>
        <v/>
      </c>
      <c r="FD228" s="43" t="str">
        <f t="shared" si="3293"/>
        <v/>
      </c>
      <c r="FE228" s="43" t="str">
        <f t="shared" si="3294"/>
        <v/>
      </c>
      <c r="FF228" s="43" t="str">
        <f t="shared" si="3295"/>
        <v/>
      </c>
      <c r="FG228" s="43" t="str">
        <f t="shared" si="3296"/>
        <v/>
      </c>
      <c r="FH228" s="43" t="str">
        <f t="shared" si="3297"/>
        <v/>
      </c>
      <c r="FI228" s="43" t="str">
        <f t="shared" si="3298"/>
        <v/>
      </c>
      <c r="FJ228" s="43" t="str">
        <f t="shared" si="3299"/>
        <v/>
      </c>
      <c r="FK228" s="43" t="str">
        <f t="shared" si="3300"/>
        <v/>
      </c>
      <c r="FL228" s="43" t="str">
        <f t="shared" si="3301"/>
        <v/>
      </c>
      <c r="FM228" s="43" t="str">
        <f t="shared" si="3302"/>
        <v/>
      </c>
      <c r="FN228" s="43" t="str">
        <f t="shared" si="3303"/>
        <v/>
      </c>
      <c r="FO228" s="43" t="str">
        <f t="shared" si="3304"/>
        <v/>
      </c>
      <c r="FP228" s="43" t="str">
        <f t="shared" si="3305"/>
        <v/>
      </c>
      <c r="FQ228" s="43" t="str">
        <f t="shared" si="3306"/>
        <v/>
      </c>
      <c r="FR228" s="43" t="str">
        <f t="shared" si="3307"/>
        <v/>
      </c>
      <c r="FS228" s="43" t="str">
        <f t="shared" si="3308"/>
        <v/>
      </c>
    </row>
    <row r="229" s="6" customFormat="1" ht="15" spans="1:175">
      <c r="A229" s="100"/>
      <c r="B229" s="45"/>
      <c r="C229" s="100"/>
      <c r="D229" s="46"/>
      <c r="E229" s="47"/>
      <c r="F229" s="101"/>
      <c r="G229" s="102"/>
      <c r="H229" s="102"/>
      <c r="I229" s="102"/>
      <c r="J229" s="102"/>
      <c r="K229" s="102"/>
      <c r="L229" s="102"/>
      <c r="M229" s="102"/>
      <c r="N229" s="102"/>
      <c r="O229" s="102"/>
      <c r="P229" s="53"/>
      <c r="Q229" s="53"/>
      <c r="R229" s="53"/>
      <c r="S229" s="53"/>
      <c r="T229" s="62"/>
      <c r="U229" s="59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6"/>
      <c r="AS229" s="66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9" t="str">
        <f t="shared" si="3309"/>
        <v>InitUnitState('',,,,,,,,,,)</v>
      </c>
      <c r="CO229" s="69" t="str">
        <f t="shared" si="3310"/>
        <v>InitUnitNormal('',,,,,,,,,,)</v>
      </c>
      <c r="CP229" s="69" t="str">
        <f t="shared" si="3311"/>
        <v>InitUnitMagic('',,,,,,,,,,)</v>
      </c>
      <c r="CQ229" s="69" t="str">
        <f t="shared" si="3312"/>
        <v>InitUnitAdd('',,,,,,,,,,)</v>
      </c>
      <c r="CR229" s="69" t="str">
        <f t="shared" si="3166"/>
        <v>InitEquipData('',,"",,,,,'','','','','','',"")</v>
      </c>
      <c r="CS229" s="69"/>
      <c r="CT229" s="69"/>
      <c r="CU229" s="71" t="str">
        <f t="shared" si="3238"/>
        <v>|n</v>
      </c>
      <c r="CV229" s="5"/>
      <c r="DB229" s="43" t="str">
        <f t="shared" si="3239"/>
        <v/>
      </c>
      <c r="DC229" s="43" t="str">
        <f t="shared" si="3240"/>
        <v/>
      </c>
      <c r="DD229" s="43" t="str">
        <f t="shared" si="3241"/>
        <v/>
      </c>
      <c r="DE229" s="43" t="str">
        <f t="shared" si="3242"/>
        <v/>
      </c>
      <c r="DF229" s="43" t="str">
        <f t="shared" si="3243"/>
        <v/>
      </c>
      <c r="DG229" s="43" t="str">
        <f t="shared" si="3244"/>
        <v/>
      </c>
      <c r="DH229" s="43" t="str">
        <f t="shared" si="3245"/>
        <v/>
      </c>
      <c r="DI229" s="43" t="str">
        <f t="shared" si="3246"/>
        <v/>
      </c>
      <c r="DJ229" s="43" t="str">
        <f t="shared" si="3247"/>
        <v/>
      </c>
      <c r="DK229" s="43" t="str">
        <f t="shared" si="3248"/>
        <v/>
      </c>
      <c r="DL229" s="43" t="str">
        <f t="shared" si="3249"/>
        <v/>
      </c>
      <c r="DM229" s="43" t="str">
        <f t="shared" si="3250"/>
        <v/>
      </c>
      <c r="DN229" s="43" t="str">
        <f t="shared" si="3251"/>
        <v/>
      </c>
      <c r="DO229" s="43" t="str">
        <f t="shared" si="3252"/>
        <v/>
      </c>
      <c r="DP229" s="43" t="str">
        <f t="shared" si="3253"/>
        <v/>
      </c>
      <c r="DQ229" s="43" t="str">
        <f t="shared" si="3254"/>
        <v/>
      </c>
      <c r="DR229" s="43" t="str">
        <f t="shared" si="3255"/>
        <v/>
      </c>
      <c r="DS229" s="43" t="str">
        <f t="shared" si="3256"/>
        <v/>
      </c>
      <c r="DT229" s="43" t="str">
        <f t="shared" si="3257"/>
        <v/>
      </c>
      <c r="DU229" s="43" t="str">
        <f t="shared" si="3258"/>
        <v/>
      </c>
      <c r="DV229" s="43" t="str">
        <f t="shared" si="3259"/>
        <v/>
      </c>
      <c r="DW229" s="43" t="str">
        <f t="shared" si="3260"/>
        <v/>
      </c>
      <c r="DX229" s="43" t="str">
        <f t="shared" si="3261"/>
        <v/>
      </c>
      <c r="DY229" s="43" t="str">
        <f t="shared" si="3262"/>
        <v/>
      </c>
      <c r="DZ229" s="43" t="str">
        <f t="shared" si="3263"/>
        <v/>
      </c>
      <c r="EA229" s="43" t="str">
        <f t="shared" si="3264"/>
        <v/>
      </c>
      <c r="EB229" s="43" t="str">
        <f t="shared" si="3265"/>
        <v/>
      </c>
      <c r="EC229" s="43" t="str">
        <f t="shared" si="3266"/>
        <v/>
      </c>
      <c r="ED229" s="43" t="str">
        <f t="shared" si="3267"/>
        <v/>
      </c>
      <c r="EE229" s="43" t="str">
        <f t="shared" si="3268"/>
        <v/>
      </c>
      <c r="EF229" s="43" t="str">
        <f t="shared" si="3269"/>
        <v/>
      </c>
      <c r="EG229" s="43" t="str">
        <f t="shared" si="3270"/>
        <v/>
      </c>
      <c r="EH229" s="43" t="str">
        <f t="shared" si="3271"/>
        <v/>
      </c>
      <c r="EI229" s="43" t="str">
        <f t="shared" si="3272"/>
        <v/>
      </c>
      <c r="EJ229" s="43" t="str">
        <f t="shared" si="3273"/>
        <v/>
      </c>
      <c r="EK229" s="43" t="str">
        <f t="shared" si="3274"/>
        <v/>
      </c>
      <c r="EL229" s="43" t="str">
        <f t="shared" si="3275"/>
        <v/>
      </c>
      <c r="EM229" s="43" t="str">
        <f t="shared" si="3276"/>
        <v/>
      </c>
      <c r="EN229" s="43" t="str">
        <f t="shared" si="3277"/>
        <v/>
      </c>
      <c r="EO229" s="43" t="str">
        <f t="shared" si="3278"/>
        <v/>
      </c>
      <c r="EP229" s="43" t="str">
        <f t="shared" si="3279"/>
        <v/>
      </c>
      <c r="EQ229" s="43" t="str">
        <f t="shared" si="3280"/>
        <v/>
      </c>
      <c r="ER229" s="43" t="str">
        <f t="shared" si="3281"/>
        <v/>
      </c>
      <c r="ES229" s="43" t="str">
        <f t="shared" si="3282"/>
        <v/>
      </c>
      <c r="ET229" s="43" t="str">
        <f t="shared" si="3283"/>
        <v/>
      </c>
      <c r="EU229" s="43" t="str">
        <f t="shared" si="3284"/>
        <v/>
      </c>
      <c r="EV229" s="43" t="str">
        <f t="shared" si="3285"/>
        <v/>
      </c>
      <c r="EW229" s="43" t="str">
        <f t="shared" si="3286"/>
        <v/>
      </c>
      <c r="EX229" s="43" t="str">
        <f t="shared" si="3287"/>
        <v/>
      </c>
      <c r="EY229" s="43" t="str">
        <f t="shared" si="3288"/>
        <v/>
      </c>
      <c r="EZ229" s="43" t="str">
        <f t="shared" si="3289"/>
        <v/>
      </c>
      <c r="FA229" s="43" t="str">
        <f t="shared" si="3290"/>
        <v/>
      </c>
      <c r="FB229" s="43" t="str">
        <f t="shared" si="3291"/>
        <v/>
      </c>
      <c r="FC229" s="43" t="str">
        <f t="shared" si="3292"/>
        <v/>
      </c>
      <c r="FD229" s="43" t="str">
        <f t="shared" si="3293"/>
        <v/>
      </c>
      <c r="FE229" s="43" t="str">
        <f t="shared" si="3294"/>
        <v/>
      </c>
      <c r="FF229" s="43" t="str">
        <f t="shared" si="3295"/>
        <v/>
      </c>
      <c r="FG229" s="43" t="str">
        <f t="shared" si="3296"/>
        <v/>
      </c>
      <c r="FH229" s="43" t="str">
        <f t="shared" si="3297"/>
        <v/>
      </c>
      <c r="FI229" s="43" t="str">
        <f t="shared" si="3298"/>
        <v/>
      </c>
      <c r="FJ229" s="43" t="str">
        <f t="shared" si="3299"/>
        <v/>
      </c>
      <c r="FK229" s="43" t="str">
        <f t="shared" si="3300"/>
        <v/>
      </c>
      <c r="FL229" s="43" t="str">
        <f t="shared" si="3301"/>
        <v/>
      </c>
      <c r="FM229" s="43" t="str">
        <f t="shared" si="3302"/>
        <v/>
      </c>
      <c r="FN229" s="43" t="str">
        <f t="shared" si="3303"/>
        <v/>
      </c>
      <c r="FO229" s="43" t="str">
        <f t="shared" si="3304"/>
        <v/>
      </c>
      <c r="FP229" s="43" t="str">
        <f t="shared" si="3305"/>
        <v/>
      </c>
      <c r="FQ229" s="43" t="str">
        <f t="shared" si="3306"/>
        <v/>
      </c>
      <c r="FR229" s="43" t="str">
        <f t="shared" si="3307"/>
        <v/>
      </c>
      <c r="FS229" s="43" t="str">
        <f t="shared" si="3308"/>
        <v/>
      </c>
    </row>
    <row r="230" s="6" customFormat="1" ht="15" spans="1:175">
      <c r="A230" s="100"/>
      <c r="B230" s="45"/>
      <c r="C230" s="100"/>
      <c r="D230" s="46"/>
      <c r="E230" s="47"/>
      <c r="F230" s="101"/>
      <c r="G230" s="102"/>
      <c r="H230" s="102"/>
      <c r="I230" s="102"/>
      <c r="J230" s="102"/>
      <c r="K230" s="102"/>
      <c r="L230" s="102"/>
      <c r="M230" s="102"/>
      <c r="N230" s="102"/>
      <c r="O230" s="102"/>
      <c r="P230" s="53"/>
      <c r="Q230" s="53"/>
      <c r="R230" s="53"/>
      <c r="S230" s="53"/>
      <c r="T230" s="62"/>
      <c r="U230" s="59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6"/>
      <c r="AS230" s="66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9" t="str">
        <f t="shared" si="3309"/>
        <v>InitUnitState('',,,,,,,,,,)</v>
      </c>
      <c r="CO230" s="69" t="str">
        <f t="shared" si="3310"/>
        <v>InitUnitNormal('',,,,,,,,,,)</v>
      </c>
      <c r="CP230" s="69" t="str">
        <f t="shared" si="3311"/>
        <v>InitUnitMagic('',,,,,,,,,,)</v>
      </c>
      <c r="CQ230" s="69" t="str">
        <f t="shared" si="3312"/>
        <v>InitUnitAdd('',,,,,,,,,,)</v>
      </c>
      <c r="CR230" s="69" t="str">
        <f t="shared" si="3166"/>
        <v>InitEquipData('',,"",,,,,'','','','','','',"")</v>
      </c>
      <c r="CS230" s="69"/>
      <c r="CT230" s="69"/>
      <c r="CU230" s="71" t="str">
        <f t="shared" si="3238"/>
        <v>|n</v>
      </c>
      <c r="CV230" s="5"/>
      <c r="DB230" s="43" t="str">
        <f t="shared" si="3239"/>
        <v/>
      </c>
      <c r="DC230" s="43" t="str">
        <f t="shared" si="3240"/>
        <v/>
      </c>
      <c r="DD230" s="43" t="str">
        <f t="shared" si="3241"/>
        <v/>
      </c>
      <c r="DE230" s="43" t="str">
        <f t="shared" si="3242"/>
        <v/>
      </c>
      <c r="DF230" s="43" t="str">
        <f t="shared" si="3243"/>
        <v/>
      </c>
      <c r="DG230" s="43" t="str">
        <f t="shared" si="3244"/>
        <v/>
      </c>
      <c r="DH230" s="43" t="str">
        <f t="shared" si="3245"/>
        <v/>
      </c>
      <c r="DI230" s="43" t="str">
        <f t="shared" si="3246"/>
        <v/>
      </c>
      <c r="DJ230" s="43" t="str">
        <f t="shared" si="3247"/>
        <v/>
      </c>
      <c r="DK230" s="43" t="str">
        <f t="shared" si="3248"/>
        <v/>
      </c>
      <c r="DL230" s="43" t="str">
        <f t="shared" si="3249"/>
        <v/>
      </c>
      <c r="DM230" s="43" t="str">
        <f t="shared" si="3250"/>
        <v/>
      </c>
      <c r="DN230" s="43" t="str">
        <f t="shared" si="3251"/>
        <v/>
      </c>
      <c r="DO230" s="43" t="str">
        <f t="shared" si="3252"/>
        <v/>
      </c>
      <c r="DP230" s="43" t="str">
        <f t="shared" si="3253"/>
        <v/>
      </c>
      <c r="DQ230" s="43" t="str">
        <f t="shared" si="3254"/>
        <v/>
      </c>
      <c r="DR230" s="43" t="str">
        <f t="shared" si="3255"/>
        <v/>
      </c>
      <c r="DS230" s="43" t="str">
        <f t="shared" si="3256"/>
        <v/>
      </c>
      <c r="DT230" s="43" t="str">
        <f t="shared" si="3257"/>
        <v/>
      </c>
      <c r="DU230" s="43" t="str">
        <f t="shared" si="3258"/>
        <v/>
      </c>
      <c r="DV230" s="43" t="str">
        <f t="shared" si="3259"/>
        <v/>
      </c>
      <c r="DW230" s="43" t="str">
        <f t="shared" si="3260"/>
        <v/>
      </c>
      <c r="DX230" s="43" t="str">
        <f t="shared" si="3261"/>
        <v/>
      </c>
      <c r="DY230" s="43" t="str">
        <f t="shared" si="3262"/>
        <v/>
      </c>
      <c r="DZ230" s="43" t="str">
        <f t="shared" si="3263"/>
        <v/>
      </c>
      <c r="EA230" s="43" t="str">
        <f t="shared" si="3264"/>
        <v/>
      </c>
      <c r="EB230" s="43" t="str">
        <f t="shared" si="3265"/>
        <v/>
      </c>
      <c r="EC230" s="43" t="str">
        <f t="shared" si="3266"/>
        <v/>
      </c>
      <c r="ED230" s="43" t="str">
        <f t="shared" si="3267"/>
        <v/>
      </c>
      <c r="EE230" s="43" t="str">
        <f t="shared" si="3268"/>
        <v/>
      </c>
      <c r="EF230" s="43" t="str">
        <f t="shared" si="3269"/>
        <v/>
      </c>
      <c r="EG230" s="43" t="str">
        <f t="shared" si="3270"/>
        <v/>
      </c>
      <c r="EH230" s="43" t="str">
        <f t="shared" si="3271"/>
        <v/>
      </c>
      <c r="EI230" s="43" t="str">
        <f t="shared" si="3272"/>
        <v/>
      </c>
      <c r="EJ230" s="43" t="str">
        <f t="shared" si="3273"/>
        <v/>
      </c>
      <c r="EK230" s="43" t="str">
        <f t="shared" si="3274"/>
        <v/>
      </c>
      <c r="EL230" s="43" t="str">
        <f t="shared" si="3275"/>
        <v/>
      </c>
      <c r="EM230" s="43" t="str">
        <f t="shared" si="3276"/>
        <v/>
      </c>
      <c r="EN230" s="43" t="str">
        <f t="shared" si="3277"/>
        <v/>
      </c>
      <c r="EO230" s="43" t="str">
        <f t="shared" si="3278"/>
        <v/>
      </c>
      <c r="EP230" s="43" t="str">
        <f t="shared" si="3279"/>
        <v/>
      </c>
      <c r="EQ230" s="43" t="str">
        <f t="shared" si="3280"/>
        <v/>
      </c>
      <c r="ER230" s="43" t="str">
        <f t="shared" si="3281"/>
        <v/>
      </c>
      <c r="ES230" s="43" t="str">
        <f t="shared" si="3282"/>
        <v/>
      </c>
      <c r="ET230" s="43" t="str">
        <f t="shared" si="3283"/>
        <v/>
      </c>
      <c r="EU230" s="43" t="str">
        <f t="shared" si="3284"/>
        <v/>
      </c>
      <c r="EV230" s="43" t="str">
        <f t="shared" si="3285"/>
        <v/>
      </c>
      <c r="EW230" s="43" t="str">
        <f t="shared" si="3286"/>
        <v/>
      </c>
      <c r="EX230" s="43" t="str">
        <f t="shared" si="3287"/>
        <v/>
      </c>
      <c r="EY230" s="43" t="str">
        <f t="shared" si="3288"/>
        <v/>
      </c>
      <c r="EZ230" s="43" t="str">
        <f t="shared" si="3289"/>
        <v/>
      </c>
      <c r="FA230" s="43" t="str">
        <f t="shared" si="3290"/>
        <v/>
      </c>
      <c r="FB230" s="43" t="str">
        <f t="shared" si="3291"/>
        <v/>
      </c>
      <c r="FC230" s="43" t="str">
        <f t="shared" si="3292"/>
        <v/>
      </c>
      <c r="FD230" s="43" t="str">
        <f t="shared" si="3293"/>
        <v/>
      </c>
      <c r="FE230" s="43" t="str">
        <f t="shared" si="3294"/>
        <v/>
      </c>
      <c r="FF230" s="43" t="str">
        <f t="shared" si="3295"/>
        <v/>
      </c>
      <c r="FG230" s="43" t="str">
        <f t="shared" si="3296"/>
        <v/>
      </c>
      <c r="FH230" s="43" t="str">
        <f t="shared" si="3297"/>
        <v/>
      </c>
      <c r="FI230" s="43" t="str">
        <f t="shared" si="3298"/>
        <v/>
      </c>
      <c r="FJ230" s="43" t="str">
        <f t="shared" si="3299"/>
        <v/>
      </c>
      <c r="FK230" s="43" t="str">
        <f t="shared" si="3300"/>
        <v/>
      </c>
      <c r="FL230" s="43" t="str">
        <f t="shared" si="3301"/>
        <v/>
      </c>
      <c r="FM230" s="43" t="str">
        <f t="shared" si="3302"/>
        <v/>
      </c>
      <c r="FN230" s="43" t="str">
        <f t="shared" si="3303"/>
        <v/>
      </c>
      <c r="FO230" s="43" t="str">
        <f t="shared" si="3304"/>
        <v/>
      </c>
      <c r="FP230" s="43" t="str">
        <f t="shared" si="3305"/>
        <v/>
      </c>
      <c r="FQ230" s="43" t="str">
        <f t="shared" si="3306"/>
        <v/>
      </c>
      <c r="FR230" s="43" t="str">
        <f t="shared" si="3307"/>
        <v/>
      </c>
      <c r="FS230" s="43" t="str">
        <f t="shared" si="3308"/>
        <v/>
      </c>
    </row>
    <row r="231" s="6" customFormat="1" ht="15" spans="1:175">
      <c r="A231" s="100"/>
      <c r="B231" s="45"/>
      <c r="C231" s="100"/>
      <c r="D231" s="46"/>
      <c r="E231" s="47"/>
      <c r="F231" s="101"/>
      <c r="G231" s="102"/>
      <c r="H231" s="102"/>
      <c r="I231" s="102"/>
      <c r="J231" s="102"/>
      <c r="K231" s="102"/>
      <c r="L231" s="102"/>
      <c r="M231" s="102"/>
      <c r="N231" s="102"/>
      <c r="O231" s="102"/>
      <c r="P231" s="53"/>
      <c r="Q231" s="53"/>
      <c r="R231" s="53"/>
      <c r="S231" s="53"/>
      <c r="T231" s="62"/>
      <c r="U231" s="59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6"/>
      <c r="AS231" s="66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9" t="str">
        <f t="shared" si="3309"/>
        <v>InitUnitState('',,,,,,,,,,)</v>
      </c>
      <c r="CO231" s="69" t="str">
        <f t="shared" si="3310"/>
        <v>InitUnitNormal('',,,,,,,,,,)</v>
      </c>
      <c r="CP231" s="69" t="str">
        <f t="shared" si="3311"/>
        <v>InitUnitMagic('',,,,,,,,,,)</v>
      </c>
      <c r="CQ231" s="69" t="str">
        <f t="shared" si="3312"/>
        <v>InitUnitAdd('',,,,,,,,,,)</v>
      </c>
      <c r="CR231" s="69" t="str">
        <f t="shared" si="3166"/>
        <v>InitEquipData('',,"",,,,,'','','','','','',"")</v>
      </c>
      <c r="CS231" s="69"/>
      <c r="CT231" s="69"/>
      <c r="CU231" s="71" t="str">
        <f t="shared" si="3238"/>
        <v>|n</v>
      </c>
      <c r="CV231" s="5"/>
      <c r="DB231" s="43" t="str">
        <f t="shared" si="3239"/>
        <v/>
      </c>
      <c r="DC231" s="43" t="str">
        <f t="shared" si="3240"/>
        <v/>
      </c>
      <c r="DD231" s="43" t="str">
        <f t="shared" si="3241"/>
        <v/>
      </c>
      <c r="DE231" s="43" t="str">
        <f t="shared" si="3242"/>
        <v/>
      </c>
      <c r="DF231" s="43" t="str">
        <f t="shared" si="3243"/>
        <v/>
      </c>
      <c r="DG231" s="43" t="str">
        <f t="shared" si="3244"/>
        <v/>
      </c>
      <c r="DH231" s="43" t="str">
        <f t="shared" si="3245"/>
        <v/>
      </c>
      <c r="DI231" s="43" t="str">
        <f t="shared" si="3246"/>
        <v/>
      </c>
      <c r="DJ231" s="43" t="str">
        <f t="shared" si="3247"/>
        <v/>
      </c>
      <c r="DK231" s="43" t="str">
        <f t="shared" si="3248"/>
        <v/>
      </c>
      <c r="DL231" s="43" t="str">
        <f t="shared" si="3249"/>
        <v/>
      </c>
      <c r="DM231" s="43" t="str">
        <f t="shared" si="3250"/>
        <v/>
      </c>
      <c r="DN231" s="43" t="str">
        <f t="shared" si="3251"/>
        <v/>
      </c>
      <c r="DO231" s="43" t="str">
        <f t="shared" si="3252"/>
        <v/>
      </c>
      <c r="DP231" s="43" t="str">
        <f t="shared" si="3253"/>
        <v/>
      </c>
      <c r="DQ231" s="43" t="str">
        <f t="shared" si="3254"/>
        <v/>
      </c>
      <c r="DR231" s="43" t="str">
        <f t="shared" si="3255"/>
        <v/>
      </c>
      <c r="DS231" s="43" t="str">
        <f t="shared" si="3256"/>
        <v/>
      </c>
      <c r="DT231" s="43" t="str">
        <f t="shared" si="3257"/>
        <v/>
      </c>
      <c r="DU231" s="43" t="str">
        <f t="shared" si="3258"/>
        <v/>
      </c>
      <c r="DV231" s="43" t="str">
        <f t="shared" si="3259"/>
        <v/>
      </c>
      <c r="DW231" s="43" t="str">
        <f t="shared" si="3260"/>
        <v/>
      </c>
      <c r="DX231" s="43" t="str">
        <f t="shared" si="3261"/>
        <v/>
      </c>
      <c r="DY231" s="43" t="str">
        <f t="shared" si="3262"/>
        <v/>
      </c>
      <c r="DZ231" s="43" t="str">
        <f t="shared" si="3263"/>
        <v/>
      </c>
      <c r="EA231" s="43" t="str">
        <f t="shared" si="3264"/>
        <v/>
      </c>
      <c r="EB231" s="43" t="str">
        <f t="shared" si="3265"/>
        <v/>
      </c>
      <c r="EC231" s="43" t="str">
        <f t="shared" si="3266"/>
        <v/>
      </c>
      <c r="ED231" s="43" t="str">
        <f t="shared" si="3267"/>
        <v/>
      </c>
      <c r="EE231" s="43" t="str">
        <f t="shared" si="3268"/>
        <v/>
      </c>
      <c r="EF231" s="43" t="str">
        <f t="shared" si="3269"/>
        <v/>
      </c>
      <c r="EG231" s="43" t="str">
        <f t="shared" si="3270"/>
        <v/>
      </c>
      <c r="EH231" s="43" t="str">
        <f t="shared" si="3271"/>
        <v/>
      </c>
      <c r="EI231" s="43" t="str">
        <f t="shared" si="3272"/>
        <v/>
      </c>
      <c r="EJ231" s="43" t="str">
        <f t="shared" si="3273"/>
        <v/>
      </c>
      <c r="EK231" s="43" t="str">
        <f t="shared" si="3274"/>
        <v/>
      </c>
      <c r="EL231" s="43" t="str">
        <f t="shared" si="3275"/>
        <v/>
      </c>
      <c r="EM231" s="43" t="str">
        <f t="shared" si="3276"/>
        <v/>
      </c>
      <c r="EN231" s="43" t="str">
        <f t="shared" si="3277"/>
        <v/>
      </c>
      <c r="EO231" s="43" t="str">
        <f t="shared" si="3278"/>
        <v/>
      </c>
      <c r="EP231" s="43" t="str">
        <f t="shared" si="3279"/>
        <v/>
      </c>
      <c r="EQ231" s="43" t="str">
        <f t="shared" si="3280"/>
        <v/>
      </c>
      <c r="ER231" s="43" t="str">
        <f t="shared" si="3281"/>
        <v/>
      </c>
      <c r="ES231" s="43" t="str">
        <f t="shared" si="3282"/>
        <v/>
      </c>
      <c r="ET231" s="43" t="str">
        <f t="shared" si="3283"/>
        <v/>
      </c>
      <c r="EU231" s="43" t="str">
        <f t="shared" si="3284"/>
        <v/>
      </c>
      <c r="EV231" s="43" t="str">
        <f t="shared" si="3285"/>
        <v/>
      </c>
      <c r="EW231" s="43" t="str">
        <f t="shared" si="3286"/>
        <v/>
      </c>
      <c r="EX231" s="43" t="str">
        <f t="shared" si="3287"/>
        <v/>
      </c>
      <c r="EY231" s="43" t="str">
        <f t="shared" si="3288"/>
        <v/>
      </c>
      <c r="EZ231" s="43" t="str">
        <f t="shared" si="3289"/>
        <v/>
      </c>
      <c r="FA231" s="43" t="str">
        <f t="shared" si="3290"/>
        <v/>
      </c>
      <c r="FB231" s="43" t="str">
        <f t="shared" si="3291"/>
        <v/>
      </c>
      <c r="FC231" s="43" t="str">
        <f t="shared" si="3292"/>
        <v/>
      </c>
      <c r="FD231" s="43" t="str">
        <f t="shared" si="3293"/>
        <v/>
      </c>
      <c r="FE231" s="43" t="str">
        <f t="shared" si="3294"/>
        <v/>
      </c>
      <c r="FF231" s="43" t="str">
        <f t="shared" si="3295"/>
        <v/>
      </c>
      <c r="FG231" s="43" t="str">
        <f t="shared" si="3296"/>
        <v/>
      </c>
      <c r="FH231" s="43" t="str">
        <f t="shared" si="3297"/>
        <v/>
      </c>
      <c r="FI231" s="43" t="str">
        <f t="shared" si="3298"/>
        <v/>
      </c>
      <c r="FJ231" s="43" t="str">
        <f t="shared" si="3299"/>
        <v/>
      </c>
      <c r="FK231" s="43" t="str">
        <f t="shared" si="3300"/>
        <v/>
      </c>
      <c r="FL231" s="43" t="str">
        <f t="shared" si="3301"/>
        <v/>
      </c>
      <c r="FM231" s="43" t="str">
        <f t="shared" si="3302"/>
        <v/>
      </c>
      <c r="FN231" s="43" t="str">
        <f t="shared" si="3303"/>
        <v/>
      </c>
      <c r="FO231" s="43" t="str">
        <f t="shared" si="3304"/>
        <v/>
      </c>
      <c r="FP231" s="43" t="str">
        <f t="shared" si="3305"/>
        <v/>
      </c>
      <c r="FQ231" s="43" t="str">
        <f t="shared" si="3306"/>
        <v/>
      </c>
      <c r="FR231" s="43" t="str">
        <f t="shared" si="3307"/>
        <v/>
      </c>
      <c r="FS231" s="43" t="str">
        <f t="shared" si="3308"/>
        <v/>
      </c>
    </row>
    <row r="232" s="6" customFormat="1" ht="15" spans="1:175">
      <c r="A232" s="100"/>
      <c r="B232" s="45"/>
      <c r="C232" s="100"/>
      <c r="D232" s="46"/>
      <c r="E232" s="47"/>
      <c r="F232" s="101"/>
      <c r="G232" s="102"/>
      <c r="H232" s="102"/>
      <c r="I232" s="102"/>
      <c r="J232" s="102"/>
      <c r="K232" s="102"/>
      <c r="L232" s="102"/>
      <c r="M232" s="102"/>
      <c r="N232" s="102"/>
      <c r="O232" s="102"/>
      <c r="P232" s="53"/>
      <c r="Q232" s="53"/>
      <c r="R232" s="53"/>
      <c r="S232" s="53"/>
      <c r="T232" s="62"/>
      <c r="U232" s="59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6"/>
      <c r="AS232" s="66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9" t="str">
        <f t="shared" si="3309"/>
        <v>InitUnitState('',,,,,,,,,,)</v>
      </c>
      <c r="CO232" s="69" t="str">
        <f t="shared" si="3310"/>
        <v>InitUnitNormal('',,,,,,,,,,)</v>
      </c>
      <c r="CP232" s="69" t="str">
        <f t="shared" si="3311"/>
        <v>InitUnitMagic('',,,,,,,,,,)</v>
      </c>
      <c r="CQ232" s="69" t="str">
        <f t="shared" si="3312"/>
        <v>InitUnitAdd('',,,,,,,,,,)</v>
      </c>
      <c r="CR232" s="69" t="str">
        <f t="shared" si="3166"/>
        <v>InitEquipData('',,"",,,,,'','','','','','',"")</v>
      </c>
      <c r="CS232" s="69"/>
      <c r="CT232" s="69"/>
      <c r="CU232" s="71" t="str">
        <f t="shared" si="3238"/>
        <v>|n</v>
      </c>
      <c r="CV232" s="5"/>
      <c r="DB232" s="43" t="str">
        <f t="shared" si="3239"/>
        <v/>
      </c>
      <c r="DC232" s="43" t="str">
        <f t="shared" si="3240"/>
        <v/>
      </c>
      <c r="DD232" s="43" t="str">
        <f t="shared" si="3241"/>
        <v/>
      </c>
      <c r="DE232" s="43" t="str">
        <f t="shared" si="3242"/>
        <v/>
      </c>
      <c r="DF232" s="43" t="str">
        <f t="shared" si="3243"/>
        <v/>
      </c>
      <c r="DG232" s="43" t="str">
        <f t="shared" si="3244"/>
        <v/>
      </c>
      <c r="DH232" s="43" t="str">
        <f t="shared" si="3245"/>
        <v/>
      </c>
      <c r="DI232" s="43" t="str">
        <f t="shared" si="3246"/>
        <v/>
      </c>
      <c r="DJ232" s="43" t="str">
        <f t="shared" si="3247"/>
        <v/>
      </c>
      <c r="DK232" s="43" t="str">
        <f t="shared" si="3248"/>
        <v/>
      </c>
      <c r="DL232" s="43" t="str">
        <f t="shared" si="3249"/>
        <v/>
      </c>
      <c r="DM232" s="43" t="str">
        <f t="shared" si="3250"/>
        <v/>
      </c>
      <c r="DN232" s="43" t="str">
        <f t="shared" si="3251"/>
        <v/>
      </c>
      <c r="DO232" s="43" t="str">
        <f t="shared" si="3252"/>
        <v/>
      </c>
      <c r="DP232" s="43" t="str">
        <f t="shared" si="3253"/>
        <v/>
      </c>
      <c r="DQ232" s="43" t="str">
        <f t="shared" si="3254"/>
        <v/>
      </c>
      <c r="DR232" s="43" t="str">
        <f t="shared" si="3255"/>
        <v/>
      </c>
      <c r="DS232" s="43" t="str">
        <f t="shared" si="3256"/>
        <v/>
      </c>
      <c r="DT232" s="43" t="str">
        <f t="shared" si="3257"/>
        <v/>
      </c>
      <c r="DU232" s="43" t="str">
        <f t="shared" si="3258"/>
        <v/>
      </c>
      <c r="DV232" s="43" t="str">
        <f t="shared" si="3259"/>
        <v/>
      </c>
      <c r="DW232" s="43" t="str">
        <f t="shared" si="3260"/>
        <v/>
      </c>
      <c r="DX232" s="43" t="str">
        <f t="shared" si="3261"/>
        <v/>
      </c>
      <c r="DY232" s="43" t="str">
        <f t="shared" si="3262"/>
        <v/>
      </c>
      <c r="DZ232" s="43" t="str">
        <f t="shared" si="3263"/>
        <v/>
      </c>
      <c r="EA232" s="43" t="str">
        <f t="shared" si="3264"/>
        <v/>
      </c>
      <c r="EB232" s="43" t="str">
        <f t="shared" si="3265"/>
        <v/>
      </c>
      <c r="EC232" s="43" t="str">
        <f t="shared" si="3266"/>
        <v/>
      </c>
      <c r="ED232" s="43" t="str">
        <f t="shared" si="3267"/>
        <v/>
      </c>
      <c r="EE232" s="43" t="str">
        <f t="shared" si="3268"/>
        <v/>
      </c>
      <c r="EF232" s="43" t="str">
        <f t="shared" si="3269"/>
        <v/>
      </c>
      <c r="EG232" s="43" t="str">
        <f t="shared" si="3270"/>
        <v/>
      </c>
      <c r="EH232" s="43" t="str">
        <f t="shared" si="3271"/>
        <v/>
      </c>
      <c r="EI232" s="43" t="str">
        <f t="shared" si="3272"/>
        <v/>
      </c>
      <c r="EJ232" s="43" t="str">
        <f t="shared" si="3273"/>
        <v/>
      </c>
      <c r="EK232" s="43" t="str">
        <f t="shared" si="3274"/>
        <v/>
      </c>
      <c r="EL232" s="43" t="str">
        <f t="shared" si="3275"/>
        <v/>
      </c>
      <c r="EM232" s="43" t="str">
        <f t="shared" si="3276"/>
        <v/>
      </c>
      <c r="EN232" s="43" t="str">
        <f t="shared" si="3277"/>
        <v/>
      </c>
      <c r="EO232" s="43" t="str">
        <f t="shared" si="3278"/>
        <v/>
      </c>
      <c r="EP232" s="43" t="str">
        <f t="shared" si="3279"/>
        <v/>
      </c>
      <c r="EQ232" s="43" t="str">
        <f t="shared" si="3280"/>
        <v/>
      </c>
      <c r="ER232" s="43" t="str">
        <f t="shared" si="3281"/>
        <v/>
      </c>
      <c r="ES232" s="43" t="str">
        <f t="shared" si="3282"/>
        <v/>
      </c>
      <c r="ET232" s="43" t="str">
        <f t="shared" si="3283"/>
        <v/>
      </c>
      <c r="EU232" s="43" t="str">
        <f t="shared" si="3284"/>
        <v/>
      </c>
      <c r="EV232" s="43" t="str">
        <f t="shared" si="3285"/>
        <v/>
      </c>
      <c r="EW232" s="43" t="str">
        <f t="shared" si="3286"/>
        <v/>
      </c>
      <c r="EX232" s="43" t="str">
        <f t="shared" si="3287"/>
        <v/>
      </c>
      <c r="EY232" s="43" t="str">
        <f t="shared" si="3288"/>
        <v/>
      </c>
      <c r="EZ232" s="43" t="str">
        <f t="shared" si="3289"/>
        <v/>
      </c>
      <c r="FA232" s="43" t="str">
        <f t="shared" si="3290"/>
        <v/>
      </c>
      <c r="FB232" s="43" t="str">
        <f t="shared" si="3291"/>
        <v/>
      </c>
      <c r="FC232" s="43" t="str">
        <f t="shared" si="3292"/>
        <v/>
      </c>
      <c r="FD232" s="43" t="str">
        <f t="shared" si="3293"/>
        <v/>
      </c>
      <c r="FE232" s="43" t="str">
        <f t="shared" si="3294"/>
        <v/>
      </c>
      <c r="FF232" s="43" t="str">
        <f t="shared" si="3295"/>
        <v/>
      </c>
      <c r="FG232" s="43" t="str">
        <f t="shared" si="3296"/>
        <v/>
      </c>
      <c r="FH232" s="43" t="str">
        <f t="shared" si="3297"/>
        <v/>
      </c>
      <c r="FI232" s="43" t="str">
        <f t="shared" si="3298"/>
        <v/>
      </c>
      <c r="FJ232" s="43" t="str">
        <f t="shared" si="3299"/>
        <v/>
      </c>
      <c r="FK232" s="43" t="str">
        <f t="shared" si="3300"/>
        <v/>
      </c>
      <c r="FL232" s="43" t="str">
        <f t="shared" si="3301"/>
        <v/>
      </c>
      <c r="FM232" s="43" t="str">
        <f t="shared" si="3302"/>
        <v/>
      </c>
      <c r="FN232" s="43" t="str">
        <f t="shared" si="3303"/>
        <v/>
      </c>
      <c r="FO232" s="43" t="str">
        <f t="shared" si="3304"/>
        <v/>
      </c>
      <c r="FP232" s="43" t="str">
        <f t="shared" si="3305"/>
        <v/>
      </c>
      <c r="FQ232" s="43" t="str">
        <f t="shared" si="3306"/>
        <v/>
      </c>
      <c r="FR232" s="43" t="str">
        <f t="shared" si="3307"/>
        <v/>
      </c>
      <c r="FS232" s="43" t="str">
        <f t="shared" si="3308"/>
        <v/>
      </c>
    </row>
    <row r="233" s="6" customFormat="1" ht="15" spans="1:175">
      <c r="A233" s="100"/>
      <c r="B233" s="45"/>
      <c r="C233" s="100"/>
      <c r="D233" s="46"/>
      <c r="E233" s="47"/>
      <c r="F233" s="101"/>
      <c r="G233" s="102"/>
      <c r="H233" s="102"/>
      <c r="I233" s="102"/>
      <c r="J233" s="102"/>
      <c r="K233" s="102"/>
      <c r="L233" s="102"/>
      <c r="M233" s="102"/>
      <c r="N233" s="102"/>
      <c r="O233" s="102"/>
      <c r="P233" s="53"/>
      <c r="Q233" s="53"/>
      <c r="R233" s="53"/>
      <c r="S233" s="53"/>
      <c r="T233" s="62"/>
      <c r="U233" s="59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6"/>
      <c r="AS233" s="66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9" t="str">
        <f t="shared" si="3309"/>
        <v>InitUnitState('',,,,,,,,,,)</v>
      </c>
      <c r="CO233" s="69" t="str">
        <f t="shared" si="3310"/>
        <v>InitUnitNormal('',,,,,,,,,,)</v>
      </c>
      <c r="CP233" s="69" t="str">
        <f t="shared" si="3311"/>
        <v>InitUnitMagic('',,,,,,,,,,)</v>
      </c>
      <c r="CQ233" s="69" t="str">
        <f t="shared" si="3312"/>
        <v>InitUnitAdd('',,,,,,,,,,)</v>
      </c>
      <c r="CR233" s="69" t="str">
        <f t="shared" si="3166"/>
        <v>InitEquipData('',,"",,,,,'','','','','','',"")</v>
      </c>
      <c r="CS233" s="69"/>
      <c r="CT233" s="69"/>
      <c r="CU233" s="71" t="str">
        <f t="shared" si="3238"/>
        <v>|n</v>
      </c>
      <c r="CV233" s="5"/>
      <c r="DB233" s="43" t="str">
        <f t="shared" si="3239"/>
        <v/>
      </c>
      <c r="DC233" s="43" t="str">
        <f t="shared" si="3240"/>
        <v/>
      </c>
      <c r="DD233" s="43" t="str">
        <f t="shared" si="3241"/>
        <v/>
      </c>
      <c r="DE233" s="43" t="str">
        <f t="shared" si="3242"/>
        <v/>
      </c>
      <c r="DF233" s="43" t="str">
        <f t="shared" si="3243"/>
        <v/>
      </c>
      <c r="DG233" s="43" t="str">
        <f t="shared" si="3244"/>
        <v/>
      </c>
      <c r="DH233" s="43" t="str">
        <f t="shared" si="3245"/>
        <v/>
      </c>
      <c r="DI233" s="43" t="str">
        <f t="shared" si="3246"/>
        <v/>
      </c>
      <c r="DJ233" s="43" t="str">
        <f t="shared" si="3247"/>
        <v/>
      </c>
      <c r="DK233" s="43" t="str">
        <f t="shared" si="3248"/>
        <v/>
      </c>
      <c r="DL233" s="43" t="str">
        <f t="shared" si="3249"/>
        <v/>
      </c>
      <c r="DM233" s="43" t="str">
        <f t="shared" si="3250"/>
        <v/>
      </c>
      <c r="DN233" s="43" t="str">
        <f t="shared" si="3251"/>
        <v/>
      </c>
      <c r="DO233" s="43" t="str">
        <f t="shared" si="3252"/>
        <v/>
      </c>
      <c r="DP233" s="43" t="str">
        <f t="shared" si="3253"/>
        <v/>
      </c>
      <c r="DQ233" s="43" t="str">
        <f t="shared" si="3254"/>
        <v/>
      </c>
      <c r="DR233" s="43" t="str">
        <f t="shared" si="3255"/>
        <v/>
      </c>
      <c r="DS233" s="43" t="str">
        <f t="shared" si="3256"/>
        <v/>
      </c>
      <c r="DT233" s="43" t="str">
        <f t="shared" si="3257"/>
        <v/>
      </c>
      <c r="DU233" s="43" t="str">
        <f t="shared" si="3258"/>
        <v/>
      </c>
      <c r="DV233" s="43" t="str">
        <f t="shared" si="3259"/>
        <v/>
      </c>
      <c r="DW233" s="43" t="str">
        <f t="shared" si="3260"/>
        <v/>
      </c>
      <c r="DX233" s="43" t="str">
        <f t="shared" si="3261"/>
        <v/>
      </c>
      <c r="DY233" s="43" t="str">
        <f t="shared" si="3262"/>
        <v/>
      </c>
      <c r="DZ233" s="43" t="str">
        <f t="shared" si="3263"/>
        <v/>
      </c>
      <c r="EA233" s="43" t="str">
        <f t="shared" si="3264"/>
        <v/>
      </c>
      <c r="EB233" s="43" t="str">
        <f t="shared" si="3265"/>
        <v/>
      </c>
      <c r="EC233" s="43" t="str">
        <f t="shared" si="3266"/>
        <v/>
      </c>
      <c r="ED233" s="43" t="str">
        <f t="shared" si="3267"/>
        <v/>
      </c>
      <c r="EE233" s="43" t="str">
        <f t="shared" si="3268"/>
        <v/>
      </c>
      <c r="EF233" s="43" t="str">
        <f t="shared" si="3269"/>
        <v/>
      </c>
      <c r="EG233" s="43" t="str">
        <f t="shared" si="3270"/>
        <v/>
      </c>
      <c r="EH233" s="43" t="str">
        <f t="shared" si="3271"/>
        <v/>
      </c>
      <c r="EI233" s="43" t="str">
        <f t="shared" si="3272"/>
        <v/>
      </c>
      <c r="EJ233" s="43" t="str">
        <f t="shared" si="3273"/>
        <v/>
      </c>
      <c r="EK233" s="43" t="str">
        <f t="shared" si="3274"/>
        <v/>
      </c>
      <c r="EL233" s="43" t="str">
        <f t="shared" si="3275"/>
        <v/>
      </c>
      <c r="EM233" s="43" t="str">
        <f t="shared" si="3276"/>
        <v/>
      </c>
      <c r="EN233" s="43" t="str">
        <f t="shared" si="3277"/>
        <v/>
      </c>
      <c r="EO233" s="43" t="str">
        <f t="shared" si="3278"/>
        <v/>
      </c>
      <c r="EP233" s="43" t="str">
        <f t="shared" si="3279"/>
        <v/>
      </c>
      <c r="EQ233" s="43" t="str">
        <f t="shared" si="3280"/>
        <v/>
      </c>
      <c r="ER233" s="43" t="str">
        <f t="shared" si="3281"/>
        <v/>
      </c>
      <c r="ES233" s="43" t="str">
        <f t="shared" si="3282"/>
        <v/>
      </c>
      <c r="ET233" s="43" t="str">
        <f t="shared" si="3283"/>
        <v/>
      </c>
      <c r="EU233" s="43" t="str">
        <f t="shared" si="3284"/>
        <v/>
      </c>
      <c r="EV233" s="43" t="str">
        <f t="shared" si="3285"/>
        <v/>
      </c>
      <c r="EW233" s="43" t="str">
        <f t="shared" si="3286"/>
        <v/>
      </c>
      <c r="EX233" s="43" t="str">
        <f t="shared" si="3287"/>
        <v/>
      </c>
      <c r="EY233" s="43" t="str">
        <f t="shared" si="3288"/>
        <v/>
      </c>
      <c r="EZ233" s="43" t="str">
        <f t="shared" si="3289"/>
        <v/>
      </c>
      <c r="FA233" s="43" t="str">
        <f t="shared" si="3290"/>
        <v/>
      </c>
      <c r="FB233" s="43" t="str">
        <f t="shared" si="3291"/>
        <v/>
      </c>
      <c r="FC233" s="43" t="str">
        <f t="shared" si="3292"/>
        <v/>
      </c>
      <c r="FD233" s="43" t="str">
        <f t="shared" si="3293"/>
        <v/>
      </c>
      <c r="FE233" s="43" t="str">
        <f t="shared" si="3294"/>
        <v/>
      </c>
      <c r="FF233" s="43" t="str">
        <f t="shared" si="3295"/>
        <v/>
      </c>
      <c r="FG233" s="43" t="str">
        <f t="shared" si="3296"/>
        <v/>
      </c>
      <c r="FH233" s="43" t="str">
        <f t="shared" si="3297"/>
        <v/>
      </c>
      <c r="FI233" s="43" t="str">
        <f t="shared" si="3298"/>
        <v/>
      </c>
      <c r="FJ233" s="43" t="str">
        <f t="shared" si="3299"/>
        <v/>
      </c>
      <c r="FK233" s="43" t="str">
        <f t="shared" si="3300"/>
        <v/>
      </c>
      <c r="FL233" s="43" t="str">
        <f t="shared" si="3301"/>
        <v/>
      </c>
      <c r="FM233" s="43" t="str">
        <f t="shared" si="3302"/>
        <v/>
      </c>
      <c r="FN233" s="43" t="str">
        <f t="shared" si="3303"/>
        <v/>
      </c>
      <c r="FO233" s="43" t="str">
        <f t="shared" si="3304"/>
        <v/>
      </c>
      <c r="FP233" s="43" t="str">
        <f t="shared" si="3305"/>
        <v/>
      </c>
      <c r="FQ233" s="43" t="str">
        <f t="shared" si="3306"/>
        <v/>
      </c>
      <c r="FR233" s="43" t="str">
        <f t="shared" si="3307"/>
        <v/>
      </c>
      <c r="FS233" s="43" t="str">
        <f t="shared" si="3308"/>
        <v/>
      </c>
    </row>
    <row r="234" s="6" customFormat="1" ht="15" spans="1:175">
      <c r="A234" s="100"/>
      <c r="B234" s="45"/>
      <c r="C234" s="100"/>
      <c r="D234" s="46"/>
      <c r="E234" s="47"/>
      <c r="F234" s="101"/>
      <c r="G234" s="102"/>
      <c r="H234" s="102"/>
      <c r="I234" s="102"/>
      <c r="J234" s="102"/>
      <c r="K234" s="102"/>
      <c r="L234" s="102"/>
      <c r="M234" s="102"/>
      <c r="N234" s="102"/>
      <c r="O234" s="102"/>
      <c r="P234" s="53"/>
      <c r="Q234" s="53"/>
      <c r="R234" s="53"/>
      <c r="S234" s="53"/>
      <c r="T234" s="62"/>
      <c r="U234" s="59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6"/>
      <c r="AS234" s="66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9" t="str">
        <f t="shared" si="3309"/>
        <v>InitUnitState('',,,,,,,,,,)</v>
      </c>
      <c r="CO234" s="69" t="str">
        <f t="shared" si="3310"/>
        <v>InitUnitNormal('',,,,,,,,,,)</v>
      </c>
      <c r="CP234" s="69" t="str">
        <f t="shared" si="3311"/>
        <v>InitUnitMagic('',,,,,,,,,,)</v>
      </c>
      <c r="CQ234" s="69" t="str">
        <f t="shared" si="3312"/>
        <v>InitUnitAdd('',,,,,,,,,,)</v>
      </c>
      <c r="CR234" s="69" t="str">
        <f t="shared" si="3166"/>
        <v>InitEquipData('',,"",,,,,'','','','','','',"")</v>
      </c>
      <c r="CS234" s="69"/>
      <c r="CT234" s="69"/>
      <c r="CU234" s="71" t="str">
        <f t="shared" si="3238"/>
        <v>|n</v>
      </c>
      <c r="CV234" s="5"/>
      <c r="DB234" s="43" t="str">
        <f t="shared" si="3239"/>
        <v/>
      </c>
      <c r="DC234" s="43" t="str">
        <f t="shared" si="3240"/>
        <v/>
      </c>
      <c r="DD234" s="43" t="str">
        <f t="shared" si="3241"/>
        <v/>
      </c>
      <c r="DE234" s="43" t="str">
        <f t="shared" si="3242"/>
        <v/>
      </c>
      <c r="DF234" s="43" t="str">
        <f t="shared" si="3243"/>
        <v/>
      </c>
      <c r="DG234" s="43" t="str">
        <f t="shared" si="3244"/>
        <v/>
      </c>
      <c r="DH234" s="43" t="str">
        <f t="shared" si="3245"/>
        <v/>
      </c>
      <c r="DI234" s="43" t="str">
        <f t="shared" si="3246"/>
        <v/>
      </c>
      <c r="DJ234" s="43" t="str">
        <f t="shared" si="3247"/>
        <v/>
      </c>
      <c r="DK234" s="43" t="str">
        <f t="shared" si="3248"/>
        <v/>
      </c>
      <c r="DL234" s="43" t="str">
        <f t="shared" si="3249"/>
        <v/>
      </c>
      <c r="DM234" s="43" t="str">
        <f t="shared" si="3250"/>
        <v/>
      </c>
      <c r="DN234" s="43" t="str">
        <f t="shared" si="3251"/>
        <v/>
      </c>
      <c r="DO234" s="43" t="str">
        <f t="shared" si="3252"/>
        <v/>
      </c>
      <c r="DP234" s="43" t="str">
        <f t="shared" si="3253"/>
        <v/>
      </c>
      <c r="DQ234" s="43" t="str">
        <f t="shared" si="3254"/>
        <v/>
      </c>
      <c r="DR234" s="43" t="str">
        <f t="shared" si="3255"/>
        <v/>
      </c>
      <c r="DS234" s="43" t="str">
        <f t="shared" si="3256"/>
        <v/>
      </c>
      <c r="DT234" s="43" t="str">
        <f t="shared" si="3257"/>
        <v/>
      </c>
      <c r="DU234" s="43" t="str">
        <f t="shared" si="3258"/>
        <v/>
      </c>
      <c r="DV234" s="43" t="str">
        <f t="shared" si="3259"/>
        <v/>
      </c>
      <c r="DW234" s="43" t="str">
        <f t="shared" si="3260"/>
        <v/>
      </c>
      <c r="DX234" s="43" t="str">
        <f t="shared" si="3261"/>
        <v/>
      </c>
      <c r="DY234" s="43" t="str">
        <f t="shared" si="3262"/>
        <v/>
      </c>
      <c r="DZ234" s="43" t="str">
        <f t="shared" si="3263"/>
        <v/>
      </c>
      <c r="EA234" s="43" t="str">
        <f t="shared" si="3264"/>
        <v/>
      </c>
      <c r="EB234" s="43" t="str">
        <f t="shared" si="3265"/>
        <v/>
      </c>
      <c r="EC234" s="43" t="str">
        <f t="shared" si="3266"/>
        <v/>
      </c>
      <c r="ED234" s="43" t="str">
        <f t="shared" si="3267"/>
        <v/>
      </c>
      <c r="EE234" s="43" t="str">
        <f t="shared" si="3268"/>
        <v/>
      </c>
      <c r="EF234" s="43" t="str">
        <f t="shared" si="3269"/>
        <v/>
      </c>
      <c r="EG234" s="43" t="str">
        <f t="shared" si="3270"/>
        <v/>
      </c>
      <c r="EH234" s="43" t="str">
        <f t="shared" si="3271"/>
        <v/>
      </c>
      <c r="EI234" s="43" t="str">
        <f t="shared" si="3272"/>
        <v/>
      </c>
      <c r="EJ234" s="43" t="str">
        <f t="shared" si="3273"/>
        <v/>
      </c>
      <c r="EK234" s="43" t="str">
        <f t="shared" si="3274"/>
        <v/>
      </c>
      <c r="EL234" s="43" t="str">
        <f t="shared" si="3275"/>
        <v/>
      </c>
      <c r="EM234" s="43" t="str">
        <f t="shared" si="3276"/>
        <v/>
      </c>
      <c r="EN234" s="43" t="str">
        <f t="shared" si="3277"/>
        <v/>
      </c>
      <c r="EO234" s="43" t="str">
        <f t="shared" si="3278"/>
        <v/>
      </c>
      <c r="EP234" s="43" t="str">
        <f t="shared" si="3279"/>
        <v/>
      </c>
      <c r="EQ234" s="43" t="str">
        <f t="shared" si="3280"/>
        <v/>
      </c>
      <c r="ER234" s="43" t="str">
        <f t="shared" si="3281"/>
        <v/>
      </c>
      <c r="ES234" s="43" t="str">
        <f t="shared" si="3282"/>
        <v/>
      </c>
      <c r="ET234" s="43" t="str">
        <f t="shared" si="3283"/>
        <v/>
      </c>
      <c r="EU234" s="43" t="str">
        <f t="shared" si="3284"/>
        <v/>
      </c>
      <c r="EV234" s="43" t="str">
        <f t="shared" si="3285"/>
        <v/>
      </c>
      <c r="EW234" s="43" t="str">
        <f t="shared" si="3286"/>
        <v/>
      </c>
      <c r="EX234" s="43" t="str">
        <f t="shared" si="3287"/>
        <v/>
      </c>
      <c r="EY234" s="43" t="str">
        <f t="shared" si="3288"/>
        <v/>
      </c>
      <c r="EZ234" s="43" t="str">
        <f t="shared" si="3289"/>
        <v/>
      </c>
      <c r="FA234" s="43" t="str">
        <f t="shared" si="3290"/>
        <v/>
      </c>
      <c r="FB234" s="43" t="str">
        <f t="shared" si="3291"/>
        <v/>
      </c>
      <c r="FC234" s="43" t="str">
        <f t="shared" si="3292"/>
        <v/>
      </c>
      <c r="FD234" s="43" t="str">
        <f t="shared" si="3293"/>
        <v/>
      </c>
      <c r="FE234" s="43" t="str">
        <f t="shared" si="3294"/>
        <v/>
      </c>
      <c r="FF234" s="43" t="str">
        <f t="shared" si="3295"/>
        <v/>
      </c>
      <c r="FG234" s="43" t="str">
        <f t="shared" si="3296"/>
        <v/>
      </c>
      <c r="FH234" s="43" t="str">
        <f t="shared" si="3297"/>
        <v/>
      </c>
      <c r="FI234" s="43" t="str">
        <f t="shared" si="3298"/>
        <v/>
      </c>
      <c r="FJ234" s="43" t="str">
        <f t="shared" si="3299"/>
        <v/>
      </c>
      <c r="FK234" s="43" t="str">
        <f t="shared" si="3300"/>
        <v/>
      </c>
      <c r="FL234" s="43" t="str">
        <f t="shared" si="3301"/>
        <v/>
      </c>
      <c r="FM234" s="43" t="str">
        <f t="shared" si="3302"/>
        <v/>
      </c>
      <c r="FN234" s="43" t="str">
        <f t="shared" si="3303"/>
        <v/>
      </c>
      <c r="FO234" s="43" t="str">
        <f t="shared" si="3304"/>
        <v/>
      </c>
      <c r="FP234" s="43" t="str">
        <f t="shared" si="3305"/>
        <v/>
      </c>
      <c r="FQ234" s="43" t="str">
        <f t="shared" si="3306"/>
        <v/>
      </c>
      <c r="FR234" s="43" t="str">
        <f t="shared" si="3307"/>
        <v/>
      </c>
      <c r="FS234" s="43" t="str">
        <f t="shared" si="3308"/>
        <v/>
      </c>
    </row>
    <row r="235" s="6" customFormat="1" ht="15" spans="1:175">
      <c r="A235" s="100"/>
      <c r="B235" s="45"/>
      <c r="C235" s="100"/>
      <c r="D235" s="46"/>
      <c r="E235" s="47"/>
      <c r="F235" s="101"/>
      <c r="G235" s="102"/>
      <c r="H235" s="102"/>
      <c r="I235" s="102"/>
      <c r="J235" s="102"/>
      <c r="K235" s="102"/>
      <c r="L235" s="102"/>
      <c r="M235" s="102"/>
      <c r="N235" s="102"/>
      <c r="O235" s="102"/>
      <c r="P235" s="53"/>
      <c r="Q235" s="53"/>
      <c r="R235" s="53"/>
      <c r="S235" s="53"/>
      <c r="T235" s="62"/>
      <c r="U235" s="59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6"/>
      <c r="AS235" s="66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9" t="str">
        <f t="shared" si="3309"/>
        <v>InitUnitState('',,,,,,,,,,)</v>
      </c>
      <c r="CO235" s="69" t="str">
        <f t="shared" si="3310"/>
        <v>InitUnitNormal('',,,,,,,,,,)</v>
      </c>
      <c r="CP235" s="69" t="str">
        <f t="shared" si="3311"/>
        <v>InitUnitMagic('',,,,,,,,,,)</v>
      </c>
      <c r="CQ235" s="69" t="str">
        <f t="shared" si="3312"/>
        <v>InitUnitAdd('',,,,,,,,,,)</v>
      </c>
      <c r="CR235" s="69" t="str">
        <f t="shared" si="3166"/>
        <v>InitEquipData('',,"",,,,,'','','','','','',"")</v>
      </c>
      <c r="CS235" s="69"/>
      <c r="CT235" s="69"/>
      <c r="CU235" s="71" t="str">
        <f t="shared" si="3238"/>
        <v>|n</v>
      </c>
      <c r="CV235" s="5"/>
      <c r="DB235" s="43" t="str">
        <f t="shared" si="3239"/>
        <v/>
      </c>
      <c r="DC235" s="43" t="str">
        <f t="shared" si="3240"/>
        <v/>
      </c>
      <c r="DD235" s="43" t="str">
        <f t="shared" si="3241"/>
        <v/>
      </c>
      <c r="DE235" s="43" t="str">
        <f t="shared" si="3242"/>
        <v/>
      </c>
      <c r="DF235" s="43" t="str">
        <f t="shared" si="3243"/>
        <v/>
      </c>
      <c r="DG235" s="43" t="str">
        <f t="shared" si="3244"/>
        <v/>
      </c>
      <c r="DH235" s="43" t="str">
        <f t="shared" si="3245"/>
        <v/>
      </c>
      <c r="DI235" s="43" t="str">
        <f t="shared" si="3246"/>
        <v/>
      </c>
      <c r="DJ235" s="43" t="str">
        <f t="shared" si="3247"/>
        <v/>
      </c>
      <c r="DK235" s="43" t="str">
        <f t="shared" si="3248"/>
        <v/>
      </c>
      <c r="DL235" s="43" t="str">
        <f t="shared" si="3249"/>
        <v/>
      </c>
      <c r="DM235" s="43" t="str">
        <f t="shared" si="3250"/>
        <v/>
      </c>
      <c r="DN235" s="43" t="str">
        <f t="shared" si="3251"/>
        <v/>
      </c>
      <c r="DO235" s="43" t="str">
        <f t="shared" si="3252"/>
        <v/>
      </c>
      <c r="DP235" s="43" t="str">
        <f t="shared" si="3253"/>
        <v/>
      </c>
      <c r="DQ235" s="43" t="str">
        <f t="shared" si="3254"/>
        <v/>
      </c>
      <c r="DR235" s="43" t="str">
        <f t="shared" si="3255"/>
        <v/>
      </c>
      <c r="DS235" s="43" t="str">
        <f t="shared" si="3256"/>
        <v/>
      </c>
      <c r="DT235" s="43" t="str">
        <f t="shared" si="3257"/>
        <v/>
      </c>
      <c r="DU235" s="43" t="str">
        <f t="shared" si="3258"/>
        <v/>
      </c>
      <c r="DV235" s="43" t="str">
        <f t="shared" si="3259"/>
        <v/>
      </c>
      <c r="DW235" s="43" t="str">
        <f t="shared" si="3260"/>
        <v/>
      </c>
      <c r="DX235" s="43" t="str">
        <f t="shared" si="3261"/>
        <v/>
      </c>
      <c r="DY235" s="43" t="str">
        <f t="shared" si="3262"/>
        <v/>
      </c>
      <c r="DZ235" s="43" t="str">
        <f t="shared" si="3263"/>
        <v/>
      </c>
      <c r="EA235" s="43" t="str">
        <f t="shared" si="3264"/>
        <v/>
      </c>
      <c r="EB235" s="43" t="str">
        <f t="shared" si="3265"/>
        <v/>
      </c>
      <c r="EC235" s="43" t="str">
        <f t="shared" si="3266"/>
        <v/>
      </c>
      <c r="ED235" s="43" t="str">
        <f t="shared" si="3267"/>
        <v/>
      </c>
      <c r="EE235" s="43" t="str">
        <f t="shared" si="3268"/>
        <v/>
      </c>
      <c r="EF235" s="43" t="str">
        <f t="shared" si="3269"/>
        <v/>
      </c>
      <c r="EG235" s="43" t="str">
        <f t="shared" si="3270"/>
        <v/>
      </c>
      <c r="EH235" s="43" t="str">
        <f t="shared" si="3271"/>
        <v/>
      </c>
      <c r="EI235" s="43" t="str">
        <f t="shared" si="3272"/>
        <v/>
      </c>
      <c r="EJ235" s="43" t="str">
        <f t="shared" si="3273"/>
        <v/>
      </c>
      <c r="EK235" s="43" t="str">
        <f t="shared" si="3274"/>
        <v/>
      </c>
      <c r="EL235" s="43" t="str">
        <f t="shared" si="3275"/>
        <v/>
      </c>
      <c r="EM235" s="43" t="str">
        <f t="shared" si="3276"/>
        <v/>
      </c>
      <c r="EN235" s="43" t="str">
        <f t="shared" si="3277"/>
        <v/>
      </c>
      <c r="EO235" s="43" t="str">
        <f t="shared" si="3278"/>
        <v/>
      </c>
      <c r="EP235" s="43" t="str">
        <f t="shared" si="3279"/>
        <v/>
      </c>
      <c r="EQ235" s="43" t="str">
        <f t="shared" si="3280"/>
        <v/>
      </c>
      <c r="ER235" s="43" t="str">
        <f t="shared" si="3281"/>
        <v/>
      </c>
      <c r="ES235" s="43" t="str">
        <f t="shared" si="3282"/>
        <v/>
      </c>
      <c r="ET235" s="43" t="str">
        <f t="shared" si="3283"/>
        <v/>
      </c>
      <c r="EU235" s="43" t="str">
        <f t="shared" si="3284"/>
        <v/>
      </c>
      <c r="EV235" s="43" t="str">
        <f t="shared" si="3285"/>
        <v/>
      </c>
      <c r="EW235" s="43" t="str">
        <f t="shared" si="3286"/>
        <v/>
      </c>
      <c r="EX235" s="43" t="str">
        <f t="shared" si="3287"/>
        <v/>
      </c>
      <c r="EY235" s="43" t="str">
        <f t="shared" si="3288"/>
        <v/>
      </c>
      <c r="EZ235" s="43" t="str">
        <f t="shared" si="3289"/>
        <v/>
      </c>
      <c r="FA235" s="43" t="str">
        <f t="shared" si="3290"/>
        <v/>
      </c>
      <c r="FB235" s="43" t="str">
        <f t="shared" si="3291"/>
        <v/>
      </c>
      <c r="FC235" s="43" t="str">
        <f t="shared" si="3292"/>
        <v/>
      </c>
      <c r="FD235" s="43" t="str">
        <f t="shared" si="3293"/>
        <v/>
      </c>
      <c r="FE235" s="43" t="str">
        <f t="shared" si="3294"/>
        <v/>
      </c>
      <c r="FF235" s="43" t="str">
        <f t="shared" si="3295"/>
        <v/>
      </c>
      <c r="FG235" s="43" t="str">
        <f t="shared" si="3296"/>
        <v/>
      </c>
      <c r="FH235" s="43" t="str">
        <f t="shared" si="3297"/>
        <v/>
      </c>
      <c r="FI235" s="43" t="str">
        <f t="shared" si="3298"/>
        <v/>
      </c>
      <c r="FJ235" s="43" t="str">
        <f t="shared" si="3299"/>
        <v/>
      </c>
      <c r="FK235" s="43" t="str">
        <f t="shared" si="3300"/>
        <v/>
      </c>
      <c r="FL235" s="43" t="str">
        <f t="shared" si="3301"/>
        <v/>
      </c>
      <c r="FM235" s="43" t="str">
        <f t="shared" si="3302"/>
        <v/>
      </c>
      <c r="FN235" s="43" t="str">
        <f t="shared" si="3303"/>
        <v/>
      </c>
      <c r="FO235" s="43" t="str">
        <f t="shared" si="3304"/>
        <v/>
      </c>
      <c r="FP235" s="43" t="str">
        <f t="shared" si="3305"/>
        <v/>
      </c>
      <c r="FQ235" s="43" t="str">
        <f t="shared" si="3306"/>
        <v/>
      </c>
      <c r="FR235" s="43" t="str">
        <f t="shared" si="3307"/>
        <v/>
      </c>
      <c r="FS235" s="43" t="str">
        <f t="shared" si="3308"/>
        <v/>
      </c>
    </row>
    <row r="236" s="6" customFormat="1" ht="15" spans="1:175">
      <c r="A236" s="100"/>
      <c r="B236" s="45"/>
      <c r="C236" s="100"/>
      <c r="D236" s="46"/>
      <c r="E236" s="47"/>
      <c r="F236" s="101"/>
      <c r="G236" s="102"/>
      <c r="H236" s="102"/>
      <c r="I236" s="102"/>
      <c r="J236" s="102"/>
      <c r="K236" s="102"/>
      <c r="L236" s="102"/>
      <c r="M236" s="102"/>
      <c r="N236" s="102"/>
      <c r="O236" s="102"/>
      <c r="P236" s="53"/>
      <c r="Q236" s="53"/>
      <c r="R236" s="53"/>
      <c r="S236" s="53"/>
      <c r="T236" s="62"/>
      <c r="U236" s="59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6"/>
      <c r="AS236" s="66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9" t="str">
        <f t="shared" si="3309"/>
        <v>InitUnitState('',,,,,,,,,,)</v>
      </c>
      <c r="CO236" s="69" t="str">
        <f t="shared" si="3310"/>
        <v>InitUnitNormal('',,,,,,,,,,)</v>
      </c>
      <c r="CP236" s="69" t="str">
        <f t="shared" si="3311"/>
        <v>InitUnitMagic('',,,,,,,,,,)</v>
      </c>
      <c r="CQ236" s="69" t="str">
        <f t="shared" si="3312"/>
        <v>InitUnitAdd('',,,,,,,,,,)</v>
      </c>
      <c r="CR236" s="69" t="str">
        <f t="shared" si="3166"/>
        <v>InitEquipData('',,"",,,,,'','','','','','',"")</v>
      </c>
      <c r="CS236" s="69"/>
      <c r="CT236" s="69"/>
      <c r="CU236" s="71" t="str">
        <f t="shared" si="3238"/>
        <v>|n</v>
      </c>
      <c r="CV236" s="5"/>
      <c r="DB236" s="43" t="str">
        <f t="shared" si="3239"/>
        <v/>
      </c>
      <c r="DC236" s="43" t="str">
        <f t="shared" si="3240"/>
        <v/>
      </c>
      <c r="DD236" s="43" t="str">
        <f t="shared" si="3241"/>
        <v/>
      </c>
      <c r="DE236" s="43" t="str">
        <f t="shared" si="3242"/>
        <v/>
      </c>
      <c r="DF236" s="43" t="str">
        <f t="shared" si="3243"/>
        <v/>
      </c>
      <c r="DG236" s="43" t="str">
        <f t="shared" si="3244"/>
        <v/>
      </c>
      <c r="DH236" s="43" t="str">
        <f t="shared" si="3245"/>
        <v/>
      </c>
      <c r="DI236" s="43" t="str">
        <f t="shared" si="3246"/>
        <v/>
      </c>
      <c r="DJ236" s="43" t="str">
        <f t="shared" si="3247"/>
        <v/>
      </c>
      <c r="DK236" s="43" t="str">
        <f t="shared" si="3248"/>
        <v/>
      </c>
      <c r="DL236" s="43" t="str">
        <f t="shared" si="3249"/>
        <v/>
      </c>
      <c r="DM236" s="43" t="str">
        <f t="shared" si="3250"/>
        <v/>
      </c>
      <c r="DN236" s="43" t="str">
        <f t="shared" si="3251"/>
        <v/>
      </c>
      <c r="DO236" s="43" t="str">
        <f t="shared" si="3252"/>
        <v/>
      </c>
      <c r="DP236" s="43" t="str">
        <f t="shared" si="3253"/>
        <v/>
      </c>
      <c r="DQ236" s="43" t="str">
        <f t="shared" si="3254"/>
        <v/>
      </c>
      <c r="DR236" s="43" t="str">
        <f t="shared" si="3255"/>
        <v/>
      </c>
      <c r="DS236" s="43" t="str">
        <f t="shared" si="3256"/>
        <v/>
      </c>
      <c r="DT236" s="43" t="str">
        <f t="shared" si="3257"/>
        <v/>
      </c>
      <c r="DU236" s="43" t="str">
        <f t="shared" si="3258"/>
        <v/>
      </c>
      <c r="DV236" s="43" t="str">
        <f t="shared" si="3259"/>
        <v/>
      </c>
      <c r="DW236" s="43" t="str">
        <f t="shared" si="3260"/>
        <v/>
      </c>
      <c r="DX236" s="43" t="str">
        <f t="shared" si="3261"/>
        <v/>
      </c>
      <c r="DY236" s="43" t="str">
        <f t="shared" si="3262"/>
        <v/>
      </c>
      <c r="DZ236" s="43" t="str">
        <f t="shared" si="3263"/>
        <v/>
      </c>
      <c r="EA236" s="43" t="str">
        <f t="shared" si="3264"/>
        <v/>
      </c>
      <c r="EB236" s="43" t="str">
        <f t="shared" si="3265"/>
        <v/>
      </c>
      <c r="EC236" s="43" t="str">
        <f t="shared" si="3266"/>
        <v/>
      </c>
      <c r="ED236" s="43" t="str">
        <f t="shared" si="3267"/>
        <v/>
      </c>
      <c r="EE236" s="43" t="str">
        <f t="shared" si="3268"/>
        <v/>
      </c>
      <c r="EF236" s="43" t="str">
        <f t="shared" si="3269"/>
        <v/>
      </c>
      <c r="EG236" s="43" t="str">
        <f t="shared" si="3270"/>
        <v/>
      </c>
      <c r="EH236" s="43" t="str">
        <f t="shared" si="3271"/>
        <v/>
      </c>
      <c r="EI236" s="43" t="str">
        <f t="shared" si="3272"/>
        <v/>
      </c>
      <c r="EJ236" s="43" t="str">
        <f t="shared" si="3273"/>
        <v/>
      </c>
      <c r="EK236" s="43" t="str">
        <f t="shared" si="3274"/>
        <v/>
      </c>
      <c r="EL236" s="43" t="str">
        <f t="shared" si="3275"/>
        <v/>
      </c>
      <c r="EM236" s="43" t="str">
        <f t="shared" si="3276"/>
        <v/>
      </c>
      <c r="EN236" s="43" t="str">
        <f t="shared" si="3277"/>
        <v/>
      </c>
      <c r="EO236" s="43" t="str">
        <f t="shared" si="3278"/>
        <v/>
      </c>
      <c r="EP236" s="43" t="str">
        <f t="shared" si="3279"/>
        <v/>
      </c>
      <c r="EQ236" s="43" t="str">
        <f t="shared" si="3280"/>
        <v/>
      </c>
      <c r="ER236" s="43" t="str">
        <f t="shared" si="3281"/>
        <v/>
      </c>
      <c r="ES236" s="43" t="str">
        <f t="shared" si="3282"/>
        <v/>
      </c>
      <c r="ET236" s="43" t="str">
        <f t="shared" si="3283"/>
        <v/>
      </c>
      <c r="EU236" s="43" t="str">
        <f t="shared" si="3284"/>
        <v/>
      </c>
      <c r="EV236" s="43" t="str">
        <f t="shared" si="3285"/>
        <v/>
      </c>
      <c r="EW236" s="43" t="str">
        <f t="shared" si="3286"/>
        <v/>
      </c>
      <c r="EX236" s="43" t="str">
        <f t="shared" si="3287"/>
        <v/>
      </c>
      <c r="EY236" s="43" t="str">
        <f t="shared" si="3288"/>
        <v/>
      </c>
      <c r="EZ236" s="43" t="str">
        <f t="shared" si="3289"/>
        <v/>
      </c>
      <c r="FA236" s="43" t="str">
        <f t="shared" si="3290"/>
        <v/>
      </c>
      <c r="FB236" s="43" t="str">
        <f t="shared" si="3291"/>
        <v/>
      </c>
      <c r="FC236" s="43" t="str">
        <f t="shared" si="3292"/>
        <v/>
      </c>
      <c r="FD236" s="43" t="str">
        <f t="shared" si="3293"/>
        <v/>
      </c>
      <c r="FE236" s="43" t="str">
        <f t="shared" si="3294"/>
        <v/>
      </c>
      <c r="FF236" s="43" t="str">
        <f t="shared" si="3295"/>
        <v/>
      </c>
      <c r="FG236" s="43" t="str">
        <f t="shared" si="3296"/>
        <v/>
      </c>
      <c r="FH236" s="43" t="str">
        <f t="shared" si="3297"/>
        <v/>
      </c>
      <c r="FI236" s="43" t="str">
        <f t="shared" si="3298"/>
        <v/>
      </c>
      <c r="FJ236" s="43" t="str">
        <f t="shared" si="3299"/>
        <v/>
      </c>
      <c r="FK236" s="43" t="str">
        <f t="shared" si="3300"/>
        <v/>
      </c>
      <c r="FL236" s="43" t="str">
        <f t="shared" si="3301"/>
        <v/>
      </c>
      <c r="FM236" s="43" t="str">
        <f t="shared" si="3302"/>
        <v/>
      </c>
      <c r="FN236" s="43" t="str">
        <f t="shared" si="3303"/>
        <v/>
      </c>
      <c r="FO236" s="43" t="str">
        <f t="shared" si="3304"/>
        <v/>
      </c>
      <c r="FP236" s="43" t="str">
        <f t="shared" si="3305"/>
        <v/>
      </c>
      <c r="FQ236" s="43" t="str">
        <f t="shared" si="3306"/>
        <v/>
      </c>
      <c r="FR236" s="43" t="str">
        <f t="shared" si="3307"/>
        <v/>
      </c>
      <c r="FS236" s="43" t="str">
        <f t="shared" si="3308"/>
        <v/>
      </c>
    </row>
    <row r="237" ht="15" spans="1:175">
      <c r="A237" s="10"/>
      <c r="B237" s="45"/>
      <c r="C237" s="10"/>
      <c r="E237" s="103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78"/>
      <c r="Q237" s="78"/>
      <c r="R237" s="78"/>
      <c r="S237" s="78"/>
      <c r="T237" s="110"/>
      <c r="U237" s="59"/>
      <c r="CU237" s="71" t="str">
        <f t="shared" si="3238"/>
        <v>|n</v>
      </c>
      <c r="CW237" s="6"/>
      <c r="CX237" s="6"/>
      <c r="CY237" s="6"/>
      <c r="CZ237" s="6"/>
      <c r="DA237" s="6"/>
      <c r="DB237" s="43" t="str">
        <f t="shared" si="3239"/>
        <v/>
      </c>
      <c r="DC237" s="43" t="str">
        <f t="shared" si="3240"/>
        <v/>
      </c>
      <c r="DD237" s="43" t="str">
        <f t="shared" si="3241"/>
        <v/>
      </c>
      <c r="DE237" s="43" t="str">
        <f t="shared" si="3242"/>
        <v/>
      </c>
      <c r="DF237" s="43" t="str">
        <f t="shared" si="3243"/>
        <v/>
      </c>
      <c r="DG237" s="43" t="str">
        <f t="shared" si="3244"/>
        <v/>
      </c>
      <c r="DH237" s="43" t="str">
        <f t="shared" si="3245"/>
        <v/>
      </c>
      <c r="DI237" s="43" t="str">
        <f t="shared" si="3246"/>
        <v/>
      </c>
      <c r="DJ237" s="43" t="str">
        <f t="shared" si="3247"/>
        <v/>
      </c>
      <c r="DK237" s="43" t="str">
        <f t="shared" si="3248"/>
        <v/>
      </c>
      <c r="DL237" s="43" t="str">
        <f t="shared" si="3249"/>
        <v/>
      </c>
      <c r="DM237" s="43" t="str">
        <f t="shared" si="3250"/>
        <v/>
      </c>
      <c r="DN237" s="43" t="str">
        <f t="shared" si="3251"/>
        <v/>
      </c>
      <c r="DO237" s="43" t="str">
        <f t="shared" si="3252"/>
        <v/>
      </c>
      <c r="DP237" s="43" t="str">
        <f t="shared" si="3253"/>
        <v/>
      </c>
      <c r="DQ237" s="43" t="str">
        <f t="shared" si="3254"/>
        <v/>
      </c>
      <c r="DR237" s="43" t="str">
        <f t="shared" si="3255"/>
        <v/>
      </c>
      <c r="DS237" s="43" t="str">
        <f t="shared" si="3256"/>
        <v/>
      </c>
      <c r="DT237" s="43" t="str">
        <f t="shared" si="3257"/>
        <v/>
      </c>
      <c r="DU237" s="43" t="str">
        <f t="shared" si="3258"/>
        <v/>
      </c>
      <c r="DV237" s="43" t="str">
        <f t="shared" si="3259"/>
        <v/>
      </c>
      <c r="DW237" s="43" t="str">
        <f t="shared" si="3260"/>
        <v/>
      </c>
      <c r="DX237" s="43" t="str">
        <f t="shared" si="3261"/>
        <v/>
      </c>
      <c r="DY237" s="43" t="str">
        <f t="shared" si="3262"/>
        <v/>
      </c>
      <c r="DZ237" s="43" t="str">
        <f t="shared" si="3263"/>
        <v/>
      </c>
      <c r="EA237" s="43" t="str">
        <f t="shared" si="3264"/>
        <v/>
      </c>
      <c r="EB237" s="43" t="str">
        <f t="shared" si="3265"/>
        <v/>
      </c>
      <c r="EC237" s="43" t="str">
        <f t="shared" si="3266"/>
        <v/>
      </c>
      <c r="ED237" s="43" t="str">
        <f t="shared" si="3267"/>
        <v/>
      </c>
      <c r="EE237" s="43" t="str">
        <f t="shared" si="3268"/>
        <v/>
      </c>
      <c r="EF237" s="43" t="str">
        <f t="shared" si="3269"/>
        <v/>
      </c>
      <c r="EG237" s="43" t="str">
        <f t="shared" si="3270"/>
        <v/>
      </c>
      <c r="EH237" s="43" t="str">
        <f t="shared" si="3271"/>
        <v/>
      </c>
      <c r="EI237" s="43" t="str">
        <f t="shared" si="3272"/>
        <v/>
      </c>
      <c r="EJ237" s="43" t="str">
        <f t="shared" si="3273"/>
        <v/>
      </c>
      <c r="EK237" s="43" t="str">
        <f t="shared" si="3274"/>
        <v/>
      </c>
      <c r="EL237" s="43" t="str">
        <f t="shared" si="3275"/>
        <v/>
      </c>
      <c r="EM237" s="43" t="str">
        <f t="shared" si="3276"/>
        <v/>
      </c>
      <c r="EN237" s="43" t="str">
        <f t="shared" si="3277"/>
        <v/>
      </c>
      <c r="EO237" s="43" t="str">
        <f t="shared" si="3278"/>
        <v/>
      </c>
      <c r="EP237" s="43" t="str">
        <f t="shared" si="3279"/>
        <v/>
      </c>
      <c r="EQ237" s="43" t="str">
        <f t="shared" si="3280"/>
        <v/>
      </c>
      <c r="ER237" s="43" t="str">
        <f t="shared" si="3281"/>
        <v/>
      </c>
      <c r="ES237" s="43" t="str">
        <f t="shared" si="3282"/>
        <v/>
      </c>
      <c r="ET237" s="43" t="str">
        <f t="shared" si="3283"/>
        <v/>
      </c>
      <c r="EU237" s="43" t="str">
        <f t="shared" si="3284"/>
        <v/>
      </c>
      <c r="EV237" s="43" t="str">
        <f t="shared" si="3285"/>
        <v/>
      </c>
      <c r="EW237" s="43" t="str">
        <f t="shared" si="3286"/>
        <v/>
      </c>
      <c r="EX237" s="43" t="str">
        <f t="shared" si="3287"/>
        <v/>
      </c>
      <c r="EY237" s="43" t="str">
        <f t="shared" si="3288"/>
        <v/>
      </c>
      <c r="EZ237" s="43" t="str">
        <f t="shared" si="3289"/>
        <v/>
      </c>
      <c r="FA237" s="43" t="str">
        <f t="shared" si="3290"/>
        <v/>
      </c>
      <c r="FB237" s="43" t="str">
        <f t="shared" si="3291"/>
        <v/>
      </c>
      <c r="FC237" s="43" t="str">
        <f t="shared" si="3292"/>
        <v/>
      </c>
      <c r="FD237" s="43" t="str">
        <f t="shared" si="3293"/>
        <v/>
      </c>
      <c r="FE237" s="43" t="str">
        <f t="shared" si="3294"/>
        <v/>
      </c>
      <c r="FF237" s="43" t="str">
        <f t="shared" si="3295"/>
        <v/>
      </c>
      <c r="FG237" s="43" t="str">
        <f t="shared" si="3296"/>
        <v/>
      </c>
      <c r="FH237" s="43" t="str">
        <f t="shared" si="3297"/>
        <v/>
      </c>
      <c r="FI237" s="43" t="str">
        <f t="shared" si="3298"/>
        <v/>
      </c>
      <c r="FJ237" s="43" t="str">
        <f t="shared" si="3299"/>
        <v/>
      </c>
      <c r="FK237" s="43" t="str">
        <f t="shared" si="3300"/>
        <v/>
      </c>
      <c r="FL237" s="43" t="str">
        <f t="shared" si="3301"/>
        <v/>
      </c>
      <c r="FM237" s="43" t="str">
        <f t="shared" si="3302"/>
        <v/>
      </c>
      <c r="FN237" s="43" t="str">
        <f t="shared" si="3303"/>
        <v/>
      </c>
      <c r="FO237" s="43" t="str">
        <f t="shared" si="3304"/>
        <v/>
      </c>
      <c r="FP237" s="43" t="str">
        <f t="shared" si="3305"/>
        <v/>
      </c>
      <c r="FQ237" s="43" t="str">
        <f t="shared" si="3306"/>
        <v/>
      </c>
      <c r="FR237" s="43" t="str">
        <f t="shared" si="3307"/>
        <v/>
      </c>
      <c r="FS237" s="43" t="str">
        <f t="shared" si="3308"/>
        <v/>
      </c>
    </row>
    <row r="238" ht="15" spans="1:175">
      <c r="A238" s="10"/>
      <c r="B238" s="45"/>
      <c r="C238" s="10"/>
      <c r="E238" s="103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78"/>
      <c r="Q238" s="78"/>
      <c r="R238" s="78"/>
      <c r="S238" s="78"/>
      <c r="T238" s="110"/>
      <c r="U238" s="59"/>
      <c r="CU238" s="71" t="str">
        <f t="shared" si="3238"/>
        <v>|n</v>
      </c>
      <c r="CW238" s="6"/>
      <c r="CX238" s="6"/>
      <c r="CY238" s="6"/>
      <c r="CZ238" s="6"/>
      <c r="DA238" s="6"/>
      <c r="DB238" s="43" t="str">
        <f t="shared" si="3239"/>
        <v/>
      </c>
      <c r="DC238" s="43" t="str">
        <f t="shared" si="3240"/>
        <v/>
      </c>
      <c r="DD238" s="43" t="str">
        <f t="shared" si="3241"/>
        <v/>
      </c>
      <c r="DE238" s="43" t="str">
        <f t="shared" si="3242"/>
        <v/>
      </c>
      <c r="DF238" s="43" t="str">
        <f t="shared" si="3243"/>
        <v/>
      </c>
      <c r="DG238" s="43" t="str">
        <f t="shared" si="3244"/>
        <v/>
      </c>
      <c r="DH238" s="43" t="str">
        <f t="shared" si="3245"/>
        <v/>
      </c>
      <c r="DI238" s="43" t="str">
        <f t="shared" si="3246"/>
        <v/>
      </c>
      <c r="DJ238" s="43" t="str">
        <f t="shared" si="3247"/>
        <v/>
      </c>
      <c r="DK238" s="43" t="str">
        <f t="shared" si="3248"/>
        <v/>
      </c>
      <c r="DL238" s="43" t="str">
        <f t="shared" si="3249"/>
        <v/>
      </c>
      <c r="DM238" s="43" t="str">
        <f t="shared" si="3250"/>
        <v/>
      </c>
      <c r="DN238" s="43" t="str">
        <f t="shared" si="3251"/>
        <v/>
      </c>
      <c r="DO238" s="43" t="str">
        <f t="shared" si="3252"/>
        <v/>
      </c>
      <c r="DP238" s="43" t="str">
        <f t="shared" si="3253"/>
        <v/>
      </c>
      <c r="DQ238" s="43" t="str">
        <f t="shared" si="3254"/>
        <v/>
      </c>
      <c r="DR238" s="43" t="str">
        <f t="shared" si="3255"/>
        <v/>
      </c>
      <c r="DS238" s="43" t="str">
        <f t="shared" si="3256"/>
        <v/>
      </c>
      <c r="DT238" s="43" t="str">
        <f t="shared" si="3257"/>
        <v/>
      </c>
      <c r="DU238" s="43" t="str">
        <f t="shared" si="3258"/>
        <v/>
      </c>
      <c r="DV238" s="43" t="str">
        <f t="shared" si="3259"/>
        <v/>
      </c>
      <c r="DW238" s="43" t="str">
        <f t="shared" si="3260"/>
        <v/>
      </c>
      <c r="DX238" s="43" t="str">
        <f t="shared" si="3261"/>
        <v/>
      </c>
      <c r="DY238" s="43" t="str">
        <f t="shared" si="3262"/>
        <v/>
      </c>
      <c r="DZ238" s="43" t="str">
        <f t="shared" si="3263"/>
        <v/>
      </c>
      <c r="EA238" s="43" t="str">
        <f t="shared" si="3264"/>
        <v/>
      </c>
      <c r="EB238" s="43" t="str">
        <f t="shared" si="3265"/>
        <v/>
      </c>
      <c r="EC238" s="43" t="str">
        <f t="shared" si="3266"/>
        <v/>
      </c>
      <c r="ED238" s="43" t="str">
        <f t="shared" si="3267"/>
        <v/>
      </c>
      <c r="EE238" s="43" t="str">
        <f t="shared" si="3268"/>
        <v/>
      </c>
      <c r="EF238" s="43" t="str">
        <f t="shared" si="3269"/>
        <v/>
      </c>
      <c r="EG238" s="43" t="str">
        <f t="shared" si="3270"/>
        <v/>
      </c>
      <c r="EH238" s="43" t="str">
        <f t="shared" si="3271"/>
        <v/>
      </c>
      <c r="EI238" s="43" t="str">
        <f t="shared" si="3272"/>
        <v/>
      </c>
      <c r="EJ238" s="43" t="str">
        <f t="shared" si="3273"/>
        <v/>
      </c>
      <c r="EK238" s="43" t="str">
        <f t="shared" si="3274"/>
        <v/>
      </c>
      <c r="EL238" s="43" t="str">
        <f t="shared" si="3275"/>
        <v/>
      </c>
      <c r="EM238" s="43" t="str">
        <f t="shared" si="3276"/>
        <v/>
      </c>
      <c r="EN238" s="43" t="str">
        <f t="shared" si="3277"/>
        <v/>
      </c>
      <c r="EO238" s="43" t="str">
        <f t="shared" si="3278"/>
        <v/>
      </c>
      <c r="EP238" s="43" t="str">
        <f t="shared" si="3279"/>
        <v/>
      </c>
      <c r="EQ238" s="43" t="str">
        <f t="shared" si="3280"/>
        <v/>
      </c>
      <c r="ER238" s="43" t="str">
        <f t="shared" si="3281"/>
        <v/>
      </c>
      <c r="ES238" s="43" t="str">
        <f t="shared" si="3282"/>
        <v/>
      </c>
      <c r="ET238" s="43" t="str">
        <f t="shared" si="3283"/>
        <v/>
      </c>
      <c r="EU238" s="43" t="str">
        <f t="shared" si="3284"/>
        <v/>
      </c>
      <c r="EV238" s="43" t="str">
        <f t="shared" si="3285"/>
        <v/>
      </c>
      <c r="EW238" s="43" t="str">
        <f t="shared" si="3286"/>
        <v/>
      </c>
      <c r="EX238" s="43" t="str">
        <f t="shared" si="3287"/>
        <v/>
      </c>
      <c r="EY238" s="43" t="str">
        <f t="shared" si="3288"/>
        <v/>
      </c>
      <c r="EZ238" s="43" t="str">
        <f t="shared" si="3289"/>
        <v/>
      </c>
      <c r="FA238" s="43" t="str">
        <f t="shared" si="3290"/>
        <v/>
      </c>
      <c r="FB238" s="43" t="str">
        <f t="shared" si="3291"/>
        <v/>
      </c>
      <c r="FC238" s="43" t="str">
        <f t="shared" si="3292"/>
        <v/>
      </c>
      <c r="FD238" s="43" t="str">
        <f t="shared" si="3293"/>
        <v/>
      </c>
      <c r="FE238" s="43" t="str">
        <f t="shared" si="3294"/>
        <v/>
      </c>
      <c r="FF238" s="43" t="str">
        <f t="shared" si="3295"/>
        <v/>
      </c>
      <c r="FG238" s="43" t="str">
        <f t="shared" si="3296"/>
        <v/>
      </c>
      <c r="FH238" s="43" t="str">
        <f t="shared" si="3297"/>
        <v/>
      </c>
      <c r="FI238" s="43" t="str">
        <f t="shared" si="3298"/>
        <v/>
      </c>
      <c r="FJ238" s="43" t="str">
        <f t="shared" si="3299"/>
        <v/>
      </c>
      <c r="FK238" s="43" t="str">
        <f t="shared" si="3300"/>
        <v/>
      </c>
      <c r="FL238" s="43" t="str">
        <f t="shared" si="3301"/>
        <v/>
      </c>
      <c r="FM238" s="43" t="str">
        <f t="shared" si="3302"/>
        <v/>
      </c>
      <c r="FN238" s="43" t="str">
        <f t="shared" si="3303"/>
        <v/>
      </c>
      <c r="FO238" s="43" t="str">
        <f t="shared" si="3304"/>
        <v/>
      </c>
      <c r="FP238" s="43" t="str">
        <f t="shared" si="3305"/>
        <v/>
      </c>
      <c r="FQ238" s="43" t="str">
        <f t="shared" si="3306"/>
        <v/>
      </c>
      <c r="FR238" s="43" t="str">
        <f t="shared" si="3307"/>
        <v/>
      </c>
      <c r="FS238" s="43" t="str">
        <f t="shared" si="3308"/>
        <v/>
      </c>
    </row>
    <row r="239" ht="15" spans="1:175">
      <c r="A239" s="10"/>
      <c r="B239" s="45"/>
      <c r="C239" s="10"/>
      <c r="E239" s="103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78"/>
      <c r="Q239" s="78"/>
      <c r="R239" s="78"/>
      <c r="S239" s="78"/>
      <c r="T239" s="110"/>
      <c r="U239" s="59"/>
      <c r="CU239" s="71" t="str">
        <f t="shared" si="3238"/>
        <v>|n</v>
      </c>
      <c r="CW239" s="6"/>
      <c r="CX239" s="6"/>
      <c r="CY239" s="6"/>
      <c r="CZ239" s="6"/>
      <c r="DA239" s="6"/>
      <c r="DB239" s="43" t="str">
        <f t="shared" si="3239"/>
        <v/>
      </c>
      <c r="DC239" s="43" t="str">
        <f t="shared" si="3240"/>
        <v/>
      </c>
      <c r="DD239" s="43" t="str">
        <f t="shared" si="3241"/>
        <v/>
      </c>
      <c r="DE239" s="43" t="str">
        <f t="shared" si="3242"/>
        <v/>
      </c>
      <c r="DF239" s="43" t="str">
        <f t="shared" si="3243"/>
        <v/>
      </c>
      <c r="DG239" s="43" t="str">
        <f t="shared" si="3244"/>
        <v/>
      </c>
      <c r="DH239" s="43" t="str">
        <f t="shared" si="3245"/>
        <v/>
      </c>
      <c r="DI239" s="43" t="str">
        <f t="shared" si="3246"/>
        <v/>
      </c>
      <c r="DJ239" s="43" t="str">
        <f t="shared" si="3247"/>
        <v/>
      </c>
      <c r="DK239" s="43" t="str">
        <f t="shared" si="3248"/>
        <v/>
      </c>
      <c r="DL239" s="43" t="str">
        <f t="shared" si="3249"/>
        <v/>
      </c>
      <c r="DM239" s="43" t="str">
        <f t="shared" si="3250"/>
        <v/>
      </c>
      <c r="DN239" s="43" t="str">
        <f t="shared" si="3251"/>
        <v/>
      </c>
      <c r="DO239" s="43" t="str">
        <f t="shared" si="3252"/>
        <v/>
      </c>
      <c r="DP239" s="43" t="str">
        <f t="shared" si="3253"/>
        <v/>
      </c>
      <c r="DQ239" s="43" t="str">
        <f t="shared" si="3254"/>
        <v/>
      </c>
      <c r="DR239" s="43" t="str">
        <f t="shared" si="3255"/>
        <v/>
      </c>
      <c r="DS239" s="43" t="str">
        <f t="shared" si="3256"/>
        <v/>
      </c>
      <c r="DT239" s="43" t="str">
        <f t="shared" si="3257"/>
        <v/>
      </c>
      <c r="DU239" s="43" t="str">
        <f t="shared" si="3258"/>
        <v/>
      </c>
      <c r="DV239" s="43" t="str">
        <f t="shared" si="3259"/>
        <v/>
      </c>
      <c r="DW239" s="43" t="str">
        <f t="shared" si="3260"/>
        <v/>
      </c>
      <c r="DX239" s="43" t="str">
        <f t="shared" si="3261"/>
        <v/>
      </c>
      <c r="DY239" s="43" t="str">
        <f t="shared" si="3262"/>
        <v/>
      </c>
      <c r="DZ239" s="43" t="str">
        <f t="shared" si="3263"/>
        <v/>
      </c>
      <c r="EA239" s="43" t="str">
        <f t="shared" si="3264"/>
        <v/>
      </c>
      <c r="EB239" s="43" t="str">
        <f t="shared" si="3265"/>
        <v/>
      </c>
      <c r="EC239" s="43" t="str">
        <f t="shared" si="3266"/>
        <v/>
      </c>
      <c r="ED239" s="43" t="str">
        <f t="shared" si="3267"/>
        <v/>
      </c>
      <c r="EE239" s="43" t="str">
        <f t="shared" si="3268"/>
        <v/>
      </c>
      <c r="EF239" s="43" t="str">
        <f t="shared" si="3269"/>
        <v/>
      </c>
      <c r="EG239" s="43" t="str">
        <f t="shared" si="3270"/>
        <v/>
      </c>
      <c r="EH239" s="43" t="str">
        <f t="shared" si="3271"/>
        <v/>
      </c>
      <c r="EI239" s="43" t="str">
        <f t="shared" si="3272"/>
        <v/>
      </c>
      <c r="EJ239" s="43" t="str">
        <f t="shared" si="3273"/>
        <v/>
      </c>
      <c r="EK239" s="43" t="str">
        <f t="shared" si="3274"/>
        <v/>
      </c>
      <c r="EL239" s="43" t="str">
        <f t="shared" si="3275"/>
        <v/>
      </c>
      <c r="EM239" s="43" t="str">
        <f t="shared" si="3276"/>
        <v/>
      </c>
      <c r="EN239" s="43" t="str">
        <f t="shared" si="3277"/>
        <v/>
      </c>
      <c r="EO239" s="43" t="str">
        <f t="shared" si="3278"/>
        <v/>
      </c>
      <c r="EP239" s="43" t="str">
        <f t="shared" si="3279"/>
        <v/>
      </c>
      <c r="EQ239" s="43" t="str">
        <f t="shared" si="3280"/>
        <v/>
      </c>
      <c r="ER239" s="43" t="str">
        <f t="shared" si="3281"/>
        <v/>
      </c>
      <c r="ES239" s="43" t="str">
        <f t="shared" si="3282"/>
        <v/>
      </c>
      <c r="ET239" s="43" t="str">
        <f t="shared" si="3283"/>
        <v/>
      </c>
      <c r="EU239" s="43" t="str">
        <f t="shared" si="3284"/>
        <v/>
      </c>
      <c r="EV239" s="43" t="str">
        <f t="shared" si="3285"/>
        <v/>
      </c>
      <c r="EW239" s="43" t="str">
        <f t="shared" si="3286"/>
        <v/>
      </c>
      <c r="EX239" s="43" t="str">
        <f t="shared" si="3287"/>
        <v/>
      </c>
      <c r="EY239" s="43" t="str">
        <f t="shared" si="3288"/>
        <v/>
      </c>
      <c r="EZ239" s="43" t="str">
        <f t="shared" si="3289"/>
        <v/>
      </c>
      <c r="FA239" s="43" t="str">
        <f t="shared" si="3290"/>
        <v/>
      </c>
      <c r="FB239" s="43" t="str">
        <f t="shared" si="3291"/>
        <v/>
      </c>
      <c r="FC239" s="43" t="str">
        <f t="shared" si="3292"/>
        <v/>
      </c>
      <c r="FD239" s="43" t="str">
        <f t="shared" si="3293"/>
        <v/>
      </c>
      <c r="FE239" s="43" t="str">
        <f t="shared" si="3294"/>
        <v/>
      </c>
      <c r="FF239" s="43" t="str">
        <f t="shared" si="3295"/>
        <v/>
      </c>
      <c r="FG239" s="43" t="str">
        <f t="shared" si="3296"/>
        <v/>
      </c>
      <c r="FH239" s="43" t="str">
        <f t="shared" si="3297"/>
        <v/>
      </c>
      <c r="FI239" s="43" t="str">
        <f t="shared" si="3298"/>
        <v/>
      </c>
      <c r="FJ239" s="43" t="str">
        <f t="shared" si="3299"/>
        <v/>
      </c>
      <c r="FK239" s="43" t="str">
        <f t="shared" si="3300"/>
        <v/>
      </c>
      <c r="FL239" s="43" t="str">
        <f t="shared" si="3301"/>
        <v/>
      </c>
      <c r="FM239" s="43" t="str">
        <f t="shared" si="3302"/>
        <v/>
      </c>
      <c r="FN239" s="43" t="str">
        <f t="shared" si="3303"/>
        <v/>
      </c>
      <c r="FO239" s="43" t="str">
        <f t="shared" si="3304"/>
        <v/>
      </c>
      <c r="FP239" s="43" t="str">
        <f t="shared" si="3305"/>
        <v/>
      </c>
      <c r="FQ239" s="43" t="str">
        <f t="shared" si="3306"/>
        <v/>
      </c>
      <c r="FR239" s="43" t="str">
        <f t="shared" si="3307"/>
        <v/>
      </c>
      <c r="FS239" s="43" t="str">
        <f t="shared" si="3308"/>
        <v/>
      </c>
    </row>
    <row r="240" ht="15" spans="1:175">
      <c r="A240" s="10"/>
      <c r="B240" s="45"/>
      <c r="C240" s="10"/>
      <c r="E240" s="103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78"/>
      <c r="Q240" s="78"/>
      <c r="R240" s="78"/>
      <c r="S240" s="78"/>
      <c r="T240" s="110"/>
      <c r="U240" s="59"/>
      <c r="CU240" s="71" t="str">
        <f t="shared" si="3238"/>
        <v>|n</v>
      </c>
      <c r="CW240" s="6"/>
      <c r="CX240" s="6"/>
      <c r="CY240" s="6"/>
      <c r="CZ240" s="6"/>
      <c r="DA240" s="6"/>
      <c r="DB240" s="43" t="str">
        <f t="shared" si="3239"/>
        <v/>
      </c>
      <c r="DC240" s="43" t="str">
        <f t="shared" si="3240"/>
        <v/>
      </c>
      <c r="DD240" s="43" t="str">
        <f t="shared" si="3241"/>
        <v/>
      </c>
      <c r="DE240" s="43" t="str">
        <f t="shared" si="3242"/>
        <v/>
      </c>
      <c r="DF240" s="43" t="str">
        <f t="shared" si="3243"/>
        <v/>
      </c>
      <c r="DG240" s="43" t="str">
        <f t="shared" si="3244"/>
        <v/>
      </c>
      <c r="DH240" s="43" t="str">
        <f t="shared" si="3245"/>
        <v/>
      </c>
      <c r="DI240" s="43" t="str">
        <f t="shared" si="3246"/>
        <v/>
      </c>
      <c r="DJ240" s="43" t="str">
        <f t="shared" si="3247"/>
        <v/>
      </c>
      <c r="DK240" s="43" t="str">
        <f t="shared" si="3248"/>
        <v/>
      </c>
      <c r="DL240" s="43" t="str">
        <f t="shared" si="3249"/>
        <v/>
      </c>
      <c r="DM240" s="43" t="str">
        <f t="shared" si="3250"/>
        <v/>
      </c>
      <c r="DN240" s="43" t="str">
        <f t="shared" si="3251"/>
        <v/>
      </c>
      <c r="DO240" s="43" t="str">
        <f t="shared" si="3252"/>
        <v/>
      </c>
      <c r="DP240" s="43" t="str">
        <f t="shared" si="3253"/>
        <v/>
      </c>
      <c r="DQ240" s="43" t="str">
        <f t="shared" si="3254"/>
        <v/>
      </c>
      <c r="DR240" s="43" t="str">
        <f t="shared" si="3255"/>
        <v/>
      </c>
      <c r="DS240" s="43" t="str">
        <f t="shared" si="3256"/>
        <v/>
      </c>
      <c r="DT240" s="43" t="str">
        <f t="shared" si="3257"/>
        <v/>
      </c>
      <c r="DU240" s="43" t="str">
        <f t="shared" si="3258"/>
        <v/>
      </c>
      <c r="DV240" s="43" t="str">
        <f t="shared" si="3259"/>
        <v/>
      </c>
      <c r="DW240" s="43" t="str">
        <f t="shared" si="3260"/>
        <v/>
      </c>
      <c r="DX240" s="43" t="str">
        <f t="shared" si="3261"/>
        <v/>
      </c>
      <c r="DY240" s="43" t="str">
        <f t="shared" si="3262"/>
        <v/>
      </c>
      <c r="DZ240" s="43" t="str">
        <f t="shared" si="3263"/>
        <v/>
      </c>
      <c r="EA240" s="43" t="str">
        <f t="shared" si="3264"/>
        <v/>
      </c>
      <c r="EB240" s="43" t="str">
        <f t="shared" si="3265"/>
        <v/>
      </c>
      <c r="EC240" s="43" t="str">
        <f t="shared" si="3266"/>
        <v/>
      </c>
      <c r="ED240" s="43" t="str">
        <f t="shared" si="3267"/>
        <v/>
      </c>
      <c r="EE240" s="43" t="str">
        <f t="shared" si="3268"/>
        <v/>
      </c>
      <c r="EF240" s="43" t="str">
        <f t="shared" si="3269"/>
        <v/>
      </c>
      <c r="EG240" s="43" t="str">
        <f t="shared" si="3270"/>
        <v/>
      </c>
      <c r="EH240" s="43" t="str">
        <f t="shared" si="3271"/>
        <v/>
      </c>
      <c r="EI240" s="43" t="str">
        <f t="shared" si="3272"/>
        <v/>
      </c>
      <c r="EJ240" s="43" t="str">
        <f t="shared" si="3273"/>
        <v/>
      </c>
      <c r="EK240" s="43" t="str">
        <f t="shared" si="3274"/>
        <v/>
      </c>
      <c r="EL240" s="43" t="str">
        <f t="shared" si="3275"/>
        <v/>
      </c>
      <c r="EM240" s="43" t="str">
        <f t="shared" si="3276"/>
        <v/>
      </c>
      <c r="EN240" s="43" t="str">
        <f t="shared" si="3277"/>
        <v/>
      </c>
      <c r="EO240" s="43" t="str">
        <f t="shared" si="3278"/>
        <v/>
      </c>
      <c r="EP240" s="43" t="str">
        <f t="shared" si="3279"/>
        <v/>
      </c>
      <c r="EQ240" s="43" t="str">
        <f t="shared" si="3280"/>
        <v/>
      </c>
      <c r="ER240" s="43" t="str">
        <f t="shared" si="3281"/>
        <v/>
      </c>
      <c r="ES240" s="43" t="str">
        <f t="shared" si="3282"/>
        <v/>
      </c>
      <c r="ET240" s="43" t="str">
        <f t="shared" si="3283"/>
        <v/>
      </c>
      <c r="EU240" s="43" t="str">
        <f t="shared" si="3284"/>
        <v/>
      </c>
      <c r="EV240" s="43" t="str">
        <f t="shared" si="3285"/>
        <v/>
      </c>
      <c r="EW240" s="43" t="str">
        <f t="shared" si="3286"/>
        <v/>
      </c>
      <c r="EX240" s="43" t="str">
        <f t="shared" si="3287"/>
        <v/>
      </c>
      <c r="EY240" s="43" t="str">
        <f t="shared" si="3288"/>
        <v/>
      </c>
      <c r="EZ240" s="43" t="str">
        <f t="shared" si="3289"/>
        <v/>
      </c>
      <c r="FA240" s="43" t="str">
        <f t="shared" si="3290"/>
        <v/>
      </c>
      <c r="FB240" s="43" t="str">
        <f t="shared" si="3291"/>
        <v/>
      </c>
      <c r="FC240" s="43" t="str">
        <f t="shared" si="3292"/>
        <v/>
      </c>
      <c r="FD240" s="43" t="str">
        <f t="shared" si="3293"/>
        <v/>
      </c>
      <c r="FE240" s="43" t="str">
        <f t="shared" si="3294"/>
        <v/>
      </c>
      <c r="FF240" s="43" t="str">
        <f t="shared" si="3295"/>
        <v/>
      </c>
      <c r="FG240" s="43" t="str">
        <f t="shared" si="3296"/>
        <v/>
      </c>
      <c r="FH240" s="43" t="str">
        <f t="shared" si="3297"/>
        <v/>
      </c>
      <c r="FI240" s="43" t="str">
        <f t="shared" si="3298"/>
        <v/>
      </c>
      <c r="FJ240" s="43" t="str">
        <f t="shared" si="3299"/>
        <v/>
      </c>
      <c r="FK240" s="43" t="str">
        <f t="shared" si="3300"/>
        <v/>
      </c>
      <c r="FL240" s="43" t="str">
        <f t="shared" si="3301"/>
        <v/>
      </c>
      <c r="FM240" s="43" t="str">
        <f t="shared" si="3302"/>
        <v/>
      </c>
      <c r="FN240" s="43" t="str">
        <f t="shared" si="3303"/>
        <v/>
      </c>
      <c r="FO240" s="43" t="str">
        <f t="shared" si="3304"/>
        <v/>
      </c>
      <c r="FP240" s="43" t="str">
        <f t="shared" si="3305"/>
        <v/>
      </c>
      <c r="FQ240" s="43" t="str">
        <f t="shared" si="3306"/>
        <v/>
      </c>
      <c r="FR240" s="43" t="str">
        <f t="shared" si="3307"/>
        <v/>
      </c>
      <c r="FS240" s="43" t="str">
        <f t="shared" si="3308"/>
        <v/>
      </c>
    </row>
    <row r="241" ht="15" spans="1:175">
      <c r="A241" s="10"/>
      <c r="B241" s="45"/>
      <c r="C241" s="10"/>
      <c r="E241" s="103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78"/>
      <c r="Q241" s="78"/>
      <c r="R241" s="78"/>
      <c r="S241" s="78"/>
      <c r="T241" s="110"/>
      <c r="U241" s="59"/>
      <c r="CU241" s="71" t="str">
        <f t="shared" si="3238"/>
        <v>|n</v>
      </c>
      <c r="CW241" s="6"/>
      <c r="CX241" s="6"/>
      <c r="CY241" s="6"/>
      <c r="CZ241" s="6"/>
      <c r="DA241" s="6"/>
      <c r="DB241" s="43" t="str">
        <f t="shared" si="3239"/>
        <v/>
      </c>
      <c r="DC241" s="43" t="str">
        <f t="shared" si="3240"/>
        <v/>
      </c>
      <c r="DD241" s="43" t="str">
        <f t="shared" si="3241"/>
        <v/>
      </c>
      <c r="DE241" s="43" t="str">
        <f t="shared" si="3242"/>
        <v/>
      </c>
      <c r="DF241" s="43" t="str">
        <f t="shared" si="3243"/>
        <v/>
      </c>
      <c r="DG241" s="43" t="str">
        <f t="shared" si="3244"/>
        <v/>
      </c>
      <c r="DH241" s="43" t="str">
        <f t="shared" si="3245"/>
        <v/>
      </c>
      <c r="DI241" s="43" t="str">
        <f t="shared" si="3246"/>
        <v/>
      </c>
      <c r="DJ241" s="43" t="str">
        <f t="shared" si="3247"/>
        <v/>
      </c>
      <c r="DK241" s="43" t="str">
        <f t="shared" si="3248"/>
        <v/>
      </c>
      <c r="DL241" s="43" t="str">
        <f t="shared" si="3249"/>
        <v/>
      </c>
      <c r="DM241" s="43" t="str">
        <f t="shared" si="3250"/>
        <v/>
      </c>
      <c r="DN241" s="43" t="str">
        <f t="shared" si="3251"/>
        <v/>
      </c>
      <c r="DO241" s="43" t="str">
        <f t="shared" si="3252"/>
        <v/>
      </c>
      <c r="DP241" s="43" t="str">
        <f t="shared" si="3253"/>
        <v/>
      </c>
      <c r="DQ241" s="43" t="str">
        <f t="shared" si="3254"/>
        <v/>
      </c>
      <c r="DR241" s="43" t="str">
        <f t="shared" si="3255"/>
        <v/>
      </c>
      <c r="DS241" s="43" t="str">
        <f t="shared" si="3256"/>
        <v/>
      </c>
      <c r="DT241" s="43" t="str">
        <f t="shared" si="3257"/>
        <v/>
      </c>
      <c r="DU241" s="43" t="str">
        <f t="shared" si="3258"/>
        <v/>
      </c>
      <c r="DV241" s="43" t="str">
        <f t="shared" si="3259"/>
        <v/>
      </c>
      <c r="DW241" s="43" t="str">
        <f t="shared" si="3260"/>
        <v/>
      </c>
      <c r="DX241" s="43" t="str">
        <f t="shared" si="3261"/>
        <v/>
      </c>
      <c r="DY241" s="43" t="str">
        <f t="shared" si="3262"/>
        <v/>
      </c>
      <c r="DZ241" s="43" t="str">
        <f t="shared" si="3263"/>
        <v/>
      </c>
      <c r="EA241" s="43" t="str">
        <f t="shared" si="3264"/>
        <v/>
      </c>
      <c r="EB241" s="43" t="str">
        <f t="shared" si="3265"/>
        <v/>
      </c>
      <c r="EC241" s="43" t="str">
        <f t="shared" si="3266"/>
        <v/>
      </c>
      <c r="ED241" s="43" t="str">
        <f t="shared" si="3267"/>
        <v/>
      </c>
      <c r="EE241" s="43" t="str">
        <f t="shared" si="3268"/>
        <v/>
      </c>
      <c r="EF241" s="43" t="str">
        <f t="shared" si="3269"/>
        <v/>
      </c>
      <c r="EG241" s="43" t="str">
        <f t="shared" si="3270"/>
        <v/>
      </c>
      <c r="EH241" s="43" t="str">
        <f t="shared" si="3271"/>
        <v/>
      </c>
      <c r="EI241" s="43" t="str">
        <f t="shared" si="3272"/>
        <v/>
      </c>
      <c r="EJ241" s="43" t="str">
        <f t="shared" si="3273"/>
        <v/>
      </c>
      <c r="EK241" s="43" t="str">
        <f t="shared" si="3274"/>
        <v/>
      </c>
      <c r="EL241" s="43" t="str">
        <f t="shared" si="3275"/>
        <v/>
      </c>
      <c r="EM241" s="43" t="str">
        <f t="shared" si="3276"/>
        <v/>
      </c>
      <c r="EN241" s="43" t="str">
        <f t="shared" si="3277"/>
        <v/>
      </c>
      <c r="EO241" s="43" t="str">
        <f t="shared" si="3278"/>
        <v/>
      </c>
      <c r="EP241" s="43" t="str">
        <f t="shared" si="3279"/>
        <v/>
      </c>
      <c r="EQ241" s="43" t="str">
        <f t="shared" si="3280"/>
        <v/>
      </c>
      <c r="ER241" s="43" t="str">
        <f t="shared" si="3281"/>
        <v/>
      </c>
      <c r="ES241" s="43" t="str">
        <f t="shared" si="3282"/>
        <v/>
      </c>
      <c r="ET241" s="43" t="str">
        <f t="shared" si="3283"/>
        <v/>
      </c>
      <c r="EU241" s="43" t="str">
        <f t="shared" si="3284"/>
        <v/>
      </c>
      <c r="EV241" s="43" t="str">
        <f t="shared" si="3285"/>
        <v/>
      </c>
      <c r="EW241" s="43" t="str">
        <f t="shared" si="3286"/>
        <v/>
      </c>
      <c r="EX241" s="43" t="str">
        <f t="shared" si="3287"/>
        <v/>
      </c>
      <c r="EY241" s="43" t="str">
        <f t="shared" si="3288"/>
        <v/>
      </c>
      <c r="EZ241" s="43" t="str">
        <f t="shared" si="3289"/>
        <v/>
      </c>
      <c r="FA241" s="43" t="str">
        <f t="shared" si="3290"/>
        <v/>
      </c>
      <c r="FB241" s="43" t="str">
        <f t="shared" si="3291"/>
        <v/>
      </c>
      <c r="FC241" s="43" t="str">
        <f t="shared" si="3292"/>
        <v/>
      </c>
      <c r="FD241" s="43" t="str">
        <f t="shared" si="3293"/>
        <v/>
      </c>
      <c r="FE241" s="43" t="str">
        <f t="shared" si="3294"/>
        <v/>
      </c>
      <c r="FF241" s="43" t="str">
        <f t="shared" si="3295"/>
        <v/>
      </c>
      <c r="FG241" s="43" t="str">
        <f t="shared" si="3296"/>
        <v/>
      </c>
      <c r="FH241" s="43" t="str">
        <f t="shared" si="3297"/>
        <v/>
      </c>
      <c r="FI241" s="43" t="str">
        <f t="shared" si="3298"/>
        <v/>
      </c>
      <c r="FJ241" s="43" t="str">
        <f t="shared" si="3299"/>
        <v/>
      </c>
      <c r="FK241" s="43" t="str">
        <f t="shared" si="3300"/>
        <v/>
      </c>
      <c r="FL241" s="43" t="str">
        <f t="shared" si="3301"/>
        <v/>
      </c>
      <c r="FM241" s="43" t="str">
        <f t="shared" si="3302"/>
        <v/>
      </c>
      <c r="FN241" s="43" t="str">
        <f t="shared" si="3303"/>
        <v/>
      </c>
      <c r="FO241" s="43" t="str">
        <f t="shared" si="3304"/>
        <v/>
      </c>
      <c r="FP241" s="43" t="str">
        <f t="shared" si="3305"/>
        <v/>
      </c>
      <c r="FQ241" s="43" t="str">
        <f t="shared" si="3306"/>
        <v/>
      </c>
      <c r="FR241" s="43" t="str">
        <f t="shared" si="3307"/>
        <v/>
      </c>
      <c r="FS241" s="43" t="str">
        <f t="shared" si="3308"/>
        <v/>
      </c>
    </row>
    <row r="242" ht="15" spans="1:175">
      <c r="A242" s="10"/>
      <c r="B242" s="45"/>
      <c r="C242" s="10"/>
      <c r="E242" s="103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78"/>
      <c r="Q242" s="78"/>
      <c r="R242" s="78"/>
      <c r="S242" s="78"/>
      <c r="T242" s="110"/>
      <c r="U242" s="59"/>
      <c r="CU242" s="71" t="str">
        <f t="shared" si="3238"/>
        <v>|n</v>
      </c>
      <c r="CW242" s="6"/>
      <c r="CX242" s="6"/>
      <c r="CY242" s="6"/>
      <c r="CZ242" s="6"/>
      <c r="DA242" s="6"/>
      <c r="DB242" s="43" t="str">
        <f t="shared" si="3239"/>
        <v/>
      </c>
      <c r="DC242" s="43" t="str">
        <f t="shared" si="3240"/>
        <v/>
      </c>
      <c r="DD242" s="43" t="str">
        <f t="shared" si="3241"/>
        <v/>
      </c>
      <c r="DE242" s="43" t="str">
        <f t="shared" si="3242"/>
        <v/>
      </c>
      <c r="DF242" s="43" t="str">
        <f t="shared" si="3243"/>
        <v/>
      </c>
      <c r="DG242" s="43" t="str">
        <f t="shared" si="3244"/>
        <v/>
      </c>
      <c r="DH242" s="43" t="str">
        <f t="shared" si="3245"/>
        <v/>
      </c>
      <c r="DI242" s="43" t="str">
        <f t="shared" si="3246"/>
        <v/>
      </c>
      <c r="DJ242" s="43" t="str">
        <f t="shared" si="3247"/>
        <v/>
      </c>
      <c r="DK242" s="43" t="str">
        <f t="shared" si="3248"/>
        <v/>
      </c>
      <c r="DL242" s="43" t="str">
        <f t="shared" si="3249"/>
        <v/>
      </c>
      <c r="DM242" s="43" t="str">
        <f t="shared" si="3250"/>
        <v/>
      </c>
      <c r="DN242" s="43" t="str">
        <f t="shared" si="3251"/>
        <v/>
      </c>
      <c r="DO242" s="43" t="str">
        <f t="shared" si="3252"/>
        <v/>
      </c>
      <c r="DP242" s="43" t="str">
        <f t="shared" si="3253"/>
        <v/>
      </c>
      <c r="DQ242" s="43" t="str">
        <f t="shared" si="3254"/>
        <v/>
      </c>
      <c r="DR242" s="43" t="str">
        <f t="shared" si="3255"/>
        <v/>
      </c>
      <c r="DS242" s="43" t="str">
        <f t="shared" si="3256"/>
        <v/>
      </c>
      <c r="DT242" s="43" t="str">
        <f t="shared" si="3257"/>
        <v/>
      </c>
      <c r="DU242" s="43" t="str">
        <f t="shared" si="3258"/>
        <v/>
      </c>
      <c r="DV242" s="43" t="str">
        <f t="shared" si="3259"/>
        <v/>
      </c>
      <c r="DW242" s="43" t="str">
        <f t="shared" si="3260"/>
        <v/>
      </c>
      <c r="DX242" s="43" t="str">
        <f t="shared" si="3261"/>
        <v/>
      </c>
      <c r="DY242" s="43" t="str">
        <f t="shared" si="3262"/>
        <v/>
      </c>
      <c r="DZ242" s="43" t="str">
        <f t="shared" si="3263"/>
        <v/>
      </c>
      <c r="EA242" s="43" t="str">
        <f t="shared" si="3264"/>
        <v/>
      </c>
      <c r="EB242" s="43" t="str">
        <f t="shared" si="3265"/>
        <v/>
      </c>
      <c r="EC242" s="43" t="str">
        <f t="shared" si="3266"/>
        <v/>
      </c>
      <c r="ED242" s="43" t="str">
        <f t="shared" si="3267"/>
        <v/>
      </c>
      <c r="EE242" s="43" t="str">
        <f t="shared" si="3268"/>
        <v/>
      </c>
      <c r="EF242" s="43" t="str">
        <f t="shared" si="3269"/>
        <v/>
      </c>
      <c r="EG242" s="43" t="str">
        <f t="shared" si="3270"/>
        <v/>
      </c>
      <c r="EH242" s="43" t="str">
        <f t="shared" si="3271"/>
        <v/>
      </c>
      <c r="EI242" s="43" t="str">
        <f t="shared" si="3272"/>
        <v/>
      </c>
      <c r="EJ242" s="43" t="str">
        <f t="shared" si="3273"/>
        <v/>
      </c>
      <c r="EK242" s="43" t="str">
        <f t="shared" si="3274"/>
        <v/>
      </c>
      <c r="EL242" s="43" t="str">
        <f t="shared" si="3275"/>
        <v/>
      </c>
      <c r="EM242" s="43" t="str">
        <f t="shared" si="3276"/>
        <v/>
      </c>
      <c r="EN242" s="43" t="str">
        <f t="shared" si="3277"/>
        <v/>
      </c>
      <c r="EO242" s="43" t="str">
        <f t="shared" si="3278"/>
        <v/>
      </c>
      <c r="EP242" s="43" t="str">
        <f t="shared" si="3279"/>
        <v/>
      </c>
      <c r="EQ242" s="43" t="str">
        <f t="shared" si="3280"/>
        <v/>
      </c>
      <c r="ER242" s="43" t="str">
        <f t="shared" si="3281"/>
        <v/>
      </c>
      <c r="ES242" s="43" t="str">
        <f t="shared" si="3282"/>
        <v/>
      </c>
      <c r="ET242" s="43" t="str">
        <f t="shared" si="3283"/>
        <v/>
      </c>
      <c r="EU242" s="43" t="str">
        <f t="shared" si="3284"/>
        <v/>
      </c>
      <c r="EV242" s="43" t="str">
        <f t="shared" si="3285"/>
        <v/>
      </c>
      <c r="EW242" s="43" t="str">
        <f t="shared" si="3286"/>
        <v/>
      </c>
      <c r="EX242" s="43" t="str">
        <f t="shared" si="3287"/>
        <v/>
      </c>
      <c r="EY242" s="43" t="str">
        <f t="shared" si="3288"/>
        <v/>
      </c>
      <c r="EZ242" s="43" t="str">
        <f t="shared" si="3289"/>
        <v/>
      </c>
      <c r="FA242" s="43" t="str">
        <f t="shared" si="3290"/>
        <v/>
      </c>
      <c r="FB242" s="43" t="str">
        <f t="shared" si="3291"/>
        <v/>
      </c>
      <c r="FC242" s="43" t="str">
        <f t="shared" si="3292"/>
        <v/>
      </c>
      <c r="FD242" s="43" t="str">
        <f t="shared" si="3293"/>
        <v/>
      </c>
      <c r="FE242" s="43" t="str">
        <f t="shared" si="3294"/>
        <v/>
      </c>
      <c r="FF242" s="43" t="str">
        <f t="shared" si="3295"/>
        <v/>
      </c>
      <c r="FG242" s="43" t="str">
        <f t="shared" si="3296"/>
        <v/>
      </c>
      <c r="FH242" s="43" t="str">
        <f t="shared" si="3297"/>
        <v/>
      </c>
      <c r="FI242" s="43" t="str">
        <f t="shared" si="3298"/>
        <v/>
      </c>
      <c r="FJ242" s="43" t="str">
        <f t="shared" si="3299"/>
        <v/>
      </c>
      <c r="FK242" s="43" t="str">
        <f t="shared" si="3300"/>
        <v/>
      </c>
      <c r="FL242" s="43" t="str">
        <f t="shared" si="3301"/>
        <v/>
      </c>
      <c r="FM242" s="43" t="str">
        <f t="shared" si="3302"/>
        <v/>
      </c>
      <c r="FN242" s="43" t="str">
        <f t="shared" si="3303"/>
        <v/>
      </c>
      <c r="FO242" s="43" t="str">
        <f t="shared" si="3304"/>
        <v/>
      </c>
      <c r="FP242" s="43" t="str">
        <f t="shared" si="3305"/>
        <v/>
      </c>
      <c r="FQ242" s="43" t="str">
        <f t="shared" si="3306"/>
        <v/>
      </c>
      <c r="FR242" s="43" t="str">
        <f t="shared" si="3307"/>
        <v/>
      </c>
      <c r="FS242" s="43" t="str">
        <f t="shared" si="3308"/>
        <v/>
      </c>
    </row>
    <row r="243" ht="15" spans="1:175">
      <c r="A243" s="10"/>
      <c r="B243" s="45"/>
      <c r="C243" s="10"/>
      <c r="E243" s="103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78"/>
      <c r="Q243" s="78"/>
      <c r="R243" s="78"/>
      <c r="S243" s="78"/>
      <c r="T243" s="110"/>
      <c r="U243" s="59"/>
      <c r="CU243" s="71" t="str">
        <f t="shared" si="3238"/>
        <v>|n</v>
      </c>
      <c r="CW243" s="6"/>
      <c r="CX243" s="6"/>
      <c r="CY243" s="6"/>
      <c r="CZ243" s="6"/>
      <c r="DA243" s="6"/>
      <c r="DB243" s="43" t="str">
        <f t="shared" si="3239"/>
        <v/>
      </c>
      <c r="DC243" s="43" t="str">
        <f t="shared" si="3240"/>
        <v/>
      </c>
      <c r="DD243" s="43" t="str">
        <f t="shared" si="3241"/>
        <v/>
      </c>
      <c r="DE243" s="43" t="str">
        <f t="shared" si="3242"/>
        <v/>
      </c>
      <c r="DF243" s="43" t="str">
        <f t="shared" si="3243"/>
        <v/>
      </c>
      <c r="DG243" s="43" t="str">
        <f t="shared" si="3244"/>
        <v/>
      </c>
      <c r="DH243" s="43" t="str">
        <f t="shared" si="3245"/>
        <v/>
      </c>
      <c r="DI243" s="43" t="str">
        <f t="shared" si="3246"/>
        <v/>
      </c>
      <c r="DJ243" s="43" t="str">
        <f t="shared" si="3247"/>
        <v/>
      </c>
      <c r="DK243" s="43" t="str">
        <f t="shared" si="3248"/>
        <v/>
      </c>
      <c r="DL243" s="43" t="str">
        <f t="shared" si="3249"/>
        <v/>
      </c>
      <c r="DM243" s="43" t="str">
        <f t="shared" si="3250"/>
        <v/>
      </c>
      <c r="DN243" s="43" t="str">
        <f t="shared" si="3251"/>
        <v/>
      </c>
      <c r="DO243" s="43" t="str">
        <f t="shared" si="3252"/>
        <v/>
      </c>
      <c r="DP243" s="43" t="str">
        <f t="shared" si="3253"/>
        <v/>
      </c>
      <c r="DQ243" s="43" t="str">
        <f t="shared" si="3254"/>
        <v/>
      </c>
      <c r="DR243" s="43" t="str">
        <f t="shared" si="3255"/>
        <v/>
      </c>
      <c r="DS243" s="43" t="str">
        <f t="shared" si="3256"/>
        <v/>
      </c>
      <c r="DT243" s="43" t="str">
        <f t="shared" si="3257"/>
        <v/>
      </c>
      <c r="DU243" s="43" t="str">
        <f t="shared" si="3258"/>
        <v/>
      </c>
      <c r="DV243" s="43" t="str">
        <f t="shared" si="3259"/>
        <v/>
      </c>
      <c r="DW243" s="43" t="str">
        <f t="shared" si="3260"/>
        <v/>
      </c>
      <c r="DX243" s="43" t="str">
        <f t="shared" si="3261"/>
        <v/>
      </c>
      <c r="DY243" s="43" t="str">
        <f t="shared" si="3262"/>
        <v/>
      </c>
      <c r="DZ243" s="43" t="str">
        <f t="shared" si="3263"/>
        <v/>
      </c>
      <c r="EA243" s="43" t="str">
        <f t="shared" si="3264"/>
        <v/>
      </c>
      <c r="EB243" s="43" t="str">
        <f t="shared" si="3265"/>
        <v/>
      </c>
      <c r="EC243" s="43" t="str">
        <f t="shared" si="3266"/>
        <v/>
      </c>
      <c r="ED243" s="43" t="str">
        <f t="shared" si="3267"/>
        <v/>
      </c>
      <c r="EE243" s="43" t="str">
        <f t="shared" si="3268"/>
        <v/>
      </c>
      <c r="EF243" s="43" t="str">
        <f t="shared" si="3269"/>
        <v/>
      </c>
      <c r="EG243" s="43" t="str">
        <f t="shared" si="3270"/>
        <v/>
      </c>
      <c r="EH243" s="43" t="str">
        <f t="shared" si="3271"/>
        <v/>
      </c>
      <c r="EI243" s="43" t="str">
        <f t="shared" si="3272"/>
        <v/>
      </c>
      <c r="EJ243" s="43" t="str">
        <f t="shared" si="3273"/>
        <v/>
      </c>
      <c r="EK243" s="43" t="str">
        <f t="shared" si="3274"/>
        <v/>
      </c>
      <c r="EL243" s="43" t="str">
        <f t="shared" si="3275"/>
        <v/>
      </c>
      <c r="EM243" s="43" t="str">
        <f t="shared" si="3276"/>
        <v/>
      </c>
      <c r="EN243" s="43" t="str">
        <f t="shared" si="3277"/>
        <v/>
      </c>
      <c r="EO243" s="43" t="str">
        <f t="shared" si="3278"/>
        <v/>
      </c>
      <c r="EP243" s="43" t="str">
        <f t="shared" si="3279"/>
        <v/>
      </c>
      <c r="EQ243" s="43" t="str">
        <f t="shared" si="3280"/>
        <v/>
      </c>
      <c r="ER243" s="43" t="str">
        <f t="shared" si="3281"/>
        <v/>
      </c>
      <c r="ES243" s="43" t="str">
        <f t="shared" si="3282"/>
        <v/>
      </c>
      <c r="ET243" s="43" t="str">
        <f t="shared" si="3283"/>
        <v/>
      </c>
      <c r="EU243" s="43" t="str">
        <f t="shared" si="3284"/>
        <v/>
      </c>
      <c r="EV243" s="43" t="str">
        <f t="shared" si="3285"/>
        <v/>
      </c>
      <c r="EW243" s="43" t="str">
        <f t="shared" si="3286"/>
        <v/>
      </c>
      <c r="EX243" s="43" t="str">
        <f t="shared" si="3287"/>
        <v/>
      </c>
      <c r="EY243" s="43" t="str">
        <f t="shared" si="3288"/>
        <v/>
      </c>
      <c r="EZ243" s="43" t="str">
        <f t="shared" si="3289"/>
        <v/>
      </c>
      <c r="FA243" s="43" t="str">
        <f t="shared" si="3290"/>
        <v/>
      </c>
      <c r="FB243" s="43" t="str">
        <f t="shared" si="3291"/>
        <v/>
      </c>
      <c r="FC243" s="43" t="str">
        <f t="shared" si="3292"/>
        <v/>
      </c>
      <c r="FD243" s="43" t="str">
        <f t="shared" si="3293"/>
        <v/>
      </c>
      <c r="FE243" s="43" t="str">
        <f t="shared" si="3294"/>
        <v/>
      </c>
      <c r="FF243" s="43" t="str">
        <f t="shared" si="3295"/>
        <v/>
      </c>
      <c r="FG243" s="43" t="str">
        <f t="shared" si="3296"/>
        <v/>
      </c>
      <c r="FH243" s="43" t="str">
        <f t="shared" si="3297"/>
        <v/>
      </c>
      <c r="FI243" s="43" t="str">
        <f t="shared" si="3298"/>
        <v/>
      </c>
      <c r="FJ243" s="43" t="str">
        <f t="shared" si="3299"/>
        <v/>
      </c>
      <c r="FK243" s="43" t="str">
        <f t="shared" si="3300"/>
        <v/>
      </c>
      <c r="FL243" s="43" t="str">
        <f t="shared" si="3301"/>
        <v/>
      </c>
      <c r="FM243" s="43" t="str">
        <f t="shared" si="3302"/>
        <v/>
      </c>
      <c r="FN243" s="43" t="str">
        <f t="shared" si="3303"/>
        <v/>
      </c>
      <c r="FO243" s="43" t="str">
        <f t="shared" si="3304"/>
        <v/>
      </c>
      <c r="FP243" s="43" t="str">
        <f t="shared" si="3305"/>
        <v/>
      </c>
      <c r="FQ243" s="43" t="str">
        <f t="shared" si="3306"/>
        <v/>
      </c>
      <c r="FR243" s="43" t="str">
        <f t="shared" si="3307"/>
        <v/>
      </c>
      <c r="FS243" s="43" t="str">
        <f t="shared" si="3308"/>
        <v/>
      </c>
    </row>
    <row r="244" ht="15" spans="1:175">
      <c r="A244" s="10"/>
      <c r="B244" s="45"/>
      <c r="C244" s="10"/>
      <c r="E244" s="103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78"/>
      <c r="Q244" s="78"/>
      <c r="R244" s="78"/>
      <c r="S244" s="78"/>
      <c r="T244" s="110"/>
      <c r="U244" s="59"/>
      <c r="CU244" s="71" t="str">
        <f t="shared" si="3238"/>
        <v>|n</v>
      </c>
      <c r="CW244" s="6"/>
      <c r="CX244" s="6"/>
      <c r="CY244" s="6"/>
      <c r="CZ244" s="6"/>
      <c r="DA244" s="6"/>
      <c r="DB244" s="43" t="str">
        <f t="shared" si="3239"/>
        <v/>
      </c>
      <c r="DC244" s="43" t="str">
        <f t="shared" si="3240"/>
        <v/>
      </c>
      <c r="DD244" s="43" t="str">
        <f t="shared" si="3241"/>
        <v/>
      </c>
      <c r="DE244" s="43" t="str">
        <f t="shared" si="3242"/>
        <v/>
      </c>
      <c r="DF244" s="43" t="str">
        <f t="shared" si="3243"/>
        <v/>
      </c>
      <c r="DG244" s="43" t="str">
        <f t="shared" si="3244"/>
        <v/>
      </c>
      <c r="DH244" s="43" t="str">
        <f t="shared" si="3245"/>
        <v/>
      </c>
      <c r="DI244" s="43" t="str">
        <f t="shared" si="3246"/>
        <v/>
      </c>
      <c r="DJ244" s="43" t="str">
        <f t="shared" si="3247"/>
        <v/>
      </c>
      <c r="DK244" s="43" t="str">
        <f t="shared" si="3248"/>
        <v/>
      </c>
      <c r="DL244" s="43" t="str">
        <f t="shared" si="3249"/>
        <v/>
      </c>
      <c r="DM244" s="43" t="str">
        <f t="shared" si="3250"/>
        <v/>
      </c>
      <c r="DN244" s="43" t="str">
        <f t="shared" si="3251"/>
        <v/>
      </c>
      <c r="DO244" s="43" t="str">
        <f t="shared" si="3252"/>
        <v/>
      </c>
      <c r="DP244" s="43" t="str">
        <f t="shared" si="3253"/>
        <v/>
      </c>
      <c r="DQ244" s="43" t="str">
        <f t="shared" si="3254"/>
        <v/>
      </c>
      <c r="DR244" s="43" t="str">
        <f t="shared" si="3255"/>
        <v/>
      </c>
      <c r="DS244" s="43" t="str">
        <f t="shared" si="3256"/>
        <v/>
      </c>
      <c r="DT244" s="43" t="str">
        <f t="shared" si="3257"/>
        <v/>
      </c>
      <c r="DU244" s="43" t="str">
        <f t="shared" si="3258"/>
        <v/>
      </c>
      <c r="DV244" s="43" t="str">
        <f t="shared" si="3259"/>
        <v/>
      </c>
      <c r="DW244" s="43" t="str">
        <f t="shared" si="3260"/>
        <v/>
      </c>
      <c r="DX244" s="43" t="str">
        <f t="shared" si="3261"/>
        <v/>
      </c>
      <c r="DY244" s="43" t="str">
        <f t="shared" si="3262"/>
        <v/>
      </c>
      <c r="DZ244" s="43" t="str">
        <f t="shared" si="3263"/>
        <v/>
      </c>
      <c r="EA244" s="43" t="str">
        <f t="shared" si="3264"/>
        <v/>
      </c>
      <c r="EB244" s="43" t="str">
        <f t="shared" si="3265"/>
        <v/>
      </c>
      <c r="EC244" s="43" t="str">
        <f t="shared" si="3266"/>
        <v/>
      </c>
      <c r="ED244" s="43" t="str">
        <f t="shared" si="3267"/>
        <v/>
      </c>
      <c r="EE244" s="43" t="str">
        <f t="shared" si="3268"/>
        <v/>
      </c>
      <c r="EF244" s="43" t="str">
        <f t="shared" si="3269"/>
        <v/>
      </c>
      <c r="EG244" s="43" t="str">
        <f t="shared" si="3270"/>
        <v/>
      </c>
      <c r="EH244" s="43" t="str">
        <f t="shared" si="3271"/>
        <v/>
      </c>
      <c r="EI244" s="43" t="str">
        <f t="shared" si="3272"/>
        <v/>
      </c>
      <c r="EJ244" s="43" t="str">
        <f t="shared" si="3273"/>
        <v/>
      </c>
      <c r="EK244" s="43" t="str">
        <f t="shared" si="3274"/>
        <v/>
      </c>
      <c r="EL244" s="43" t="str">
        <f t="shared" si="3275"/>
        <v/>
      </c>
      <c r="EM244" s="43" t="str">
        <f t="shared" si="3276"/>
        <v/>
      </c>
      <c r="EN244" s="43" t="str">
        <f t="shared" si="3277"/>
        <v/>
      </c>
      <c r="EO244" s="43" t="str">
        <f t="shared" si="3278"/>
        <v/>
      </c>
      <c r="EP244" s="43" t="str">
        <f t="shared" si="3279"/>
        <v/>
      </c>
      <c r="EQ244" s="43" t="str">
        <f t="shared" si="3280"/>
        <v/>
      </c>
      <c r="ER244" s="43" t="str">
        <f t="shared" si="3281"/>
        <v/>
      </c>
      <c r="ES244" s="43" t="str">
        <f t="shared" si="3282"/>
        <v/>
      </c>
      <c r="ET244" s="43" t="str">
        <f t="shared" si="3283"/>
        <v/>
      </c>
      <c r="EU244" s="43" t="str">
        <f t="shared" si="3284"/>
        <v/>
      </c>
      <c r="EV244" s="43" t="str">
        <f t="shared" si="3285"/>
        <v/>
      </c>
      <c r="EW244" s="43" t="str">
        <f t="shared" si="3286"/>
        <v/>
      </c>
      <c r="EX244" s="43" t="str">
        <f t="shared" si="3287"/>
        <v/>
      </c>
      <c r="EY244" s="43" t="str">
        <f t="shared" si="3288"/>
        <v/>
      </c>
      <c r="EZ244" s="43" t="str">
        <f t="shared" si="3289"/>
        <v/>
      </c>
      <c r="FA244" s="43" t="str">
        <f t="shared" si="3290"/>
        <v/>
      </c>
      <c r="FB244" s="43" t="str">
        <f t="shared" si="3291"/>
        <v/>
      </c>
      <c r="FC244" s="43" t="str">
        <f t="shared" si="3292"/>
        <v/>
      </c>
      <c r="FD244" s="43" t="str">
        <f t="shared" si="3293"/>
        <v/>
      </c>
      <c r="FE244" s="43" t="str">
        <f t="shared" si="3294"/>
        <v/>
      </c>
      <c r="FF244" s="43" t="str">
        <f t="shared" si="3295"/>
        <v/>
      </c>
      <c r="FG244" s="43" t="str">
        <f t="shared" si="3296"/>
        <v/>
      </c>
      <c r="FH244" s="43" t="str">
        <f t="shared" si="3297"/>
        <v/>
      </c>
      <c r="FI244" s="43" t="str">
        <f t="shared" si="3298"/>
        <v/>
      </c>
      <c r="FJ244" s="43" t="str">
        <f t="shared" si="3299"/>
        <v/>
      </c>
      <c r="FK244" s="43" t="str">
        <f t="shared" si="3300"/>
        <v/>
      </c>
      <c r="FL244" s="43" t="str">
        <f t="shared" si="3301"/>
        <v/>
      </c>
      <c r="FM244" s="43" t="str">
        <f t="shared" si="3302"/>
        <v/>
      </c>
      <c r="FN244" s="43" t="str">
        <f t="shared" si="3303"/>
        <v/>
      </c>
      <c r="FO244" s="43" t="str">
        <f t="shared" si="3304"/>
        <v/>
      </c>
      <c r="FP244" s="43" t="str">
        <f t="shared" si="3305"/>
        <v/>
      </c>
      <c r="FQ244" s="43" t="str">
        <f t="shared" si="3306"/>
        <v/>
      </c>
      <c r="FR244" s="43" t="str">
        <f t="shared" si="3307"/>
        <v/>
      </c>
      <c r="FS244" s="43" t="str">
        <f t="shared" si="3308"/>
        <v/>
      </c>
    </row>
    <row r="245" spans="1:175">
      <c r="A245" s="7"/>
      <c r="B245" s="7"/>
      <c r="C245" s="7"/>
      <c r="E245" s="104"/>
      <c r="T245" s="109"/>
      <c r="U245" s="59"/>
      <c r="CU245" s="71" t="str">
        <f t="shared" si="3238"/>
        <v>|n</v>
      </c>
      <c r="CW245" s="6"/>
      <c r="CX245" s="6"/>
      <c r="CY245" s="6"/>
      <c r="CZ245" s="6"/>
      <c r="DA245" s="6"/>
      <c r="DB245" s="43" t="str">
        <f t="shared" si="3239"/>
        <v/>
      </c>
      <c r="DC245" s="43" t="str">
        <f t="shared" si="3240"/>
        <v/>
      </c>
      <c r="DD245" s="43" t="str">
        <f t="shared" si="3241"/>
        <v/>
      </c>
      <c r="DE245" s="43" t="str">
        <f t="shared" si="3242"/>
        <v/>
      </c>
      <c r="DF245" s="43" t="str">
        <f t="shared" si="3243"/>
        <v/>
      </c>
      <c r="DG245" s="43" t="str">
        <f t="shared" si="3244"/>
        <v/>
      </c>
      <c r="DH245" s="43" t="str">
        <f t="shared" si="3245"/>
        <v/>
      </c>
      <c r="DI245" s="43" t="str">
        <f t="shared" si="3246"/>
        <v/>
      </c>
      <c r="DJ245" s="43" t="str">
        <f t="shared" si="3247"/>
        <v/>
      </c>
      <c r="DK245" s="43" t="str">
        <f t="shared" si="3248"/>
        <v/>
      </c>
      <c r="DL245" s="43" t="str">
        <f t="shared" si="3249"/>
        <v/>
      </c>
      <c r="DM245" s="43" t="str">
        <f t="shared" si="3250"/>
        <v/>
      </c>
      <c r="DN245" s="43" t="str">
        <f t="shared" si="3251"/>
        <v/>
      </c>
      <c r="DO245" s="43" t="str">
        <f t="shared" si="3252"/>
        <v/>
      </c>
      <c r="DP245" s="43" t="str">
        <f t="shared" si="3253"/>
        <v/>
      </c>
      <c r="DQ245" s="43" t="str">
        <f t="shared" si="3254"/>
        <v/>
      </c>
      <c r="DR245" s="43" t="str">
        <f t="shared" si="3255"/>
        <v/>
      </c>
      <c r="DS245" s="43" t="str">
        <f t="shared" si="3256"/>
        <v/>
      </c>
      <c r="DT245" s="43" t="str">
        <f t="shared" si="3257"/>
        <v/>
      </c>
      <c r="DU245" s="43" t="str">
        <f t="shared" si="3258"/>
        <v/>
      </c>
      <c r="DV245" s="43" t="str">
        <f t="shared" si="3259"/>
        <v/>
      </c>
      <c r="DW245" s="43" t="str">
        <f t="shared" si="3260"/>
        <v/>
      </c>
      <c r="DX245" s="43" t="str">
        <f t="shared" si="3261"/>
        <v/>
      </c>
      <c r="DY245" s="43" t="str">
        <f t="shared" si="3262"/>
        <v/>
      </c>
      <c r="DZ245" s="43" t="str">
        <f t="shared" si="3263"/>
        <v/>
      </c>
      <c r="EA245" s="43" t="str">
        <f t="shared" si="3264"/>
        <v/>
      </c>
      <c r="EB245" s="43" t="str">
        <f t="shared" si="3265"/>
        <v/>
      </c>
      <c r="EC245" s="43" t="str">
        <f t="shared" si="3266"/>
        <v/>
      </c>
      <c r="ED245" s="43" t="str">
        <f t="shared" si="3267"/>
        <v/>
      </c>
      <c r="EE245" s="43" t="str">
        <f t="shared" si="3268"/>
        <v/>
      </c>
      <c r="EF245" s="43" t="str">
        <f t="shared" si="3269"/>
        <v/>
      </c>
      <c r="EG245" s="43" t="str">
        <f t="shared" si="3270"/>
        <v/>
      </c>
      <c r="EH245" s="43" t="str">
        <f t="shared" si="3271"/>
        <v/>
      </c>
      <c r="EI245" s="43" t="str">
        <f t="shared" si="3272"/>
        <v/>
      </c>
      <c r="EJ245" s="43" t="str">
        <f t="shared" si="3273"/>
        <v/>
      </c>
      <c r="EK245" s="43" t="str">
        <f t="shared" si="3274"/>
        <v/>
      </c>
      <c r="EL245" s="43" t="str">
        <f t="shared" si="3275"/>
        <v/>
      </c>
      <c r="EM245" s="43" t="str">
        <f t="shared" si="3276"/>
        <v/>
      </c>
      <c r="EN245" s="43" t="str">
        <f t="shared" si="3277"/>
        <v/>
      </c>
      <c r="EO245" s="43" t="str">
        <f t="shared" si="3278"/>
        <v/>
      </c>
      <c r="EP245" s="43" t="str">
        <f t="shared" si="3279"/>
        <v/>
      </c>
      <c r="EQ245" s="43" t="str">
        <f t="shared" si="3280"/>
        <v/>
      </c>
      <c r="ER245" s="43" t="str">
        <f t="shared" si="3281"/>
        <v/>
      </c>
      <c r="ES245" s="43" t="str">
        <f t="shared" si="3282"/>
        <v/>
      </c>
      <c r="ET245" s="43" t="str">
        <f t="shared" si="3283"/>
        <v/>
      </c>
      <c r="EU245" s="43" t="str">
        <f t="shared" si="3284"/>
        <v/>
      </c>
      <c r="EV245" s="43" t="str">
        <f t="shared" si="3285"/>
        <v/>
      </c>
      <c r="EW245" s="43" t="str">
        <f t="shared" si="3286"/>
        <v/>
      </c>
      <c r="EX245" s="43" t="str">
        <f t="shared" si="3287"/>
        <v/>
      </c>
      <c r="EY245" s="43" t="str">
        <f t="shared" si="3288"/>
        <v/>
      </c>
      <c r="EZ245" s="43" t="str">
        <f t="shared" si="3289"/>
        <v/>
      </c>
      <c r="FA245" s="43" t="str">
        <f t="shared" si="3290"/>
        <v/>
      </c>
      <c r="FB245" s="43" t="str">
        <f t="shared" si="3291"/>
        <v/>
      </c>
      <c r="FC245" s="43" t="str">
        <f t="shared" si="3292"/>
        <v/>
      </c>
      <c r="FD245" s="43" t="str">
        <f t="shared" si="3293"/>
        <v/>
      </c>
      <c r="FE245" s="43" t="str">
        <f t="shared" si="3294"/>
        <v/>
      </c>
      <c r="FF245" s="43" t="str">
        <f t="shared" si="3295"/>
        <v/>
      </c>
      <c r="FG245" s="43" t="str">
        <f t="shared" si="3296"/>
        <v/>
      </c>
      <c r="FH245" s="43" t="str">
        <f t="shared" si="3297"/>
        <v/>
      </c>
      <c r="FI245" s="43" t="str">
        <f t="shared" si="3298"/>
        <v/>
      </c>
      <c r="FJ245" s="43" t="str">
        <f t="shared" si="3299"/>
        <v/>
      </c>
      <c r="FK245" s="43" t="str">
        <f t="shared" si="3300"/>
        <v/>
      </c>
      <c r="FL245" s="43" t="str">
        <f t="shared" si="3301"/>
        <v/>
      </c>
      <c r="FM245" s="43" t="str">
        <f t="shared" si="3302"/>
        <v/>
      </c>
      <c r="FN245" s="43" t="str">
        <f t="shared" si="3303"/>
        <v/>
      </c>
      <c r="FO245" s="43" t="str">
        <f t="shared" si="3304"/>
        <v/>
      </c>
      <c r="FP245" s="43" t="str">
        <f t="shared" si="3305"/>
        <v/>
      </c>
      <c r="FQ245" s="43" t="str">
        <f t="shared" si="3306"/>
        <v/>
      </c>
      <c r="FR245" s="43" t="str">
        <f t="shared" si="3307"/>
        <v/>
      </c>
      <c r="FS245" s="43" t="str">
        <f t="shared" si="3308"/>
        <v/>
      </c>
    </row>
    <row r="246" spans="1:175">
      <c r="A246" s="7"/>
      <c r="B246" s="7"/>
      <c r="C246" s="7"/>
      <c r="E246" s="104"/>
      <c r="T246" s="109"/>
      <c r="U246" s="59"/>
      <c r="CU246" s="71" t="str">
        <f t="shared" si="3238"/>
        <v>|n</v>
      </c>
      <c r="CW246" s="6"/>
      <c r="CX246" s="6"/>
      <c r="CY246" s="6"/>
      <c r="CZ246" s="6"/>
      <c r="DA246" s="6"/>
      <c r="DB246" s="43" t="str">
        <f t="shared" si="3239"/>
        <v/>
      </c>
      <c r="DC246" s="43" t="str">
        <f t="shared" si="3240"/>
        <v/>
      </c>
      <c r="DD246" s="43" t="str">
        <f t="shared" si="3241"/>
        <v/>
      </c>
      <c r="DE246" s="43" t="str">
        <f t="shared" si="3242"/>
        <v/>
      </c>
      <c r="DF246" s="43" t="str">
        <f t="shared" si="3243"/>
        <v/>
      </c>
      <c r="DG246" s="43" t="str">
        <f t="shared" si="3244"/>
        <v/>
      </c>
      <c r="DH246" s="43" t="str">
        <f t="shared" si="3245"/>
        <v/>
      </c>
      <c r="DI246" s="43" t="str">
        <f t="shared" si="3246"/>
        <v/>
      </c>
      <c r="DJ246" s="43" t="str">
        <f t="shared" si="3247"/>
        <v/>
      </c>
      <c r="DK246" s="43" t="str">
        <f t="shared" si="3248"/>
        <v/>
      </c>
      <c r="DL246" s="43" t="str">
        <f t="shared" si="3249"/>
        <v/>
      </c>
      <c r="DM246" s="43" t="str">
        <f t="shared" si="3250"/>
        <v/>
      </c>
      <c r="DN246" s="43" t="str">
        <f t="shared" si="3251"/>
        <v/>
      </c>
      <c r="DO246" s="43" t="str">
        <f t="shared" si="3252"/>
        <v/>
      </c>
      <c r="DP246" s="43" t="str">
        <f t="shared" si="3253"/>
        <v/>
      </c>
      <c r="DQ246" s="43" t="str">
        <f t="shared" si="3254"/>
        <v/>
      </c>
      <c r="DR246" s="43" t="str">
        <f t="shared" si="3255"/>
        <v/>
      </c>
      <c r="DS246" s="43" t="str">
        <f t="shared" si="3256"/>
        <v/>
      </c>
      <c r="DT246" s="43" t="str">
        <f t="shared" si="3257"/>
        <v/>
      </c>
      <c r="DU246" s="43" t="str">
        <f t="shared" si="3258"/>
        <v/>
      </c>
      <c r="DV246" s="43" t="str">
        <f t="shared" si="3259"/>
        <v/>
      </c>
      <c r="DW246" s="43" t="str">
        <f t="shared" si="3260"/>
        <v/>
      </c>
      <c r="DX246" s="43" t="str">
        <f t="shared" si="3261"/>
        <v/>
      </c>
      <c r="DY246" s="43" t="str">
        <f t="shared" si="3262"/>
        <v/>
      </c>
      <c r="DZ246" s="43" t="str">
        <f t="shared" si="3263"/>
        <v/>
      </c>
      <c r="EA246" s="43" t="str">
        <f t="shared" si="3264"/>
        <v/>
      </c>
      <c r="EB246" s="43" t="str">
        <f t="shared" si="3265"/>
        <v/>
      </c>
      <c r="EC246" s="43" t="str">
        <f t="shared" si="3266"/>
        <v/>
      </c>
      <c r="ED246" s="43" t="str">
        <f t="shared" si="3267"/>
        <v/>
      </c>
      <c r="EE246" s="43" t="str">
        <f t="shared" si="3268"/>
        <v/>
      </c>
      <c r="EF246" s="43" t="str">
        <f t="shared" si="3269"/>
        <v/>
      </c>
      <c r="EG246" s="43" t="str">
        <f t="shared" si="3270"/>
        <v/>
      </c>
      <c r="EH246" s="43" t="str">
        <f t="shared" si="3271"/>
        <v/>
      </c>
      <c r="EI246" s="43" t="str">
        <f t="shared" si="3272"/>
        <v/>
      </c>
      <c r="EJ246" s="43" t="str">
        <f t="shared" si="3273"/>
        <v/>
      </c>
      <c r="EK246" s="43" t="str">
        <f t="shared" si="3274"/>
        <v/>
      </c>
      <c r="EL246" s="43" t="str">
        <f t="shared" si="3275"/>
        <v/>
      </c>
      <c r="EM246" s="43" t="str">
        <f t="shared" si="3276"/>
        <v/>
      </c>
      <c r="EN246" s="43" t="str">
        <f t="shared" si="3277"/>
        <v/>
      </c>
      <c r="EO246" s="43" t="str">
        <f t="shared" si="3278"/>
        <v/>
      </c>
      <c r="EP246" s="43" t="str">
        <f t="shared" si="3279"/>
        <v/>
      </c>
      <c r="EQ246" s="43" t="str">
        <f t="shared" si="3280"/>
        <v/>
      </c>
      <c r="ER246" s="43" t="str">
        <f t="shared" si="3281"/>
        <v/>
      </c>
      <c r="ES246" s="43" t="str">
        <f t="shared" si="3282"/>
        <v/>
      </c>
      <c r="ET246" s="43" t="str">
        <f t="shared" si="3283"/>
        <v/>
      </c>
      <c r="EU246" s="43" t="str">
        <f t="shared" si="3284"/>
        <v/>
      </c>
      <c r="EV246" s="43" t="str">
        <f t="shared" si="3285"/>
        <v/>
      </c>
      <c r="EW246" s="43" t="str">
        <f t="shared" si="3286"/>
        <v/>
      </c>
      <c r="EX246" s="43" t="str">
        <f t="shared" si="3287"/>
        <v/>
      </c>
      <c r="EY246" s="43" t="str">
        <f t="shared" si="3288"/>
        <v/>
      </c>
      <c r="EZ246" s="43" t="str">
        <f t="shared" si="3289"/>
        <v/>
      </c>
      <c r="FA246" s="43" t="str">
        <f t="shared" si="3290"/>
        <v/>
      </c>
      <c r="FB246" s="43" t="str">
        <f t="shared" si="3291"/>
        <v/>
      </c>
      <c r="FC246" s="43" t="str">
        <f t="shared" si="3292"/>
        <v/>
      </c>
      <c r="FD246" s="43" t="str">
        <f t="shared" si="3293"/>
        <v/>
      </c>
      <c r="FE246" s="43" t="str">
        <f t="shared" si="3294"/>
        <v/>
      </c>
      <c r="FF246" s="43" t="str">
        <f t="shared" si="3295"/>
        <v/>
      </c>
      <c r="FG246" s="43" t="str">
        <f t="shared" si="3296"/>
        <v/>
      </c>
      <c r="FH246" s="43" t="str">
        <f t="shared" si="3297"/>
        <v/>
      </c>
      <c r="FI246" s="43" t="str">
        <f t="shared" si="3298"/>
        <v/>
      </c>
      <c r="FJ246" s="43" t="str">
        <f t="shared" si="3299"/>
        <v/>
      </c>
      <c r="FK246" s="43" t="str">
        <f t="shared" si="3300"/>
        <v/>
      </c>
      <c r="FL246" s="43" t="str">
        <f t="shared" si="3301"/>
        <v/>
      </c>
      <c r="FM246" s="43" t="str">
        <f t="shared" si="3302"/>
        <v/>
      </c>
      <c r="FN246" s="43" t="str">
        <f t="shared" si="3303"/>
        <v/>
      </c>
      <c r="FO246" s="43" t="str">
        <f t="shared" si="3304"/>
        <v/>
      </c>
      <c r="FP246" s="43" t="str">
        <f t="shared" si="3305"/>
        <v/>
      </c>
      <c r="FQ246" s="43" t="str">
        <f t="shared" si="3306"/>
        <v/>
      </c>
      <c r="FR246" s="43" t="str">
        <f t="shared" si="3307"/>
        <v/>
      </c>
      <c r="FS246" s="43" t="str">
        <f t="shared" si="3308"/>
        <v/>
      </c>
    </row>
    <row r="247" s="6" customFormat="1" ht="15" spans="1:175">
      <c r="A247" s="100"/>
      <c r="B247" s="45"/>
      <c r="C247" s="100"/>
      <c r="D247" s="46"/>
      <c r="E247" s="47"/>
      <c r="F247" s="101"/>
      <c r="G247" s="102"/>
      <c r="H247" s="102"/>
      <c r="I247" s="102"/>
      <c r="J247" s="102"/>
      <c r="K247" s="102"/>
      <c r="L247" s="102"/>
      <c r="M247" s="102"/>
      <c r="N247" s="102"/>
      <c r="O247" s="102"/>
      <c r="P247" s="53"/>
      <c r="Q247" s="53"/>
      <c r="R247" s="53"/>
      <c r="S247" s="53"/>
      <c r="T247" s="62"/>
      <c r="U247" s="59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  <c r="AK247" s="60"/>
      <c r="AL247" s="60"/>
      <c r="AM247" s="60"/>
      <c r="AN247" s="60"/>
      <c r="AO247" s="60"/>
      <c r="AP247" s="60"/>
      <c r="AQ247" s="60"/>
      <c r="AR247" s="66"/>
      <c r="AS247" s="66"/>
      <c r="AT247" s="60"/>
      <c r="AU247" s="60"/>
      <c r="AV247" s="60"/>
      <c r="AW247" s="60"/>
      <c r="AX247" s="60"/>
      <c r="AY247" s="60"/>
      <c r="AZ247" s="60"/>
      <c r="BA247" s="60"/>
      <c r="BB247" s="60"/>
      <c r="BC247" s="60"/>
      <c r="BD247" s="60"/>
      <c r="BE247" s="60"/>
      <c r="BF247" s="60"/>
      <c r="BG247" s="60"/>
      <c r="BH247" s="60"/>
      <c r="BI247" s="60"/>
      <c r="BJ247" s="60"/>
      <c r="BK247" s="60"/>
      <c r="BL247" s="60"/>
      <c r="BM247" s="60"/>
      <c r="BN247" s="60"/>
      <c r="BO247" s="60"/>
      <c r="BP247" s="60"/>
      <c r="BQ247" s="60"/>
      <c r="BR247" s="60"/>
      <c r="BS247" s="60"/>
      <c r="BT247" s="60"/>
      <c r="BU247" s="60"/>
      <c r="BV247" s="60"/>
      <c r="BW247" s="60"/>
      <c r="BX247" s="60"/>
      <c r="BY247" s="60"/>
      <c r="BZ247" s="60"/>
      <c r="CA247" s="60"/>
      <c r="CB247" s="60"/>
      <c r="CC247" s="60"/>
      <c r="CD247" s="60"/>
      <c r="CE247" s="60"/>
      <c r="CF247" s="60"/>
      <c r="CG247" s="60"/>
      <c r="CH247" s="60"/>
      <c r="CI247" s="60"/>
      <c r="CJ247" s="60"/>
      <c r="CK247" s="60"/>
      <c r="CL247" s="60"/>
      <c r="CM247" s="60"/>
      <c r="CN247" s="69" t="str">
        <f>"InitUnitState('"&amp;B247&amp;"',"&amp;V247&amp;","&amp;W247&amp;","&amp;X247&amp;","&amp;Y247&amp;","&amp;Z247&amp;","&amp;AA247&amp;","&amp;AB247&amp;","&amp;AC247&amp;","&amp;AD247&amp;","&amp;AE247&amp;")"</f>
        <v>InitUnitState('',,,,,,,,,,)</v>
      </c>
      <c r="CO247" s="69" t="str">
        <f>"InitUnitNormal('"&amp;B247&amp;"',"&amp;AF247&amp;","&amp;AG247&amp;","&amp;AH247&amp;","&amp;AI247&amp;","&amp;AJ247&amp;","&amp;AK247&amp;","&amp;AL247&amp;","&amp;AM247&amp;","&amp;AN247&amp;","&amp;AO247&amp;")"</f>
        <v>InitUnitNormal('',,,,,,,,,,)</v>
      </c>
      <c r="CP247" s="69" t="str">
        <f>"InitUnitMagic('"&amp;B247&amp;"',"&amp;AP247&amp;","&amp;AQ247&amp;","&amp;AR247&amp;","&amp;AS247&amp;","&amp;AT247&amp;","&amp;AU247&amp;","&amp;AV247&amp;","&amp;AW247&amp;","&amp;BI247&amp;","&amp;BJ247&amp;")"</f>
        <v>InitUnitMagic('',,,,,,,,,,)</v>
      </c>
      <c r="CQ247" s="69" t="str">
        <f>"InitUnitAdd('"&amp;B247&amp;"',"&amp;BK247&amp;","&amp;BL247&amp;","&amp;BM247&amp;","&amp;BN247&amp;","&amp;BO247&amp;","&amp;BP247&amp;","&amp;BQ247&amp;","&amp;BR247&amp;","&amp;BS247&amp;","&amp;BT247&amp;")"</f>
        <v>InitUnitAdd('',,,,,,,,,,)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InitEquipData('',,"",,,,,'','','','','','',"")</v>
      </c>
      <c r="CS247" s="69"/>
      <c r="CT247" s="69"/>
      <c r="CU247" s="71" t="str">
        <f t="shared" si="3238"/>
        <v>|n</v>
      </c>
      <c r="CV247" s="5"/>
      <c r="DB247" s="43" t="str">
        <f t="shared" si="3239"/>
        <v/>
      </c>
      <c r="DC247" s="43" t="str">
        <f t="shared" si="3240"/>
        <v/>
      </c>
      <c r="DD247" s="43" t="str">
        <f t="shared" si="3241"/>
        <v/>
      </c>
      <c r="DE247" s="43" t="str">
        <f t="shared" si="3242"/>
        <v/>
      </c>
      <c r="DF247" s="43" t="str">
        <f t="shared" si="3243"/>
        <v/>
      </c>
      <c r="DG247" s="43" t="str">
        <f t="shared" si="3244"/>
        <v/>
      </c>
      <c r="DH247" s="43" t="str">
        <f t="shared" si="3245"/>
        <v/>
      </c>
      <c r="DI247" s="43" t="str">
        <f t="shared" si="3246"/>
        <v/>
      </c>
      <c r="DJ247" s="43" t="str">
        <f t="shared" si="3247"/>
        <v/>
      </c>
      <c r="DK247" s="43" t="str">
        <f t="shared" si="3248"/>
        <v/>
      </c>
      <c r="DL247" s="43" t="str">
        <f t="shared" si="3249"/>
        <v/>
      </c>
      <c r="DM247" s="43" t="str">
        <f t="shared" si="3250"/>
        <v/>
      </c>
      <c r="DN247" s="43" t="str">
        <f t="shared" si="3251"/>
        <v/>
      </c>
      <c r="DO247" s="43" t="str">
        <f t="shared" si="3252"/>
        <v/>
      </c>
      <c r="DP247" s="43" t="str">
        <f t="shared" si="3253"/>
        <v/>
      </c>
      <c r="DQ247" s="43" t="str">
        <f t="shared" si="3254"/>
        <v/>
      </c>
      <c r="DR247" s="43" t="str">
        <f t="shared" si="3255"/>
        <v/>
      </c>
      <c r="DS247" s="43" t="str">
        <f t="shared" si="3256"/>
        <v/>
      </c>
      <c r="DT247" s="43" t="str">
        <f t="shared" si="3257"/>
        <v/>
      </c>
      <c r="DU247" s="43" t="str">
        <f t="shared" si="3258"/>
        <v/>
      </c>
      <c r="DV247" s="43" t="str">
        <f t="shared" si="3259"/>
        <v/>
      </c>
      <c r="DW247" s="43" t="str">
        <f t="shared" si="3260"/>
        <v/>
      </c>
      <c r="DX247" s="43" t="str">
        <f t="shared" si="3261"/>
        <v/>
      </c>
      <c r="DY247" s="43" t="str">
        <f t="shared" si="3262"/>
        <v/>
      </c>
      <c r="DZ247" s="43" t="str">
        <f t="shared" si="3263"/>
        <v/>
      </c>
      <c r="EA247" s="43" t="str">
        <f t="shared" si="3264"/>
        <v/>
      </c>
      <c r="EB247" s="43" t="str">
        <f t="shared" si="3265"/>
        <v/>
      </c>
      <c r="EC247" s="43" t="str">
        <f t="shared" si="3266"/>
        <v/>
      </c>
      <c r="ED247" s="43" t="str">
        <f t="shared" si="3267"/>
        <v/>
      </c>
      <c r="EE247" s="43" t="str">
        <f t="shared" si="3268"/>
        <v/>
      </c>
      <c r="EF247" s="43" t="str">
        <f t="shared" si="3269"/>
        <v/>
      </c>
      <c r="EG247" s="43" t="str">
        <f t="shared" si="3270"/>
        <v/>
      </c>
      <c r="EH247" s="43" t="str">
        <f t="shared" si="3271"/>
        <v/>
      </c>
      <c r="EI247" s="43" t="str">
        <f t="shared" si="3272"/>
        <v/>
      </c>
      <c r="EJ247" s="43" t="str">
        <f t="shared" si="3273"/>
        <v/>
      </c>
      <c r="EK247" s="43" t="str">
        <f t="shared" si="3274"/>
        <v/>
      </c>
      <c r="EL247" s="43" t="str">
        <f t="shared" si="3275"/>
        <v/>
      </c>
      <c r="EM247" s="43" t="str">
        <f t="shared" si="3276"/>
        <v/>
      </c>
      <c r="EN247" s="43" t="str">
        <f t="shared" si="3277"/>
        <v/>
      </c>
      <c r="EO247" s="43" t="str">
        <f t="shared" si="3278"/>
        <v/>
      </c>
      <c r="EP247" s="43" t="str">
        <f t="shared" si="3279"/>
        <v/>
      </c>
      <c r="EQ247" s="43" t="str">
        <f t="shared" si="3280"/>
        <v/>
      </c>
      <c r="ER247" s="43" t="str">
        <f t="shared" si="3281"/>
        <v/>
      </c>
      <c r="ES247" s="43" t="str">
        <f t="shared" si="3282"/>
        <v/>
      </c>
      <c r="ET247" s="43" t="str">
        <f t="shared" si="3283"/>
        <v/>
      </c>
      <c r="EU247" s="43" t="str">
        <f t="shared" si="3284"/>
        <v/>
      </c>
      <c r="EV247" s="43" t="str">
        <f t="shared" si="3285"/>
        <v/>
      </c>
      <c r="EW247" s="43" t="str">
        <f t="shared" si="3286"/>
        <v/>
      </c>
      <c r="EX247" s="43" t="str">
        <f t="shared" si="3287"/>
        <v/>
      </c>
      <c r="EY247" s="43" t="str">
        <f t="shared" si="3288"/>
        <v/>
      </c>
      <c r="EZ247" s="43" t="str">
        <f t="shared" si="3289"/>
        <v/>
      </c>
      <c r="FA247" s="43" t="str">
        <f t="shared" si="3290"/>
        <v/>
      </c>
      <c r="FB247" s="43" t="str">
        <f t="shared" si="3291"/>
        <v/>
      </c>
      <c r="FC247" s="43" t="str">
        <f t="shared" si="3292"/>
        <v/>
      </c>
      <c r="FD247" s="43" t="str">
        <f t="shared" si="3293"/>
        <v/>
      </c>
      <c r="FE247" s="43" t="str">
        <f t="shared" si="3294"/>
        <v/>
      </c>
      <c r="FF247" s="43" t="str">
        <f t="shared" si="3295"/>
        <v/>
      </c>
      <c r="FG247" s="43" t="str">
        <f t="shared" si="3296"/>
        <v/>
      </c>
      <c r="FH247" s="43" t="str">
        <f t="shared" si="3297"/>
        <v/>
      </c>
      <c r="FI247" s="43" t="str">
        <f t="shared" si="3298"/>
        <v/>
      </c>
      <c r="FJ247" s="43" t="str">
        <f t="shared" si="3299"/>
        <v/>
      </c>
      <c r="FK247" s="43" t="str">
        <f t="shared" si="3300"/>
        <v/>
      </c>
      <c r="FL247" s="43" t="str">
        <f t="shared" si="3301"/>
        <v/>
      </c>
      <c r="FM247" s="43" t="str">
        <f t="shared" si="3302"/>
        <v/>
      </c>
      <c r="FN247" s="43" t="str">
        <f t="shared" si="3303"/>
        <v/>
      </c>
      <c r="FO247" s="43" t="str">
        <f t="shared" si="3304"/>
        <v/>
      </c>
      <c r="FP247" s="43" t="str">
        <f t="shared" si="3305"/>
        <v/>
      </c>
      <c r="FQ247" s="43" t="str">
        <f t="shared" si="3306"/>
        <v/>
      </c>
      <c r="FR247" s="43" t="str">
        <f t="shared" si="3307"/>
        <v/>
      </c>
      <c r="FS247" s="43" t="str">
        <f t="shared" si="3308"/>
        <v/>
      </c>
    </row>
    <row r="248" s="6" customFormat="1" ht="15" spans="1:175">
      <c r="A248" s="100"/>
      <c r="B248" s="45"/>
      <c r="C248" s="100"/>
      <c r="D248" s="46"/>
      <c r="E248" s="47"/>
      <c r="F248" s="101"/>
      <c r="G248" s="102"/>
      <c r="H248" s="102"/>
      <c r="I248" s="102"/>
      <c r="J248" s="102"/>
      <c r="K248" s="102"/>
      <c r="L248" s="102"/>
      <c r="M248" s="102"/>
      <c r="N248" s="102"/>
      <c r="O248" s="102"/>
      <c r="P248" s="53"/>
      <c r="Q248" s="53"/>
      <c r="R248" s="53"/>
      <c r="S248" s="53"/>
      <c r="T248" s="62"/>
      <c r="U248" s="59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  <c r="AK248" s="60"/>
      <c r="AL248" s="60"/>
      <c r="AM248" s="60"/>
      <c r="AN248" s="60"/>
      <c r="AO248" s="60"/>
      <c r="AP248" s="60"/>
      <c r="AQ248" s="60"/>
      <c r="AR248" s="66"/>
      <c r="AS248" s="66"/>
      <c r="AT248" s="60"/>
      <c r="AU248" s="60"/>
      <c r="AV248" s="60"/>
      <c r="AW248" s="60"/>
      <c r="AX248" s="60"/>
      <c r="AY248" s="60"/>
      <c r="AZ248" s="60"/>
      <c r="BA248" s="60"/>
      <c r="BB248" s="60"/>
      <c r="BC248" s="60"/>
      <c r="BD248" s="60"/>
      <c r="BE248" s="60"/>
      <c r="BF248" s="60"/>
      <c r="BG248" s="60"/>
      <c r="BH248" s="60"/>
      <c r="BI248" s="60"/>
      <c r="BJ248" s="60"/>
      <c r="BK248" s="60"/>
      <c r="BL248" s="60"/>
      <c r="BM248" s="60"/>
      <c r="BN248" s="60"/>
      <c r="BO248" s="60"/>
      <c r="BP248" s="60"/>
      <c r="BQ248" s="60"/>
      <c r="BR248" s="60"/>
      <c r="BS248" s="60"/>
      <c r="BT248" s="60"/>
      <c r="BU248" s="60"/>
      <c r="BV248" s="60"/>
      <c r="BW248" s="60"/>
      <c r="BX248" s="60"/>
      <c r="BY248" s="60"/>
      <c r="BZ248" s="60"/>
      <c r="CA248" s="60"/>
      <c r="CB248" s="60"/>
      <c r="CC248" s="60"/>
      <c r="CD248" s="60"/>
      <c r="CE248" s="60"/>
      <c r="CF248" s="60"/>
      <c r="CG248" s="60"/>
      <c r="CH248" s="60"/>
      <c r="CI248" s="60"/>
      <c r="CJ248" s="60"/>
      <c r="CK248" s="60"/>
      <c r="CL248" s="60"/>
      <c r="CM248" s="60"/>
      <c r="CN248" s="69" t="str">
        <f>"InitUnitState('"&amp;B248&amp;"',"&amp;V248&amp;","&amp;W248&amp;","&amp;X248&amp;","&amp;Y248&amp;","&amp;Z248&amp;","&amp;AA248&amp;","&amp;AB248&amp;","&amp;AC248&amp;","&amp;AD248&amp;","&amp;AE248&amp;")"</f>
        <v>InitUnitState('',,,,,,,,,,)</v>
      </c>
      <c r="CO248" s="69" t="str">
        <f>"InitUnitNormal('"&amp;B248&amp;"',"&amp;AF248&amp;","&amp;AG248&amp;","&amp;AH248&amp;","&amp;AI248&amp;","&amp;AJ248&amp;","&amp;AK248&amp;","&amp;AL248&amp;","&amp;AM248&amp;","&amp;AN248&amp;","&amp;AO248&amp;")"</f>
        <v>InitUnitNormal('',,,,,,,,,,)</v>
      </c>
      <c r="CP248" s="69" t="str">
        <f>"InitUnitMagic('"&amp;B248&amp;"',"&amp;AP248&amp;","&amp;AQ248&amp;","&amp;AR248&amp;","&amp;AS248&amp;","&amp;AT248&amp;","&amp;AU248&amp;","&amp;AV248&amp;","&amp;AW248&amp;","&amp;BI248&amp;","&amp;BJ248&amp;")"</f>
        <v>InitUnitMagic('',,,,,,,,,,)</v>
      </c>
      <c r="CQ248" s="69" t="str">
        <f>"InitUnitAdd('"&amp;B248&amp;"',"&amp;BK248&amp;","&amp;BL248&amp;","&amp;BM248&amp;","&amp;BN248&amp;","&amp;BO248&amp;","&amp;BP248&amp;","&amp;BQ248&amp;","&amp;BR248&amp;","&amp;BS248&amp;","&amp;BT248&amp;")"</f>
        <v>InitUnitAdd('',,,,,,,,,,)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InitEquipData('',,"",,,,,'','','','','','',"")</v>
      </c>
      <c r="CS248" s="69"/>
      <c r="CT248" s="69"/>
      <c r="CU248" s="71" t="str">
        <f t="shared" si="3238"/>
        <v>|n</v>
      </c>
      <c r="CV248" s="5"/>
      <c r="DB248" s="43" t="str">
        <f t="shared" si="3239"/>
        <v/>
      </c>
      <c r="DC248" s="43" t="str">
        <f t="shared" si="3240"/>
        <v/>
      </c>
      <c r="DD248" s="43" t="str">
        <f t="shared" si="3241"/>
        <v/>
      </c>
      <c r="DE248" s="43" t="str">
        <f t="shared" si="3242"/>
        <v/>
      </c>
      <c r="DF248" s="43" t="str">
        <f t="shared" si="3243"/>
        <v/>
      </c>
      <c r="DG248" s="43" t="str">
        <f t="shared" si="3244"/>
        <v/>
      </c>
      <c r="DH248" s="43" t="str">
        <f t="shared" si="3245"/>
        <v/>
      </c>
      <c r="DI248" s="43" t="str">
        <f t="shared" si="3246"/>
        <v/>
      </c>
      <c r="DJ248" s="43" t="str">
        <f t="shared" si="3247"/>
        <v/>
      </c>
      <c r="DK248" s="43" t="str">
        <f t="shared" si="3248"/>
        <v/>
      </c>
      <c r="DL248" s="43" t="str">
        <f t="shared" si="3249"/>
        <v/>
      </c>
      <c r="DM248" s="43" t="str">
        <f t="shared" si="3250"/>
        <v/>
      </c>
      <c r="DN248" s="43" t="str">
        <f t="shared" si="3251"/>
        <v/>
      </c>
      <c r="DO248" s="43" t="str">
        <f t="shared" si="3252"/>
        <v/>
      </c>
      <c r="DP248" s="43" t="str">
        <f t="shared" si="3253"/>
        <v/>
      </c>
      <c r="DQ248" s="43" t="str">
        <f t="shared" si="3254"/>
        <v/>
      </c>
      <c r="DR248" s="43" t="str">
        <f t="shared" si="3255"/>
        <v/>
      </c>
      <c r="DS248" s="43" t="str">
        <f t="shared" si="3256"/>
        <v/>
      </c>
      <c r="DT248" s="43" t="str">
        <f t="shared" si="3257"/>
        <v/>
      </c>
      <c r="DU248" s="43" t="str">
        <f t="shared" si="3258"/>
        <v/>
      </c>
      <c r="DV248" s="43" t="str">
        <f t="shared" si="3259"/>
        <v/>
      </c>
      <c r="DW248" s="43" t="str">
        <f t="shared" si="3260"/>
        <v/>
      </c>
      <c r="DX248" s="43" t="str">
        <f t="shared" si="3261"/>
        <v/>
      </c>
      <c r="DY248" s="43" t="str">
        <f t="shared" si="3262"/>
        <v/>
      </c>
      <c r="DZ248" s="43" t="str">
        <f t="shared" si="3263"/>
        <v/>
      </c>
      <c r="EA248" s="43" t="str">
        <f t="shared" si="3264"/>
        <v/>
      </c>
      <c r="EB248" s="43" t="str">
        <f t="shared" si="3265"/>
        <v/>
      </c>
      <c r="EC248" s="43" t="str">
        <f t="shared" si="3266"/>
        <v/>
      </c>
      <c r="ED248" s="43" t="str">
        <f t="shared" si="3267"/>
        <v/>
      </c>
      <c r="EE248" s="43" t="str">
        <f t="shared" si="3268"/>
        <v/>
      </c>
      <c r="EF248" s="43" t="str">
        <f t="shared" si="3269"/>
        <v/>
      </c>
      <c r="EG248" s="43" t="str">
        <f t="shared" si="3270"/>
        <v/>
      </c>
      <c r="EH248" s="43" t="str">
        <f t="shared" si="3271"/>
        <v/>
      </c>
      <c r="EI248" s="43" t="str">
        <f t="shared" si="3272"/>
        <v/>
      </c>
      <c r="EJ248" s="43" t="str">
        <f t="shared" si="3273"/>
        <v/>
      </c>
      <c r="EK248" s="43" t="str">
        <f t="shared" si="3274"/>
        <v/>
      </c>
      <c r="EL248" s="43" t="str">
        <f t="shared" si="3275"/>
        <v/>
      </c>
      <c r="EM248" s="43" t="str">
        <f t="shared" si="3276"/>
        <v/>
      </c>
      <c r="EN248" s="43" t="str">
        <f t="shared" si="3277"/>
        <v/>
      </c>
      <c r="EO248" s="43" t="str">
        <f t="shared" si="3278"/>
        <v/>
      </c>
      <c r="EP248" s="43" t="str">
        <f t="shared" si="3279"/>
        <v/>
      </c>
      <c r="EQ248" s="43" t="str">
        <f t="shared" si="3280"/>
        <v/>
      </c>
      <c r="ER248" s="43" t="str">
        <f t="shared" si="3281"/>
        <v/>
      </c>
      <c r="ES248" s="43" t="str">
        <f t="shared" si="3282"/>
        <v/>
      </c>
      <c r="ET248" s="43" t="str">
        <f t="shared" si="3283"/>
        <v/>
      </c>
      <c r="EU248" s="43" t="str">
        <f t="shared" si="3284"/>
        <v/>
      </c>
      <c r="EV248" s="43" t="str">
        <f t="shared" si="3285"/>
        <v/>
      </c>
      <c r="EW248" s="43" t="str">
        <f t="shared" si="3286"/>
        <v/>
      </c>
      <c r="EX248" s="43" t="str">
        <f t="shared" si="3287"/>
        <v/>
      </c>
      <c r="EY248" s="43" t="str">
        <f t="shared" si="3288"/>
        <v/>
      </c>
      <c r="EZ248" s="43" t="str">
        <f t="shared" si="3289"/>
        <v/>
      </c>
      <c r="FA248" s="43" t="str">
        <f t="shared" si="3290"/>
        <v/>
      </c>
      <c r="FB248" s="43" t="str">
        <f t="shared" si="3291"/>
        <v/>
      </c>
      <c r="FC248" s="43" t="str">
        <f t="shared" si="3292"/>
        <v/>
      </c>
      <c r="FD248" s="43" t="str">
        <f t="shared" si="3293"/>
        <v/>
      </c>
      <c r="FE248" s="43" t="str">
        <f t="shared" si="3294"/>
        <v/>
      </c>
      <c r="FF248" s="43" t="str">
        <f t="shared" si="3295"/>
        <v/>
      </c>
      <c r="FG248" s="43" t="str">
        <f t="shared" si="3296"/>
        <v/>
      </c>
      <c r="FH248" s="43" t="str">
        <f t="shared" si="3297"/>
        <v/>
      </c>
      <c r="FI248" s="43" t="str">
        <f t="shared" si="3298"/>
        <v/>
      </c>
      <c r="FJ248" s="43" t="str">
        <f t="shared" si="3299"/>
        <v/>
      </c>
      <c r="FK248" s="43" t="str">
        <f t="shared" si="3300"/>
        <v/>
      </c>
      <c r="FL248" s="43" t="str">
        <f t="shared" si="3301"/>
        <v/>
      </c>
      <c r="FM248" s="43" t="str">
        <f t="shared" si="3302"/>
        <v/>
      </c>
      <c r="FN248" s="43" t="str">
        <f t="shared" si="3303"/>
        <v/>
      </c>
      <c r="FO248" s="43" t="str">
        <f t="shared" si="3304"/>
        <v/>
      </c>
      <c r="FP248" s="43" t="str">
        <f t="shared" si="3305"/>
        <v/>
      </c>
      <c r="FQ248" s="43" t="str">
        <f t="shared" si="3306"/>
        <v/>
      </c>
      <c r="FR248" s="43" t="str">
        <f t="shared" si="3307"/>
        <v/>
      </c>
      <c r="FS248" s="43" t="str">
        <f t="shared" si="3308"/>
        <v/>
      </c>
    </row>
    <row r="249" s="6" customFormat="1" ht="15" spans="1:175">
      <c r="A249" s="100"/>
      <c r="B249" s="45"/>
      <c r="C249" s="100"/>
      <c r="D249" s="46"/>
      <c r="E249" s="47"/>
      <c r="F249" s="101"/>
      <c r="G249" s="102"/>
      <c r="H249" s="102"/>
      <c r="I249" s="102"/>
      <c r="J249" s="102"/>
      <c r="K249" s="102"/>
      <c r="L249" s="102"/>
      <c r="M249" s="102"/>
      <c r="N249" s="102"/>
      <c r="O249" s="102"/>
      <c r="P249" s="53"/>
      <c r="Q249" s="53"/>
      <c r="R249" s="53"/>
      <c r="S249" s="53"/>
      <c r="T249" s="62"/>
      <c r="U249" s="59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  <c r="AK249" s="60"/>
      <c r="AL249" s="60"/>
      <c r="AM249" s="60"/>
      <c r="AN249" s="60"/>
      <c r="AO249" s="60"/>
      <c r="AP249" s="60"/>
      <c r="AQ249" s="60"/>
      <c r="AR249" s="66"/>
      <c r="AS249" s="66"/>
      <c r="AT249" s="60"/>
      <c r="AU249" s="60"/>
      <c r="AV249" s="60"/>
      <c r="AW249" s="60"/>
      <c r="AX249" s="60"/>
      <c r="AY249" s="60"/>
      <c r="AZ249" s="60"/>
      <c r="BA249" s="60"/>
      <c r="BB249" s="60"/>
      <c r="BC249" s="60"/>
      <c r="BD249" s="60"/>
      <c r="BE249" s="60"/>
      <c r="BF249" s="60"/>
      <c r="BG249" s="60"/>
      <c r="BH249" s="60"/>
      <c r="BI249" s="60"/>
      <c r="BJ249" s="60"/>
      <c r="BK249" s="60"/>
      <c r="BL249" s="60"/>
      <c r="BM249" s="60"/>
      <c r="BN249" s="60"/>
      <c r="BO249" s="60"/>
      <c r="BP249" s="60"/>
      <c r="BQ249" s="60"/>
      <c r="BR249" s="60"/>
      <c r="BS249" s="60"/>
      <c r="BT249" s="60"/>
      <c r="BU249" s="60"/>
      <c r="BV249" s="60"/>
      <c r="BW249" s="60"/>
      <c r="BX249" s="60"/>
      <c r="BY249" s="60"/>
      <c r="BZ249" s="60"/>
      <c r="CA249" s="60"/>
      <c r="CB249" s="60"/>
      <c r="CC249" s="60"/>
      <c r="CD249" s="60"/>
      <c r="CE249" s="60"/>
      <c r="CF249" s="60"/>
      <c r="CG249" s="60"/>
      <c r="CH249" s="60"/>
      <c r="CI249" s="60"/>
      <c r="CJ249" s="60"/>
      <c r="CK249" s="60"/>
      <c r="CL249" s="60"/>
      <c r="CM249" s="60"/>
      <c r="CN249" s="69" t="str">
        <f>"InitUnitState('"&amp;B249&amp;"',"&amp;V249&amp;","&amp;W249&amp;","&amp;X249&amp;","&amp;Y249&amp;","&amp;Z249&amp;","&amp;AA249&amp;","&amp;AB249&amp;","&amp;AC249&amp;","&amp;AD249&amp;","&amp;AE249&amp;")"</f>
        <v>InitUnitState('',,,,,,,,,,)</v>
      </c>
      <c r="CO249" s="69" t="str">
        <f>"InitUnitNormal('"&amp;B249&amp;"',"&amp;AF249&amp;","&amp;AG249&amp;","&amp;AH249&amp;","&amp;AI249&amp;","&amp;AJ249&amp;","&amp;AK249&amp;","&amp;AL249&amp;","&amp;AM249&amp;","&amp;AN249&amp;","&amp;AO249&amp;")"</f>
        <v>InitUnitNormal('',,,,,,,,,,)</v>
      </c>
      <c r="CP249" s="69" t="str">
        <f>"InitUnitMagic('"&amp;B249&amp;"',"&amp;AP249&amp;","&amp;AQ249&amp;","&amp;AR249&amp;","&amp;AS249&amp;","&amp;AT249&amp;","&amp;AU249&amp;","&amp;AV249&amp;","&amp;AW249&amp;","&amp;BI249&amp;","&amp;BJ249&amp;")"</f>
        <v>InitUnitMagic('',,,,,,,,,,)</v>
      </c>
      <c r="CQ249" s="69" t="str">
        <f>"InitUnitAdd('"&amp;B249&amp;"',"&amp;BK249&amp;","&amp;BL249&amp;","&amp;BM249&amp;","&amp;BN249&amp;","&amp;BO249&amp;","&amp;BP249&amp;","&amp;BQ249&amp;","&amp;BR249&amp;","&amp;BS249&amp;","&amp;BT249&amp;")"</f>
        <v>InitUnitAdd('',,,,,,,,,,)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251&amp;CR$1&amp;")"</f>
        <v>InitEquipData('',,"",,,,,'','','','','','',"")</v>
      </c>
      <c r="CS249" s="69"/>
      <c r="CT249" s="69"/>
      <c r="CU249" s="71" t="str">
        <f t="shared" si="3238"/>
        <v>|n</v>
      </c>
      <c r="CV249" s="5"/>
      <c r="DB249" s="43" t="str">
        <f t="shared" si="3239"/>
        <v/>
      </c>
      <c r="DC249" s="43" t="str">
        <f t="shared" si="3240"/>
        <v/>
      </c>
      <c r="DD249" s="43" t="str">
        <f t="shared" si="3241"/>
        <v/>
      </c>
      <c r="DE249" s="43" t="str">
        <f t="shared" si="3242"/>
        <v/>
      </c>
      <c r="DF249" s="43" t="str">
        <f t="shared" si="3243"/>
        <v/>
      </c>
      <c r="DG249" s="43" t="str">
        <f t="shared" si="3244"/>
        <v/>
      </c>
      <c r="DH249" s="43" t="str">
        <f t="shared" si="3245"/>
        <v/>
      </c>
      <c r="DI249" s="43" t="str">
        <f t="shared" si="3246"/>
        <v/>
      </c>
      <c r="DJ249" s="43" t="str">
        <f t="shared" si="3247"/>
        <v/>
      </c>
      <c r="DK249" s="43" t="str">
        <f t="shared" si="3248"/>
        <v/>
      </c>
      <c r="DL249" s="43" t="str">
        <f t="shared" si="3249"/>
        <v/>
      </c>
      <c r="DM249" s="43" t="str">
        <f t="shared" si="3250"/>
        <v/>
      </c>
      <c r="DN249" s="43" t="str">
        <f t="shared" si="3251"/>
        <v/>
      </c>
      <c r="DO249" s="43" t="str">
        <f t="shared" si="3252"/>
        <v/>
      </c>
      <c r="DP249" s="43" t="str">
        <f t="shared" si="3253"/>
        <v/>
      </c>
      <c r="DQ249" s="43" t="str">
        <f t="shared" si="3254"/>
        <v/>
      </c>
      <c r="DR249" s="43" t="str">
        <f t="shared" si="3255"/>
        <v/>
      </c>
      <c r="DS249" s="43" t="str">
        <f t="shared" si="3256"/>
        <v/>
      </c>
      <c r="DT249" s="43" t="str">
        <f t="shared" si="3257"/>
        <v/>
      </c>
      <c r="DU249" s="43" t="str">
        <f t="shared" si="3258"/>
        <v/>
      </c>
      <c r="DV249" s="43" t="str">
        <f t="shared" si="3259"/>
        <v/>
      </c>
      <c r="DW249" s="43" t="str">
        <f t="shared" si="3260"/>
        <v/>
      </c>
      <c r="DX249" s="43" t="str">
        <f t="shared" si="3261"/>
        <v/>
      </c>
      <c r="DY249" s="43" t="str">
        <f t="shared" si="3262"/>
        <v/>
      </c>
      <c r="DZ249" s="43" t="str">
        <f t="shared" si="3263"/>
        <v/>
      </c>
      <c r="EA249" s="43" t="str">
        <f t="shared" si="3264"/>
        <v/>
      </c>
      <c r="EB249" s="43" t="str">
        <f t="shared" si="3265"/>
        <v/>
      </c>
      <c r="EC249" s="43" t="str">
        <f t="shared" si="3266"/>
        <v/>
      </c>
      <c r="ED249" s="43" t="str">
        <f t="shared" si="3267"/>
        <v/>
      </c>
      <c r="EE249" s="43" t="str">
        <f t="shared" si="3268"/>
        <v/>
      </c>
      <c r="EF249" s="43" t="str">
        <f t="shared" si="3269"/>
        <v/>
      </c>
      <c r="EG249" s="43" t="str">
        <f t="shared" si="3270"/>
        <v/>
      </c>
      <c r="EH249" s="43" t="str">
        <f t="shared" si="3271"/>
        <v/>
      </c>
      <c r="EI249" s="43" t="str">
        <f t="shared" si="3272"/>
        <v/>
      </c>
      <c r="EJ249" s="43" t="str">
        <f t="shared" si="3273"/>
        <v/>
      </c>
      <c r="EK249" s="43" t="str">
        <f t="shared" si="3274"/>
        <v/>
      </c>
      <c r="EL249" s="43" t="str">
        <f t="shared" si="3275"/>
        <v/>
      </c>
      <c r="EM249" s="43" t="str">
        <f t="shared" si="3276"/>
        <v/>
      </c>
      <c r="EN249" s="43" t="str">
        <f t="shared" si="3277"/>
        <v/>
      </c>
      <c r="EO249" s="43" t="str">
        <f t="shared" si="3278"/>
        <v/>
      </c>
      <c r="EP249" s="43" t="str">
        <f t="shared" si="3279"/>
        <v/>
      </c>
      <c r="EQ249" s="43" t="str">
        <f t="shared" si="3280"/>
        <v/>
      </c>
      <c r="ER249" s="43" t="str">
        <f t="shared" si="3281"/>
        <v/>
      </c>
      <c r="ES249" s="43" t="str">
        <f t="shared" si="3282"/>
        <v/>
      </c>
      <c r="ET249" s="43" t="str">
        <f t="shared" si="3283"/>
        <v/>
      </c>
      <c r="EU249" s="43" t="str">
        <f t="shared" si="3284"/>
        <v/>
      </c>
      <c r="EV249" s="43" t="str">
        <f t="shared" si="3285"/>
        <v/>
      </c>
      <c r="EW249" s="43" t="str">
        <f t="shared" si="3286"/>
        <v/>
      </c>
      <c r="EX249" s="43" t="str">
        <f t="shared" si="3287"/>
        <v/>
      </c>
      <c r="EY249" s="43" t="str">
        <f t="shared" si="3288"/>
        <v/>
      </c>
      <c r="EZ249" s="43" t="str">
        <f t="shared" si="3289"/>
        <v/>
      </c>
      <c r="FA249" s="43" t="str">
        <f t="shared" si="3290"/>
        <v/>
      </c>
      <c r="FB249" s="43" t="str">
        <f t="shared" si="3291"/>
        <v/>
      </c>
      <c r="FC249" s="43" t="str">
        <f t="shared" si="3292"/>
        <v/>
      </c>
      <c r="FD249" s="43" t="str">
        <f t="shared" si="3293"/>
        <v/>
      </c>
      <c r="FE249" s="43" t="str">
        <f t="shared" si="3294"/>
        <v/>
      </c>
      <c r="FF249" s="43" t="str">
        <f t="shared" si="3295"/>
        <v/>
      </c>
      <c r="FG249" s="43" t="str">
        <f t="shared" si="3296"/>
        <v/>
      </c>
      <c r="FH249" s="43" t="str">
        <f t="shared" si="3297"/>
        <v/>
      </c>
      <c r="FI249" s="43" t="str">
        <f t="shared" si="3298"/>
        <v/>
      </c>
      <c r="FJ249" s="43" t="str">
        <f t="shared" si="3299"/>
        <v/>
      </c>
      <c r="FK249" s="43" t="str">
        <f t="shared" si="3300"/>
        <v/>
      </c>
      <c r="FL249" s="43" t="str">
        <f t="shared" si="3301"/>
        <v/>
      </c>
      <c r="FM249" s="43" t="str">
        <f t="shared" si="3302"/>
        <v/>
      </c>
      <c r="FN249" s="43" t="str">
        <f t="shared" si="3303"/>
        <v/>
      </c>
      <c r="FO249" s="43" t="str">
        <f t="shared" si="3304"/>
        <v/>
      </c>
      <c r="FP249" s="43" t="str">
        <f t="shared" si="3305"/>
        <v/>
      </c>
      <c r="FQ249" s="43" t="str">
        <f t="shared" si="3306"/>
        <v/>
      </c>
      <c r="FR249" s="43" t="str">
        <f t="shared" si="3307"/>
        <v/>
      </c>
      <c r="FS249" s="43" t="str">
        <f t="shared" si="3308"/>
        <v/>
      </c>
    </row>
    <row r="250" s="6" customFormat="1" ht="15" spans="1:175">
      <c r="A250" s="100"/>
      <c r="B250" s="45"/>
      <c r="C250" s="100"/>
      <c r="D250" s="46"/>
      <c r="E250" s="47"/>
      <c r="F250" s="101"/>
      <c r="G250" s="102"/>
      <c r="H250" s="102"/>
      <c r="I250" s="102"/>
      <c r="J250" s="102"/>
      <c r="K250" s="102"/>
      <c r="L250" s="102"/>
      <c r="M250" s="102"/>
      <c r="N250" s="102"/>
      <c r="O250" s="102"/>
      <c r="P250" s="53"/>
      <c r="Q250" s="53"/>
      <c r="R250" s="53"/>
      <c r="S250" s="53"/>
      <c r="T250" s="62"/>
      <c r="U250" s="59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  <c r="AK250" s="60"/>
      <c r="AL250" s="60"/>
      <c r="AM250" s="60"/>
      <c r="AN250" s="60"/>
      <c r="AO250" s="60"/>
      <c r="AP250" s="60"/>
      <c r="AQ250" s="60"/>
      <c r="AR250" s="66"/>
      <c r="AS250" s="66"/>
      <c r="AT250" s="60"/>
      <c r="AU250" s="60"/>
      <c r="AV250" s="60"/>
      <c r="AW250" s="60"/>
      <c r="AX250" s="60"/>
      <c r="AY250" s="60"/>
      <c r="AZ250" s="60"/>
      <c r="BA250" s="60"/>
      <c r="BB250" s="60"/>
      <c r="BC250" s="60"/>
      <c r="BD250" s="60"/>
      <c r="BE250" s="60"/>
      <c r="BF250" s="60"/>
      <c r="BG250" s="60"/>
      <c r="BH250" s="60"/>
      <c r="BI250" s="60"/>
      <c r="BJ250" s="60"/>
      <c r="BK250" s="60"/>
      <c r="BL250" s="60"/>
      <c r="BM250" s="60"/>
      <c r="BN250" s="60"/>
      <c r="BO250" s="60"/>
      <c r="BP250" s="60"/>
      <c r="BQ250" s="60"/>
      <c r="BR250" s="60"/>
      <c r="BS250" s="60"/>
      <c r="BT250" s="60"/>
      <c r="BU250" s="60"/>
      <c r="BV250" s="60"/>
      <c r="BW250" s="60"/>
      <c r="BX250" s="60"/>
      <c r="BY250" s="60"/>
      <c r="BZ250" s="60"/>
      <c r="CA250" s="60"/>
      <c r="CB250" s="60"/>
      <c r="CC250" s="60"/>
      <c r="CD250" s="60"/>
      <c r="CE250" s="60"/>
      <c r="CF250" s="60"/>
      <c r="CG250" s="60"/>
      <c r="CH250" s="60"/>
      <c r="CI250" s="60"/>
      <c r="CJ250" s="60"/>
      <c r="CK250" s="60"/>
      <c r="CL250" s="60"/>
      <c r="CM250" s="60"/>
      <c r="CN250" s="69" t="str">
        <f>"InitUnitState('"&amp;B250&amp;"',"&amp;V250&amp;","&amp;W250&amp;","&amp;X250&amp;","&amp;Y250&amp;","&amp;Z250&amp;","&amp;AA250&amp;","&amp;AB250&amp;","&amp;AC250&amp;","&amp;AD250&amp;","&amp;AE250&amp;")"</f>
        <v>InitUnitState('',,,,,,,,,,)</v>
      </c>
      <c r="CO250" s="69" t="str">
        <f>"InitUnitNormal('"&amp;B250&amp;"',"&amp;AF250&amp;","&amp;AG250&amp;","&amp;AH250&amp;","&amp;AI250&amp;","&amp;AJ250&amp;","&amp;AK250&amp;","&amp;AL250&amp;","&amp;AM250&amp;","&amp;AN250&amp;","&amp;AO250&amp;")"</f>
        <v>InitUnitNormal('',,,,,,,,,,)</v>
      </c>
      <c r="CP250" s="69" t="str">
        <f>"InitUnitMagic('"&amp;B250&amp;"',"&amp;AP250&amp;","&amp;AQ250&amp;","&amp;AR250&amp;","&amp;AS250&amp;","&amp;AT250&amp;","&amp;AU250&amp;","&amp;AV250&amp;","&amp;AW250&amp;","&amp;BI250&amp;","&amp;BJ250&amp;")"</f>
        <v>InitUnitMagic('',,,,,,,,,,)</v>
      </c>
      <c r="CQ250" s="69" t="str">
        <f>"InitUnitAdd('"&amp;B250&amp;"',"&amp;BK250&amp;","&amp;BL250&amp;","&amp;BM250&amp;","&amp;BN250&amp;","&amp;BO250&amp;","&amp;BP250&amp;","&amp;BQ250&amp;","&amp;BR250&amp;","&amp;BS250&amp;","&amp;BT250&amp;")"</f>
        <v>InitUnitAdd('',,,,,,,,,,)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252&amp;CR$1&amp;")"</f>
        <v>InitEquipData('',,"",,,,,'','','','','','',"")</v>
      </c>
      <c r="CS250" s="69"/>
      <c r="CT250" s="69"/>
      <c r="CU250" s="71" t="str">
        <f t="shared" si="3238"/>
        <v>|n</v>
      </c>
      <c r="CV250" s="5"/>
      <c r="DB250" s="43" t="str">
        <f t="shared" si="3239"/>
        <v/>
      </c>
      <c r="DC250" s="43" t="str">
        <f t="shared" si="3240"/>
        <v/>
      </c>
      <c r="DD250" s="43" t="str">
        <f t="shared" si="3241"/>
        <v/>
      </c>
      <c r="DE250" s="43" t="str">
        <f t="shared" si="3242"/>
        <v/>
      </c>
      <c r="DF250" s="43" t="str">
        <f t="shared" si="3243"/>
        <v/>
      </c>
      <c r="DG250" s="43" t="str">
        <f t="shared" si="3244"/>
        <v/>
      </c>
      <c r="DH250" s="43" t="str">
        <f t="shared" si="3245"/>
        <v/>
      </c>
      <c r="DI250" s="43" t="str">
        <f t="shared" si="3246"/>
        <v/>
      </c>
      <c r="DJ250" s="43" t="str">
        <f t="shared" si="3247"/>
        <v/>
      </c>
      <c r="DK250" s="43" t="str">
        <f t="shared" si="3248"/>
        <v/>
      </c>
      <c r="DL250" s="43" t="str">
        <f t="shared" si="3249"/>
        <v/>
      </c>
      <c r="DM250" s="43" t="str">
        <f t="shared" si="3250"/>
        <v/>
      </c>
      <c r="DN250" s="43" t="str">
        <f t="shared" si="3251"/>
        <v/>
      </c>
      <c r="DO250" s="43" t="str">
        <f t="shared" si="3252"/>
        <v/>
      </c>
      <c r="DP250" s="43" t="str">
        <f t="shared" si="3253"/>
        <v/>
      </c>
      <c r="DQ250" s="43" t="str">
        <f t="shared" si="3254"/>
        <v/>
      </c>
      <c r="DR250" s="43" t="str">
        <f t="shared" si="3255"/>
        <v/>
      </c>
      <c r="DS250" s="43" t="str">
        <f t="shared" si="3256"/>
        <v/>
      </c>
      <c r="DT250" s="43" t="str">
        <f t="shared" si="3257"/>
        <v/>
      </c>
      <c r="DU250" s="43" t="str">
        <f t="shared" si="3258"/>
        <v/>
      </c>
      <c r="DV250" s="43" t="str">
        <f t="shared" si="3259"/>
        <v/>
      </c>
      <c r="DW250" s="43" t="str">
        <f t="shared" si="3260"/>
        <v/>
      </c>
      <c r="DX250" s="43" t="str">
        <f t="shared" si="3261"/>
        <v/>
      </c>
      <c r="DY250" s="43" t="str">
        <f t="shared" si="3262"/>
        <v/>
      </c>
      <c r="DZ250" s="43" t="str">
        <f t="shared" si="3263"/>
        <v/>
      </c>
      <c r="EA250" s="43" t="str">
        <f t="shared" si="3264"/>
        <v/>
      </c>
      <c r="EB250" s="43" t="str">
        <f t="shared" si="3265"/>
        <v/>
      </c>
      <c r="EC250" s="43" t="str">
        <f t="shared" si="3266"/>
        <v/>
      </c>
      <c r="ED250" s="43" t="str">
        <f t="shared" si="3267"/>
        <v/>
      </c>
      <c r="EE250" s="43" t="str">
        <f t="shared" si="3268"/>
        <v/>
      </c>
      <c r="EF250" s="43" t="str">
        <f t="shared" si="3269"/>
        <v/>
      </c>
      <c r="EG250" s="43" t="str">
        <f t="shared" si="3270"/>
        <v/>
      </c>
      <c r="EH250" s="43" t="str">
        <f t="shared" si="3271"/>
        <v/>
      </c>
      <c r="EI250" s="43" t="str">
        <f t="shared" si="3272"/>
        <v/>
      </c>
      <c r="EJ250" s="43" t="str">
        <f t="shared" si="3273"/>
        <v/>
      </c>
      <c r="EK250" s="43" t="str">
        <f t="shared" si="3274"/>
        <v/>
      </c>
      <c r="EL250" s="43" t="str">
        <f t="shared" si="3275"/>
        <v/>
      </c>
      <c r="EM250" s="43" t="str">
        <f t="shared" si="3276"/>
        <v/>
      </c>
      <c r="EN250" s="43" t="str">
        <f t="shared" si="3277"/>
        <v/>
      </c>
      <c r="EO250" s="43" t="str">
        <f t="shared" si="3278"/>
        <v/>
      </c>
      <c r="EP250" s="43" t="str">
        <f t="shared" si="3279"/>
        <v/>
      </c>
      <c r="EQ250" s="43" t="str">
        <f t="shared" si="3280"/>
        <v/>
      </c>
      <c r="ER250" s="43" t="str">
        <f t="shared" si="3281"/>
        <v/>
      </c>
      <c r="ES250" s="43" t="str">
        <f t="shared" si="3282"/>
        <v/>
      </c>
      <c r="ET250" s="43" t="str">
        <f t="shared" si="3283"/>
        <v/>
      </c>
      <c r="EU250" s="43" t="str">
        <f t="shared" si="3284"/>
        <v/>
      </c>
      <c r="EV250" s="43" t="str">
        <f t="shared" si="3285"/>
        <v/>
      </c>
      <c r="EW250" s="43" t="str">
        <f t="shared" si="3286"/>
        <v/>
      </c>
      <c r="EX250" s="43" t="str">
        <f t="shared" si="3287"/>
        <v/>
      </c>
      <c r="EY250" s="43" t="str">
        <f t="shared" si="3288"/>
        <v/>
      </c>
      <c r="EZ250" s="43" t="str">
        <f t="shared" si="3289"/>
        <v/>
      </c>
      <c r="FA250" s="43" t="str">
        <f t="shared" si="3290"/>
        <v/>
      </c>
      <c r="FB250" s="43" t="str">
        <f t="shared" si="3291"/>
        <v/>
      </c>
      <c r="FC250" s="43" t="str">
        <f t="shared" si="3292"/>
        <v/>
      </c>
      <c r="FD250" s="43" t="str">
        <f t="shared" si="3293"/>
        <v/>
      </c>
      <c r="FE250" s="43" t="str">
        <f t="shared" si="3294"/>
        <v/>
      </c>
      <c r="FF250" s="43" t="str">
        <f t="shared" si="3295"/>
        <v/>
      </c>
      <c r="FG250" s="43" t="str">
        <f t="shared" si="3296"/>
        <v/>
      </c>
      <c r="FH250" s="43" t="str">
        <f t="shared" si="3297"/>
        <v/>
      </c>
      <c r="FI250" s="43" t="str">
        <f t="shared" si="3298"/>
        <v/>
      </c>
      <c r="FJ250" s="43" t="str">
        <f t="shared" si="3299"/>
        <v/>
      </c>
      <c r="FK250" s="43" t="str">
        <f t="shared" si="3300"/>
        <v/>
      </c>
      <c r="FL250" s="43" t="str">
        <f t="shared" si="3301"/>
        <v/>
      </c>
      <c r="FM250" s="43" t="str">
        <f t="shared" si="3302"/>
        <v/>
      </c>
      <c r="FN250" s="43" t="str">
        <f t="shared" si="3303"/>
        <v/>
      </c>
      <c r="FO250" s="43" t="str">
        <f t="shared" si="3304"/>
        <v/>
      </c>
      <c r="FP250" s="43" t="str">
        <f t="shared" si="3305"/>
        <v/>
      </c>
      <c r="FQ250" s="43" t="str">
        <f t="shared" si="3306"/>
        <v/>
      </c>
      <c r="FR250" s="43" t="str">
        <f t="shared" si="3307"/>
        <v/>
      </c>
      <c r="FS250" s="43" t="str">
        <f t="shared" si="3308"/>
        <v/>
      </c>
    </row>
    <row r="251" ht="15" spans="1:175">
      <c r="A251" s="10"/>
      <c r="B251" s="11"/>
      <c r="C251" s="10"/>
      <c r="E251" s="104"/>
      <c r="T251" s="111"/>
      <c r="U251" s="59"/>
      <c r="CU251" s="71" t="str">
        <f t="shared" si="3238"/>
        <v>|n</v>
      </c>
      <c r="CW251" s="6"/>
      <c r="CX251" s="6"/>
      <c r="CY251" s="6"/>
      <c r="CZ251" s="6"/>
      <c r="DA251" s="6"/>
      <c r="DB251" s="43" t="str">
        <f t="shared" si="3239"/>
        <v/>
      </c>
      <c r="DC251" s="43" t="str">
        <f t="shared" si="3240"/>
        <v/>
      </c>
      <c r="DD251" s="43" t="str">
        <f t="shared" si="3241"/>
        <v/>
      </c>
      <c r="DE251" s="43" t="str">
        <f t="shared" si="3242"/>
        <v/>
      </c>
      <c r="DF251" s="43" t="str">
        <f t="shared" si="3243"/>
        <v/>
      </c>
      <c r="DG251" s="43" t="str">
        <f t="shared" si="3244"/>
        <v/>
      </c>
      <c r="DH251" s="43" t="str">
        <f t="shared" si="3245"/>
        <v/>
      </c>
      <c r="DI251" s="43" t="str">
        <f t="shared" si="3246"/>
        <v/>
      </c>
      <c r="DJ251" s="43" t="str">
        <f t="shared" si="3247"/>
        <v/>
      </c>
      <c r="DK251" s="43" t="str">
        <f t="shared" si="3248"/>
        <v/>
      </c>
      <c r="DL251" s="43" t="str">
        <f t="shared" si="3249"/>
        <v/>
      </c>
      <c r="DM251" s="43" t="str">
        <f t="shared" si="3250"/>
        <v/>
      </c>
      <c r="DN251" s="43" t="str">
        <f t="shared" si="3251"/>
        <v/>
      </c>
      <c r="DO251" s="43" t="str">
        <f t="shared" si="3252"/>
        <v/>
      </c>
      <c r="DP251" s="43" t="str">
        <f t="shared" si="3253"/>
        <v/>
      </c>
      <c r="DQ251" s="43" t="str">
        <f t="shared" si="3254"/>
        <v/>
      </c>
      <c r="DR251" s="43" t="str">
        <f t="shared" si="3255"/>
        <v/>
      </c>
      <c r="DS251" s="43" t="str">
        <f t="shared" si="3256"/>
        <v/>
      </c>
      <c r="DT251" s="43" t="str">
        <f t="shared" si="3257"/>
        <v/>
      </c>
      <c r="DU251" s="43" t="str">
        <f t="shared" si="3258"/>
        <v/>
      </c>
      <c r="DV251" s="43" t="str">
        <f t="shared" si="3259"/>
        <v/>
      </c>
      <c r="DW251" s="43" t="str">
        <f t="shared" si="3260"/>
        <v/>
      </c>
      <c r="DX251" s="43" t="str">
        <f t="shared" si="3261"/>
        <v/>
      </c>
      <c r="DY251" s="43" t="str">
        <f t="shared" si="3262"/>
        <v/>
      </c>
      <c r="DZ251" s="43" t="str">
        <f t="shared" si="3263"/>
        <v/>
      </c>
      <c r="EA251" s="43" t="str">
        <f t="shared" si="3264"/>
        <v/>
      </c>
      <c r="EB251" s="43" t="str">
        <f t="shared" si="3265"/>
        <v/>
      </c>
      <c r="EC251" s="43" t="str">
        <f t="shared" si="3266"/>
        <v/>
      </c>
      <c r="ED251" s="43" t="str">
        <f t="shared" si="3267"/>
        <v/>
      </c>
      <c r="EE251" s="43" t="str">
        <f t="shared" si="3268"/>
        <v/>
      </c>
      <c r="EF251" s="43" t="str">
        <f t="shared" si="3269"/>
        <v/>
      </c>
      <c r="EG251" s="43" t="str">
        <f t="shared" si="3270"/>
        <v/>
      </c>
      <c r="EH251" s="43" t="str">
        <f t="shared" si="3271"/>
        <v/>
      </c>
      <c r="EI251" s="43" t="str">
        <f t="shared" si="3272"/>
        <v/>
      </c>
      <c r="EJ251" s="43" t="str">
        <f t="shared" si="3273"/>
        <v/>
      </c>
      <c r="EK251" s="43" t="str">
        <f t="shared" si="3274"/>
        <v/>
      </c>
      <c r="EL251" s="43" t="str">
        <f t="shared" si="3275"/>
        <v/>
      </c>
      <c r="EM251" s="43" t="str">
        <f t="shared" si="3276"/>
        <v/>
      </c>
      <c r="EN251" s="43" t="str">
        <f t="shared" si="3277"/>
        <v/>
      </c>
      <c r="EO251" s="43" t="str">
        <f t="shared" si="3278"/>
        <v/>
      </c>
      <c r="EP251" s="43" t="str">
        <f t="shared" si="3279"/>
        <v/>
      </c>
      <c r="EQ251" s="43" t="str">
        <f t="shared" si="3280"/>
        <v/>
      </c>
      <c r="ER251" s="43" t="str">
        <f t="shared" si="3281"/>
        <v/>
      </c>
      <c r="ES251" s="43" t="str">
        <f t="shared" si="3282"/>
        <v/>
      </c>
      <c r="ET251" s="43" t="str">
        <f t="shared" si="3283"/>
        <v/>
      </c>
      <c r="EU251" s="43" t="str">
        <f t="shared" si="3284"/>
        <v/>
      </c>
      <c r="EV251" s="43" t="str">
        <f t="shared" si="3285"/>
        <v/>
      </c>
      <c r="EW251" s="43" t="str">
        <f t="shared" si="3286"/>
        <v/>
      </c>
      <c r="EX251" s="43" t="str">
        <f t="shared" si="3287"/>
        <v/>
      </c>
      <c r="EY251" s="43" t="str">
        <f t="shared" si="3288"/>
        <v/>
      </c>
      <c r="EZ251" s="43" t="str">
        <f t="shared" si="3289"/>
        <v/>
      </c>
      <c r="FA251" s="43" t="str">
        <f t="shared" si="3290"/>
        <v/>
      </c>
      <c r="FB251" s="43" t="str">
        <f t="shared" si="3291"/>
        <v/>
      </c>
      <c r="FC251" s="43" t="str">
        <f t="shared" si="3292"/>
        <v/>
      </c>
      <c r="FD251" s="43" t="str">
        <f t="shared" si="3293"/>
        <v/>
      </c>
      <c r="FE251" s="43" t="str">
        <f t="shared" si="3294"/>
        <v/>
      </c>
      <c r="FF251" s="43" t="str">
        <f t="shared" si="3295"/>
        <v/>
      </c>
      <c r="FG251" s="43" t="str">
        <f t="shared" si="3296"/>
        <v/>
      </c>
      <c r="FH251" s="43" t="str">
        <f t="shared" si="3297"/>
        <v/>
      </c>
      <c r="FI251" s="43" t="str">
        <f t="shared" si="3298"/>
        <v/>
      </c>
      <c r="FJ251" s="43" t="str">
        <f t="shared" si="3299"/>
        <v/>
      </c>
      <c r="FK251" s="43" t="str">
        <f t="shared" si="3300"/>
        <v/>
      </c>
      <c r="FL251" s="43" t="str">
        <f t="shared" si="3301"/>
        <v/>
      </c>
      <c r="FM251" s="43" t="str">
        <f t="shared" si="3302"/>
        <v/>
      </c>
      <c r="FN251" s="43" t="str">
        <f t="shared" si="3303"/>
        <v/>
      </c>
      <c r="FO251" s="43" t="str">
        <f t="shared" si="3304"/>
        <v/>
      </c>
      <c r="FP251" s="43" t="str">
        <f t="shared" si="3305"/>
        <v/>
      </c>
      <c r="FQ251" s="43" t="str">
        <f t="shared" si="3306"/>
        <v/>
      </c>
      <c r="FR251" s="43" t="str">
        <f t="shared" si="3307"/>
        <v/>
      </c>
      <c r="FS251" s="43" t="str">
        <f t="shared" si="3308"/>
        <v/>
      </c>
    </row>
    <row r="252" ht="15" spans="1:175">
      <c r="A252" s="10"/>
      <c r="B252" s="11"/>
      <c r="C252" s="10"/>
      <c r="E252" s="104"/>
      <c r="T252" s="111"/>
      <c r="U252" s="59"/>
      <c r="CU252" s="71" t="str">
        <f t="shared" si="3238"/>
        <v>|n</v>
      </c>
      <c r="CW252" s="6"/>
      <c r="CX252" s="6"/>
      <c r="CY252" s="6"/>
      <c r="CZ252" s="6"/>
      <c r="DA252" s="6"/>
      <c r="DB252" s="43" t="str">
        <f t="shared" si="3239"/>
        <v/>
      </c>
      <c r="DC252" s="43" t="str">
        <f t="shared" si="3240"/>
        <v/>
      </c>
      <c r="DD252" s="43" t="str">
        <f t="shared" si="3241"/>
        <v/>
      </c>
      <c r="DE252" s="43" t="str">
        <f t="shared" si="3242"/>
        <v/>
      </c>
      <c r="DF252" s="43" t="str">
        <f t="shared" si="3243"/>
        <v/>
      </c>
      <c r="DG252" s="43" t="str">
        <f t="shared" si="3244"/>
        <v/>
      </c>
      <c r="DH252" s="43" t="str">
        <f t="shared" si="3245"/>
        <v/>
      </c>
      <c r="DI252" s="43" t="str">
        <f t="shared" si="3246"/>
        <v/>
      </c>
      <c r="DJ252" s="43" t="str">
        <f t="shared" si="3247"/>
        <v/>
      </c>
      <c r="DK252" s="43" t="str">
        <f t="shared" si="3248"/>
        <v/>
      </c>
      <c r="DL252" s="43" t="str">
        <f t="shared" si="3249"/>
        <v/>
      </c>
      <c r="DM252" s="43" t="str">
        <f t="shared" si="3250"/>
        <v/>
      </c>
      <c r="DN252" s="43" t="str">
        <f t="shared" si="3251"/>
        <v/>
      </c>
      <c r="DO252" s="43" t="str">
        <f t="shared" si="3252"/>
        <v/>
      </c>
      <c r="DP252" s="43" t="str">
        <f t="shared" si="3253"/>
        <v/>
      </c>
      <c r="DQ252" s="43" t="str">
        <f t="shared" si="3254"/>
        <v/>
      </c>
      <c r="DR252" s="43" t="str">
        <f t="shared" si="3255"/>
        <v/>
      </c>
      <c r="DS252" s="43" t="str">
        <f t="shared" si="3256"/>
        <v/>
      </c>
      <c r="DT252" s="43" t="str">
        <f t="shared" si="3257"/>
        <v/>
      </c>
      <c r="DU252" s="43" t="str">
        <f t="shared" si="3258"/>
        <v/>
      </c>
      <c r="DV252" s="43" t="str">
        <f t="shared" si="3259"/>
        <v/>
      </c>
      <c r="DW252" s="43" t="str">
        <f t="shared" si="3260"/>
        <v/>
      </c>
      <c r="DX252" s="43" t="str">
        <f t="shared" si="3261"/>
        <v/>
      </c>
      <c r="DY252" s="43" t="str">
        <f t="shared" si="3262"/>
        <v/>
      </c>
      <c r="DZ252" s="43" t="str">
        <f t="shared" si="3263"/>
        <v/>
      </c>
      <c r="EA252" s="43" t="str">
        <f t="shared" si="3264"/>
        <v/>
      </c>
      <c r="EB252" s="43" t="str">
        <f t="shared" si="3265"/>
        <v/>
      </c>
      <c r="EC252" s="43" t="str">
        <f t="shared" si="3266"/>
        <v/>
      </c>
      <c r="ED252" s="43" t="str">
        <f t="shared" si="3267"/>
        <v/>
      </c>
      <c r="EE252" s="43" t="str">
        <f t="shared" si="3268"/>
        <v/>
      </c>
      <c r="EF252" s="43" t="str">
        <f t="shared" si="3269"/>
        <v/>
      </c>
      <c r="EG252" s="43" t="str">
        <f t="shared" si="3270"/>
        <v/>
      </c>
      <c r="EH252" s="43" t="str">
        <f t="shared" si="3271"/>
        <v/>
      </c>
      <c r="EI252" s="43" t="str">
        <f t="shared" si="3272"/>
        <v/>
      </c>
      <c r="EJ252" s="43" t="str">
        <f t="shared" si="3273"/>
        <v/>
      </c>
      <c r="EK252" s="43" t="str">
        <f t="shared" si="3274"/>
        <v/>
      </c>
      <c r="EL252" s="43" t="str">
        <f t="shared" si="3275"/>
        <v/>
      </c>
      <c r="EM252" s="43" t="str">
        <f t="shared" si="3276"/>
        <v/>
      </c>
      <c r="EN252" s="43" t="str">
        <f t="shared" si="3277"/>
        <v/>
      </c>
      <c r="EO252" s="43" t="str">
        <f t="shared" si="3278"/>
        <v/>
      </c>
      <c r="EP252" s="43" t="str">
        <f t="shared" si="3279"/>
        <v/>
      </c>
      <c r="EQ252" s="43" t="str">
        <f t="shared" si="3280"/>
        <v/>
      </c>
      <c r="ER252" s="43" t="str">
        <f t="shared" si="3281"/>
        <v/>
      </c>
      <c r="ES252" s="43" t="str">
        <f t="shared" si="3282"/>
        <v/>
      </c>
      <c r="ET252" s="43" t="str">
        <f t="shared" si="3283"/>
        <v/>
      </c>
      <c r="EU252" s="43" t="str">
        <f t="shared" si="3284"/>
        <v/>
      </c>
      <c r="EV252" s="43" t="str">
        <f t="shared" si="3285"/>
        <v/>
      </c>
      <c r="EW252" s="43" t="str">
        <f t="shared" si="3286"/>
        <v/>
      </c>
      <c r="EX252" s="43" t="str">
        <f t="shared" si="3287"/>
        <v/>
      </c>
      <c r="EY252" s="43" t="str">
        <f t="shared" si="3288"/>
        <v/>
      </c>
      <c r="EZ252" s="43" t="str">
        <f t="shared" si="3289"/>
        <v/>
      </c>
      <c r="FA252" s="43" t="str">
        <f t="shared" si="3290"/>
        <v/>
      </c>
      <c r="FB252" s="43" t="str">
        <f t="shared" si="3291"/>
        <v/>
      </c>
      <c r="FC252" s="43" t="str">
        <f t="shared" si="3292"/>
        <v/>
      </c>
      <c r="FD252" s="43" t="str">
        <f t="shared" si="3293"/>
        <v/>
      </c>
      <c r="FE252" s="43" t="str">
        <f t="shared" si="3294"/>
        <v/>
      </c>
      <c r="FF252" s="43" t="str">
        <f t="shared" si="3295"/>
        <v/>
      </c>
      <c r="FG252" s="43" t="str">
        <f t="shared" si="3296"/>
        <v/>
      </c>
      <c r="FH252" s="43" t="str">
        <f t="shared" si="3297"/>
        <v/>
      </c>
      <c r="FI252" s="43" t="str">
        <f t="shared" si="3298"/>
        <v/>
      </c>
      <c r="FJ252" s="43" t="str">
        <f t="shared" si="3299"/>
        <v/>
      </c>
      <c r="FK252" s="43" t="str">
        <f t="shared" si="3300"/>
        <v/>
      </c>
      <c r="FL252" s="43" t="str">
        <f t="shared" si="3301"/>
        <v/>
      </c>
      <c r="FM252" s="43" t="str">
        <f t="shared" si="3302"/>
        <v/>
      </c>
      <c r="FN252" s="43" t="str">
        <f t="shared" si="3303"/>
        <v/>
      </c>
      <c r="FO252" s="43" t="str">
        <f t="shared" si="3304"/>
        <v/>
      </c>
      <c r="FP252" s="43" t="str">
        <f t="shared" si="3305"/>
        <v/>
      </c>
      <c r="FQ252" s="43" t="str">
        <f t="shared" si="3306"/>
        <v/>
      </c>
      <c r="FR252" s="43" t="str">
        <f t="shared" si="3307"/>
        <v/>
      </c>
      <c r="FS252" s="43" t="str">
        <f t="shared" si="3308"/>
        <v/>
      </c>
    </row>
    <row r="253" ht="15" spans="1:175">
      <c r="A253" s="10"/>
      <c r="B253" s="11"/>
      <c r="C253" s="10"/>
      <c r="E253" s="104"/>
      <c r="T253" s="111"/>
      <c r="U253" s="59"/>
      <c r="CU253" s="71" t="str">
        <f t="shared" si="3238"/>
        <v>|n</v>
      </c>
      <c r="CW253" s="6"/>
      <c r="CX253" s="6"/>
      <c r="CY253" s="6"/>
      <c r="CZ253" s="6"/>
      <c r="DA253" s="6"/>
      <c r="DB253" s="43" t="str">
        <f t="shared" si="3239"/>
        <v/>
      </c>
      <c r="DC253" s="43" t="str">
        <f t="shared" si="3240"/>
        <v/>
      </c>
      <c r="DD253" s="43" t="str">
        <f t="shared" si="3241"/>
        <v/>
      </c>
      <c r="DE253" s="43" t="str">
        <f t="shared" si="3242"/>
        <v/>
      </c>
      <c r="DF253" s="43" t="str">
        <f t="shared" si="3243"/>
        <v/>
      </c>
      <c r="DG253" s="43" t="str">
        <f t="shared" si="3244"/>
        <v/>
      </c>
      <c r="DH253" s="43" t="str">
        <f t="shared" si="3245"/>
        <v/>
      </c>
      <c r="DI253" s="43" t="str">
        <f t="shared" si="3246"/>
        <v/>
      </c>
      <c r="DJ253" s="43" t="str">
        <f t="shared" si="3247"/>
        <v/>
      </c>
      <c r="DK253" s="43" t="str">
        <f t="shared" si="3248"/>
        <v/>
      </c>
      <c r="DL253" s="43" t="str">
        <f t="shared" si="3249"/>
        <v/>
      </c>
      <c r="DM253" s="43" t="str">
        <f t="shared" si="3250"/>
        <v/>
      </c>
      <c r="DN253" s="43" t="str">
        <f t="shared" si="3251"/>
        <v/>
      </c>
      <c r="DO253" s="43" t="str">
        <f t="shared" si="3252"/>
        <v/>
      </c>
      <c r="DP253" s="43" t="str">
        <f t="shared" si="3253"/>
        <v/>
      </c>
      <c r="DQ253" s="43" t="str">
        <f t="shared" si="3254"/>
        <v/>
      </c>
      <c r="DR253" s="43" t="str">
        <f t="shared" si="3255"/>
        <v/>
      </c>
      <c r="DS253" s="43" t="str">
        <f t="shared" si="3256"/>
        <v/>
      </c>
      <c r="DT253" s="43" t="str">
        <f t="shared" si="3257"/>
        <v/>
      </c>
      <c r="DU253" s="43" t="str">
        <f t="shared" si="3258"/>
        <v/>
      </c>
      <c r="DV253" s="43" t="str">
        <f t="shared" si="3259"/>
        <v/>
      </c>
      <c r="DW253" s="43" t="str">
        <f t="shared" si="3260"/>
        <v/>
      </c>
      <c r="DX253" s="43" t="str">
        <f t="shared" si="3261"/>
        <v/>
      </c>
      <c r="DY253" s="43" t="str">
        <f t="shared" si="3262"/>
        <v/>
      </c>
      <c r="DZ253" s="43" t="str">
        <f t="shared" si="3263"/>
        <v/>
      </c>
      <c r="EA253" s="43" t="str">
        <f t="shared" si="3264"/>
        <v/>
      </c>
      <c r="EB253" s="43" t="str">
        <f t="shared" si="3265"/>
        <v/>
      </c>
      <c r="EC253" s="43" t="str">
        <f t="shared" si="3266"/>
        <v/>
      </c>
      <c r="ED253" s="43" t="str">
        <f t="shared" si="3267"/>
        <v/>
      </c>
      <c r="EE253" s="43" t="str">
        <f t="shared" si="3268"/>
        <v/>
      </c>
      <c r="EF253" s="43" t="str">
        <f t="shared" si="3269"/>
        <v/>
      </c>
      <c r="EG253" s="43" t="str">
        <f t="shared" si="3270"/>
        <v/>
      </c>
      <c r="EH253" s="43" t="str">
        <f t="shared" si="3271"/>
        <v/>
      </c>
      <c r="EI253" s="43" t="str">
        <f t="shared" si="3272"/>
        <v/>
      </c>
      <c r="EJ253" s="43" t="str">
        <f t="shared" si="3273"/>
        <v/>
      </c>
      <c r="EK253" s="43" t="str">
        <f t="shared" si="3274"/>
        <v/>
      </c>
      <c r="EL253" s="43" t="str">
        <f t="shared" si="3275"/>
        <v/>
      </c>
      <c r="EM253" s="43" t="str">
        <f t="shared" si="3276"/>
        <v/>
      </c>
      <c r="EN253" s="43" t="str">
        <f t="shared" si="3277"/>
        <v/>
      </c>
      <c r="EO253" s="43" t="str">
        <f t="shared" si="3278"/>
        <v/>
      </c>
      <c r="EP253" s="43" t="str">
        <f t="shared" si="3279"/>
        <v/>
      </c>
      <c r="EQ253" s="43" t="str">
        <f t="shared" si="3280"/>
        <v/>
      </c>
      <c r="ER253" s="43" t="str">
        <f t="shared" si="3281"/>
        <v/>
      </c>
      <c r="ES253" s="43" t="str">
        <f t="shared" si="3282"/>
        <v/>
      </c>
      <c r="ET253" s="43" t="str">
        <f t="shared" si="3283"/>
        <v/>
      </c>
      <c r="EU253" s="43" t="str">
        <f t="shared" si="3284"/>
        <v/>
      </c>
      <c r="EV253" s="43" t="str">
        <f t="shared" si="3285"/>
        <v/>
      </c>
      <c r="EW253" s="43" t="str">
        <f t="shared" si="3286"/>
        <v/>
      </c>
      <c r="EX253" s="43" t="str">
        <f t="shared" si="3287"/>
        <v/>
      </c>
      <c r="EY253" s="43" t="str">
        <f t="shared" si="3288"/>
        <v/>
      </c>
      <c r="EZ253" s="43" t="str">
        <f t="shared" si="3289"/>
        <v/>
      </c>
      <c r="FA253" s="43" t="str">
        <f t="shared" si="3290"/>
        <v/>
      </c>
      <c r="FB253" s="43" t="str">
        <f t="shared" si="3291"/>
        <v/>
      </c>
      <c r="FC253" s="43" t="str">
        <f t="shared" si="3292"/>
        <v/>
      </c>
      <c r="FD253" s="43" t="str">
        <f t="shared" si="3293"/>
        <v/>
      </c>
      <c r="FE253" s="43" t="str">
        <f t="shared" si="3294"/>
        <v/>
      </c>
      <c r="FF253" s="43" t="str">
        <f t="shared" si="3295"/>
        <v/>
      </c>
      <c r="FG253" s="43" t="str">
        <f t="shared" si="3296"/>
        <v/>
      </c>
      <c r="FH253" s="43" t="str">
        <f t="shared" si="3297"/>
        <v/>
      </c>
      <c r="FI253" s="43" t="str">
        <f t="shared" si="3298"/>
        <v/>
      </c>
      <c r="FJ253" s="43" t="str">
        <f t="shared" si="3299"/>
        <v/>
      </c>
      <c r="FK253" s="43" t="str">
        <f t="shared" si="3300"/>
        <v/>
      </c>
      <c r="FL253" s="43" t="str">
        <f t="shared" si="3301"/>
        <v/>
      </c>
      <c r="FM253" s="43" t="str">
        <f t="shared" si="3302"/>
        <v/>
      </c>
      <c r="FN253" s="43" t="str">
        <f t="shared" si="3303"/>
        <v/>
      </c>
      <c r="FO253" s="43" t="str">
        <f t="shared" si="3304"/>
        <v/>
      </c>
      <c r="FP253" s="43" t="str">
        <f t="shared" si="3305"/>
        <v/>
      </c>
      <c r="FQ253" s="43" t="str">
        <f t="shared" si="3306"/>
        <v/>
      </c>
      <c r="FR253" s="43" t="str">
        <f t="shared" si="3307"/>
        <v/>
      </c>
      <c r="FS253" s="43" t="str">
        <f t="shared" si="3308"/>
        <v/>
      </c>
    </row>
    <row r="254" ht="15" spans="1:175">
      <c r="A254" s="10"/>
      <c r="B254" s="11"/>
      <c r="C254" s="10"/>
      <c r="E254" s="104"/>
      <c r="T254" s="111"/>
      <c r="U254" s="59"/>
      <c r="CU254" s="71" t="str">
        <f t="shared" si="3238"/>
        <v>|n</v>
      </c>
      <c r="CW254" s="6"/>
      <c r="CX254" s="6"/>
      <c r="CY254" s="6"/>
      <c r="CZ254" s="6"/>
      <c r="DA254" s="6"/>
      <c r="DB254" s="43" t="str">
        <f t="shared" si="3239"/>
        <v/>
      </c>
      <c r="DC254" s="43" t="str">
        <f t="shared" si="3240"/>
        <v/>
      </c>
      <c r="DD254" s="43" t="str">
        <f t="shared" si="3241"/>
        <v/>
      </c>
      <c r="DE254" s="43" t="str">
        <f t="shared" si="3242"/>
        <v/>
      </c>
      <c r="DF254" s="43" t="str">
        <f t="shared" si="3243"/>
        <v/>
      </c>
      <c r="DG254" s="43" t="str">
        <f t="shared" si="3244"/>
        <v/>
      </c>
      <c r="DH254" s="43" t="str">
        <f t="shared" si="3245"/>
        <v/>
      </c>
      <c r="DI254" s="43" t="str">
        <f t="shared" si="3246"/>
        <v/>
      </c>
      <c r="DJ254" s="43" t="str">
        <f t="shared" si="3247"/>
        <v/>
      </c>
      <c r="DK254" s="43" t="str">
        <f t="shared" si="3248"/>
        <v/>
      </c>
      <c r="DL254" s="43" t="str">
        <f t="shared" si="3249"/>
        <v/>
      </c>
      <c r="DM254" s="43" t="str">
        <f t="shared" si="3250"/>
        <v/>
      </c>
      <c r="DN254" s="43" t="str">
        <f t="shared" si="3251"/>
        <v/>
      </c>
      <c r="DO254" s="43" t="str">
        <f t="shared" si="3252"/>
        <v/>
      </c>
      <c r="DP254" s="43" t="str">
        <f t="shared" si="3253"/>
        <v/>
      </c>
      <c r="DQ254" s="43" t="str">
        <f t="shared" si="3254"/>
        <v/>
      </c>
      <c r="DR254" s="43" t="str">
        <f t="shared" si="3255"/>
        <v/>
      </c>
      <c r="DS254" s="43" t="str">
        <f t="shared" si="3256"/>
        <v/>
      </c>
      <c r="DT254" s="43" t="str">
        <f t="shared" si="3257"/>
        <v/>
      </c>
      <c r="DU254" s="43" t="str">
        <f t="shared" si="3258"/>
        <v/>
      </c>
      <c r="DV254" s="43" t="str">
        <f t="shared" si="3259"/>
        <v/>
      </c>
      <c r="DW254" s="43" t="str">
        <f t="shared" si="3260"/>
        <v/>
      </c>
      <c r="DX254" s="43" t="str">
        <f t="shared" si="3261"/>
        <v/>
      </c>
      <c r="DY254" s="43" t="str">
        <f t="shared" si="3262"/>
        <v/>
      </c>
      <c r="DZ254" s="43" t="str">
        <f t="shared" si="3263"/>
        <v/>
      </c>
      <c r="EA254" s="43" t="str">
        <f t="shared" si="3264"/>
        <v/>
      </c>
      <c r="EB254" s="43" t="str">
        <f t="shared" si="3265"/>
        <v/>
      </c>
      <c r="EC254" s="43" t="str">
        <f t="shared" si="3266"/>
        <v/>
      </c>
      <c r="ED254" s="43" t="str">
        <f t="shared" si="3267"/>
        <v/>
      </c>
      <c r="EE254" s="43" t="str">
        <f t="shared" si="3268"/>
        <v/>
      </c>
      <c r="EF254" s="43" t="str">
        <f t="shared" si="3269"/>
        <v/>
      </c>
      <c r="EG254" s="43" t="str">
        <f t="shared" si="3270"/>
        <v/>
      </c>
      <c r="EH254" s="43" t="str">
        <f t="shared" si="3271"/>
        <v/>
      </c>
      <c r="EI254" s="43" t="str">
        <f t="shared" si="3272"/>
        <v/>
      </c>
      <c r="EJ254" s="43" t="str">
        <f t="shared" si="3273"/>
        <v/>
      </c>
      <c r="EK254" s="43" t="str">
        <f t="shared" si="3274"/>
        <v/>
      </c>
      <c r="EL254" s="43" t="str">
        <f t="shared" si="3275"/>
        <v/>
      </c>
      <c r="EM254" s="43" t="str">
        <f t="shared" si="3276"/>
        <v/>
      </c>
      <c r="EN254" s="43" t="str">
        <f t="shared" si="3277"/>
        <v/>
      </c>
      <c r="EO254" s="43" t="str">
        <f t="shared" si="3278"/>
        <v/>
      </c>
      <c r="EP254" s="43" t="str">
        <f t="shared" si="3279"/>
        <v/>
      </c>
      <c r="EQ254" s="43" t="str">
        <f t="shared" si="3280"/>
        <v/>
      </c>
      <c r="ER254" s="43" t="str">
        <f t="shared" si="3281"/>
        <v/>
      </c>
      <c r="ES254" s="43" t="str">
        <f t="shared" si="3282"/>
        <v/>
      </c>
      <c r="ET254" s="43" t="str">
        <f t="shared" si="3283"/>
        <v/>
      </c>
      <c r="EU254" s="43" t="str">
        <f t="shared" si="3284"/>
        <v/>
      </c>
      <c r="EV254" s="43" t="str">
        <f t="shared" si="3285"/>
        <v/>
      </c>
      <c r="EW254" s="43" t="str">
        <f t="shared" si="3286"/>
        <v/>
      </c>
      <c r="EX254" s="43" t="str">
        <f t="shared" si="3287"/>
        <v/>
      </c>
      <c r="EY254" s="43" t="str">
        <f t="shared" si="3288"/>
        <v/>
      </c>
      <c r="EZ254" s="43" t="str">
        <f t="shared" si="3289"/>
        <v/>
      </c>
      <c r="FA254" s="43" t="str">
        <f t="shared" si="3290"/>
        <v/>
      </c>
      <c r="FB254" s="43" t="str">
        <f t="shared" si="3291"/>
        <v/>
      </c>
      <c r="FC254" s="43" t="str">
        <f t="shared" si="3292"/>
        <v/>
      </c>
      <c r="FD254" s="43" t="str">
        <f t="shared" si="3293"/>
        <v/>
      </c>
      <c r="FE254" s="43" t="str">
        <f t="shared" si="3294"/>
        <v/>
      </c>
      <c r="FF254" s="43" t="str">
        <f t="shared" si="3295"/>
        <v/>
      </c>
      <c r="FG254" s="43" t="str">
        <f t="shared" si="3296"/>
        <v/>
      </c>
      <c r="FH254" s="43" t="str">
        <f t="shared" si="3297"/>
        <v/>
      </c>
      <c r="FI254" s="43" t="str">
        <f t="shared" si="3298"/>
        <v/>
      </c>
      <c r="FJ254" s="43" t="str">
        <f t="shared" si="3299"/>
        <v/>
      </c>
      <c r="FK254" s="43" t="str">
        <f t="shared" si="3300"/>
        <v/>
      </c>
      <c r="FL254" s="43" t="str">
        <f t="shared" si="3301"/>
        <v/>
      </c>
      <c r="FM254" s="43" t="str">
        <f t="shared" si="3302"/>
        <v/>
      </c>
      <c r="FN254" s="43" t="str">
        <f t="shared" si="3303"/>
        <v/>
      </c>
      <c r="FO254" s="43" t="str">
        <f t="shared" si="3304"/>
        <v/>
      </c>
      <c r="FP254" s="43" t="str">
        <f t="shared" si="3305"/>
        <v/>
      </c>
      <c r="FQ254" s="43" t="str">
        <f t="shared" si="3306"/>
        <v/>
      </c>
      <c r="FR254" s="43" t="str">
        <f t="shared" si="3307"/>
        <v/>
      </c>
      <c r="FS254" s="43" t="str">
        <f t="shared" si="3308"/>
        <v/>
      </c>
    </row>
    <row r="255" ht="15" spans="1:175">
      <c r="A255" s="10"/>
      <c r="B255" s="11"/>
      <c r="C255" s="10"/>
      <c r="E255" s="104"/>
      <c r="T255" s="111"/>
      <c r="U255" s="59"/>
      <c r="CU255" s="71" t="str">
        <f t="shared" si="3238"/>
        <v>|n</v>
      </c>
      <c r="CW255" s="6"/>
      <c r="CX255" s="6"/>
      <c r="CY255" s="6"/>
      <c r="CZ255" s="6"/>
      <c r="DA255" s="6"/>
      <c r="DB255" s="43" t="str">
        <f t="shared" si="3239"/>
        <v/>
      </c>
      <c r="DC255" s="43" t="str">
        <f t="shared" si="3240"/>
        <v/>
      </c>
      <c r="DD255" s="43" t="str">
        <f t="shared" si="3241"/>
        <v/>
      </c>
      <c r="DE255" s="43" t="str">
        <f t="shared" si="3242"/>
        <v/>
      </c>
      <c r="DF255" s="43" t="str">
        <f t="shared" si="3243"/>
        <v/>
      </c>
      <c r="DG255" s="43" t="str">
        <f t="shared" si="3244"/>
        <v/>
      </c>
      <c r="DH255" s="43" t="str">
        <f t="shared" si="3245"/>
        <v/>
      </c>
      <c r="DI255" s="43" t="str">
        <f t="shared" si="3246"/>
        <v/>
      </c>
      <c r="DJ255" s="43" t="str">
        <f t="shared" si="3247"/>
        <v/>
      </c>
      <c r="DK255" s="43" t="str">
        <f t="shared" si="3248"/>
        <v/>
      </c>
      <c r="DL255" s="43" t="str">
        <f t="shared" si="3249"/>
        <v/>
      </c>
      <c r="DM255" s="43" t="str">
        <f t="shared" si="3250"/>
        <v/>
      </c>
      <c r="DN255" s="43" t="str">
        <f t="shared" si="3251"/>
        <v/>
      </c>
      <c r="DO255" s="43" t="str">
        <f t="shared" si="3252"/>
        <v/>
      </c>
      <c r="DP255" s="43" t="str">
        <f t="shared" si="3253"/>
        <v/>
      </c>
      <c r="DQ255" s="43" t="str">
        <f t="shared" si="3254"/>
        <v/>
      </c>
      <c r="DR255" s="43" t="str">
        <f t="shared" si="3255"/>
        <v/>
      </c>
      <c r="DS255" s="43" t="str">
        <f t="shared" si="3256"/>
        <v/>
      </c>
      <c r="DT255" s="43" t="str">
        <f t="shared" si="3257"/>
        <v/>
      </c>
      <c r="DU255" s="43" t="str">
        <f t="shared" si="3258"/>
        <v/>
      </c>
      <c r="DV255" s="43" t="str">
        <f t="shared" si="3259"/>
        <v/>
      </c>
      <c r="DW255" s="43" t="str">
        <f t="shared" si="3260"/>
        <v/>
      </c>
      <c r="DX255" s="43" t="str">
        <f t="shared" si="3261"/>
        <v/>
      </c>
      <c r="DY255" s="43" t="str">
        <f t="shared" si="3262"/>
        <v/>
      </c>
      <c r="DZ255" s="43" t="str">
        <f t="shared" si="3263"/>
        <v/>
      </c>
      <c r="EA255" s="43" t="str">
        <f t="shared" si="3264"/>
        <v/>
      </c>
      <c r="EB255" s="43" t="str">
        <f t="shared" si="3265"/>
        <v/>
      </c>
      <c r="EC255" s="43" t="str">
        <f t="shared" si="3266"/>
        <v/>
      </c>
      <c r="ED255" s="43" t="str">
        <f t="shared" si="3267"/>
        <v/>
      </c>
      <c r="EE255" s="43" t="str">
        <f t="shared" si="3268"/>
        <v/>
      </c>
      <c r="EF255" s="43" t="str">
        <f t="shared" si="3269"/>
        <v/>
      </c>
      <c r="EG255" s="43" t="str">
        <f t="shared" si="3270"/>
        <v/>
      </c>
      <c r="EH255" s="43" t="str">
        <f t="shared" si="3271"/>
        <v/>
      </c>
      <c r="EI255" s="43" t="str">
        <f t="shared" si="3272"/>
        <v/>
      </c>
      <c r="EJ255" s="43" t="str">
        <f t="shared" si="3273"/>
        <v/>
      </c>
      <c r="EK255" s="43" t="str">
        <f t="shared" si="3274"/>
        <v/>
      </c>
      <c r="EL255" s="43" t="str">
        <f t="shared" si="3275"/>
        <v/>
      </c>
      <c r="EM255" s="43" t="str">
        <f t="shared" si="3276"/>
        <v/>
      </c>
      <c r="EN255" s="43" t="str">
        <f t="shared" si="3277"/>
        <v/>
      </c>
      <c r="EO255" s="43" t="str">
        <f t="shared" si="3278"/>
        <v/>
      </c>
      <c r="EP255" s="43" t="str">
        <f t="shared" si="3279"/>
        <v/>
      </c>
      <c r="EQ255" s="43" t="str">
        <f t="shared" si="3280"/>
        <v/>
      </c>
      <c r="ER255" s="43" t="str">
        <f t="shared" si="3281"/>
        <v/>
      </c>
      <c r="ES255" s="43" t="str">
        <f t="shared" si="3282"/>
        <v/>
      </c>
      <c r="ET255" s="43" t="str">
        <f t="shared" si="3283"/>
        <v/>
      </c>
      <c r="EU255" s="43" t="str">
        <f t="shared" si="3284"/>
        <v/>
      </c>
      <c r="EV255" s="43" t="str">
        <f t="shared" si="3285"/>
        <v/>
      </c>
      <c r="EW255" s="43" t="str">
        <f t="shared" si="3286"/>
        <v/>
      </c>
      <c r="EX255" s="43" t="str">
        <f t="shared" si="3287"/>
        <v/>
      </c>
      <c r="EY255" s="43" t="str">
        <f t="shared" si="3288"/>
        <v/>
      </c>
      <c r="EZ255" s="43" t="str">
        <f t="shared" si="3289"/>
        <v/>
      </c>
      <c r="FA255" s="43" t="str">
        <f t="shared" si="3290"/>
        <v/>
      </c>
      <c r="FB255" s="43" t="str">
        <f t="shared" si="3291"/>
        <v/>
      </c>
      <c r="FC255" s="43" t="str">
        <f t="shared" si="3292"/>
        <v/>
      </c>
      <c r="FD255" s="43" t="str">
        <f t="shared" si="3293"/>
        <v/>
      </c>
      <c r="FE255" s="43" t="str">
        <f t="shared" si="3294"/>
        <v/>
      </c>
      <c r="FF255" s="43" t="str">
        <f t="shared" si="3295"/>
        <v/>
      </c>
      <c r="FG255" s="43" t="str">
        <f t="shared" si="3296"/>
        <v/>
      </c>
      <c r="FH255" s="43" t="str">
        <f t="shared" si="3297"/>
        <v/>
      </c>
      <c r="FI255" s="43" t="str">
        <f t="shared" si="3298"/>
        <v/>
      </c>
      <c r="FJ255" s="43" t="str">
        <f t="shared" si="3299"/>
        <v/>
      </c>
      <c r="FK255" s="43" t="str">
        <f t="shared" si="3300"/>
        <v/>
      </c>
      <c r="FL255" s="43" t="str">
        <f t="shared" si="3301"/>
        <v/>
      </c>
      <c r="FM255" s="43" t="str">
        <f t="shared" si="3302"/>
        <v/>
      </c>
      <c r="FN255" s="43" t="str">
        <f t="shared" si="3303"/>
        <v/>
      </c>
      <c r="FO255" s="43" t="str">
        <f t="shared" si="3304"/>
        <v/>
      </c>
      <c r="FP255" s="43" t="str">
        <f t="shared" si="3305"/>
        <v/>
      </c>
      <c r="FQ255" s="43" t="str">
        <f t="shared" si="3306"/>
        <v/>
      </c>
      <c r="FR255" s="43" t="str">
        <f t="shared" si="3307"/>
        <v/>
      </c>
      <c r="FS255" s="43" t="str">
        <f t="shared" si="3308"/>
        <v/>
      </c>
    </row>
    <row r="256" ht="15" spans="1:175">
      <c r="A256" s="10"/>
      <c r="B256" s="11"/>
      <c r="C256" s="10"/>
      <c r="E256" s="104"/>
      <c r="T256" s="111"/>
      <c r="U256" s="59"/>
      <c r="CU256" s="71" t="str">
        <f t="shared" si="3238"/>
        <v>|n</v>
      </c>
      <c r="CW256" s="6"/>
      <c r="CX256" s="6"/>
      <c r="CY256" s="6"/>
      <c r="CZ256" s="6"/>
      <c r="DA256" s="6"/>
      <c r="DB256" s="43" t="str">
        <f t="shared" si="3239"/>
        <v/>
      </c>
      <c r="DC256" s="43" t="str">
        <f t="shared" si="3240"/>
        <v/>
      </c>
      <c r="DD256" s="43" t="str">
        <f t="shared" si="3241"/>
        <v/>
      </c>
      <c r="DE256" s="43" t="str">
        <f t="shared" si="3242"/>
        <v/>
      </c>
      <c r="DF256" s="43" t="str">
        <f t="shared" si="3243"/>
        <v/>
      </c>
      <c r="DG256" s="43" t="str">
        <f t="shared" si="3244"/>
        <v/>
      </c>
      <c r="DH256" s="43" t="str">
        <f t="shared" si="3245"/>
        <v/>
      </c>
      <c r="DI256" s="43" t="str">
        <f t="shared" si="3246"/>
        <v/>
      </c>
      <c r="DJ256" s="43" t="str">
        <f t="shared" si="3247"/>
        <v/>
      </c>
      <c r="DK256" s="43" t="str">
        <f t="shared" si="3248"/>
        <v/>
      </c>
      <c r="DL256" s="43" t="str">
        <f t="shared" si="3249"/>
        <v/>
      </c>
      <c r="DM256" s="43" t="str">
        <f t="shared" si="3250"/>
        <v/>
      </c>
      <c r="DN256" s="43" t="str">
        <f t="shared" si="3251"/>
        <v/>
      </c>
      <c r="DO256" s="43" t="str">
        <f t="shared" si="3252"/>
        <v/>
      </c>
      <c r="DP256" s="43" t="str">
        <f t="shared" si="3253"/>
        <v/>
      </c>
      <c r="DQ256" s="43" t="str">
        <f t="shared" si="3254"/>
        <v/>
      </c>
      <c r="DR256" s="43" t="str">
        <f t="shared" si="3255"/>
        <v/>
      </c>
      <c r="DS256" s="43" t="str">
        <f t="shared" si="3256"/>
        <v/>
      </c>
      <c r="DT256" s="43" t="str">
        <f t="shared" si="3257"/>
        <v/>
      </c>
      <c r="DU256" s="43" t="str">
        <f t="shared" si="3258"/>
        <v/>
      </c>
      <c r="DV256" s="43" t="str">
        <f t="shared" si="3259"/>
        <v/>
      </c>
      <c r="DW256" s="43" t="str">
        <f t="shared" si="3260"/>
        <v/>
      </c>
      <c r="DX256" s="43" t="str">
        <f t="shared" si="3261"/>
        <v/>
      </c>
      <c r="DY256" s="43" t="str">
        <f t="shared" si="3262"/>
        <v/>
      </c>
      <c r="DZ256" s="43" t="str">
        <f t="shared" si="3263"/>
        <v/>
      </c>
      <c r="EA256" s="43" t="str">
        <f t="shared" si="3264"/>
        <v/>
      </c>
      <c r="EB256" s="43" t="str">
        <f t="shared" si="3265"/>
        <v/>
      </c>
      <c r="EC256" s="43" t="str">
        <f t="shared" si="3266"/>
        <v/>
      </c>
      <c r="ED256" s="43" t="str">
        <f t="shared" si="3267"/>
        <v/>
      </c>
      <c r="EE256" s="43" t="str">
        <f t="shared" si="3268"/>
        <v/>
      </c>
      <c r="EF256" s="43" t="str">
        <f t="shared" si="3269"/>
        <v/>
      </c>
      <c r="EG256" s="43" t="str">
        <f t="shared" si="3270"/>
        <v/>
      </c>
      <c r="EH256" s="43" t="str">
        <f t="shared" si="3271"/>
        <v/>
      </c>
      <c r="EI256" s="43" t="str">
        <f t="shared" si="3272"/>
        <v/>
      </c>
      <c r="EJ256" s="43" t="str">
        <f t="shared" si="3273"/>
        <v/>
      </c>
      <c r="EK256" s="43" t="str">
        <f t="shared" si="3274"/>
        <v/>
      </c>
      <c r="EL256" s="43" t="str">
        <f t="shared" si="3275"/>
        <v/>
      </c>
      <c r="EM256" s="43" t="str">
        <f t="shared" si="3276"/>
        <v/>
      </c>
      <c r="EN256" s="43" t="str">
        <f t="shared" si="3277"/>
        <v/>
      </c>
      <c r="EO256" s="43" t="str">
        <f t="shared" si="3278"/>
        <v/>
      </c>
      <c r="EP256" s="43" t="str">
        <f t="shared" si="3279"/>
        <v/>
      </c>
      <c r="EQ256" s="43" t="str">
        <f t="shared" si="3280"/>
        <v/>
      </c>
      <c r="ER256" s="43" t="str">
        <f t="shared" si="3281"/>
        <v/>
      </c>
      <c r="ES256" s="43" t="str">
        <f t="shared" si="3282"/>
        <v/>
      </c>
      <c r="ET256" s="43" t="str">
        <f t="shared" si="3283"/>
        <v/>
      </c>
      <c r="EU256" s="43" t="str">
        <f t="shared" si="3284"/>
        <v/>
      </c>
      <c r="EV256" s="43" t="str">
        <f t="shared" si="3285"/>
        <v/>
      </c>
      <c r="EW256" s="43" t="str">
        <f t="shared" si="3286"/>
        <v/>
      </c>
      <c r="EX256" s="43" t="str">
        <f t="shared" si="3287"/>
        <v/>
      </c>
      <c r="EY256" s="43" t="str">
        <f t="shared" si="3288"/>
        <v/>
      </c>
      <c r="EZ256" s="43" t="str">
        <f t="shared" si="3289"/>
        <v/>
      </c>
      <c r="FA256" s="43" t="str">
        <f t="shared" si="3290"/>
        <v/>
      </c>
      <c r="FB256" s="43" t="str">
        <f t="shared" si="3291"/>
        <v/>
      </c>
      <c r="FC256" s="43" t="str">
        <f t="shared" si="3292"/>
        <v/>
      </c>
      <c r="FD256" s="43" t="str">
        <f t="shared" si="3293"/>
        <v/>
      </c>
      <c r="FE256" s="43" t="str">
        <f t="shared" si="3294"/>
        <v/>
      </c>
      <c r="FF256" s="43" t="str">
        <f t="shared" si="3295"/>
        <v/>
      </c>
      <c r="FG256" s="43" t="str">
        <f t="shared" si="3296"/>
        <v/>
      </c>
      <c r="FH256" s="43" t="str">
        <f t="shared" si="3297"/>
        <v/>
      </c>
      <c r="FI256" s="43" t="str">
        <f t="shared" si="3298"/>
        <v/>
      </c>
      <c r="FJ256" s="43" t="str">
        <f t="shared" si="3299"/>
        <v/>
      </c>
      <c r="FK256" s="43" t="str">
        <f t="shared" si="3300"/>
        <v/>
      </c>
      <c r="FL256" s="43" t="str">
        <f t="shared" si="3301"/>
        <v/>
      </c>
      <c r="FM256" s="43" t="str">
        <f t="shared" si="3302"/>
        <v/>
      </c>
      <c r="FN256" s="43" t="str">
        <f t="shared" si="3303"/>
        <v/>
      </c>
      <c r="FO256" s="43" t="str">
        <f t="shared" si="3304"/>
        <v/>
      </c>
      <c r="FP256" s="43" t="str">
        <f t="shared" si="3305"/>
        <v/>
      </c>
      <c r="FQ256" s="43" t="str">
        <f t="shared" si="3306"/>
        <v/>
      </c>
      <c r="FR256" s="43" t="str">
        <f t="shared" si="3307"/>
        <v/>
      </c>
      <c r="FS256" s="43" t="str">
        <f t="shared" si="3308"/>
        <v/>
      </c>
    </row>
    <row r="257" ht="15" spans="1:175">
      <c r="A257" s="10"/>
      <c r="B257" s="11"/>
      <c r="C257" s="10"/>
      <c r="E257" s="104"/>
      <c r="T257" s="111"/>
      <c r="U257" s="59"/>
      <c r="CU257" s="71" t="str">
        <f t="shared" si="3238"/>
        <v>|n</v>
      </c>
      <c r="CW257" s="6"/>
      <c r="CX257" s="6"/>
      <c r="CY257" s="6"/>
      <c r="CZ257" s="6"/>
      <c r="DA257" s="6"/>
      <c r="DB257" s="43" t="str">
        <f t="shared" si="3239"/>
        <v/>
      </c>
      <c r="DC257" s="43" t="str">
        <f t="shared" si="3240"/>
        <v/>
      </c>
      <c r="DD257" s="43" t="str">
        <f t="shared" si="3241"/>
        <v/>
      </c>
      <c r="DE257" s="43" t="str">
        <f t="shared" si="3242"/>
        <v/>
      </c>
      <c r="DF257" s="43" t="str">
        <f t="shared" si="3243"/>
        <v/>
      </c>
      <c r="DG257" s="43" t="str">
        <f t="shared" si="3244"/>
        <v/>
      </c>
      <c r="DH257" s="43" t="str">
        <f t="shared" si="3245"/>
        <v/>
      </c>
      <c r="DI257" s="43" t="str">
        <f t="shared" si="3246"/>
        <v/>
      </c>
      <c r="DJ257" s="43" t="str">
        <f t="shared" si="3247"/>
        <v/>
      </c>
      <c r="DK257" s="43" t="str">
        <f t="shared" si="3248"/>
        <v/>
      </c>
      <c r="DL257" s="43" t="str">
        <f t="shared" si="3249"/>
        <v/>
      </c>
      <c r="DM257" s="43" t="str">
        <f t="shared" si="3250"/>
        <v/>
      </c>
      <c r="DN257" s="43" t="str">
        <f t="shared" si="3251"/>
        <v/>
      </c>
      <c r="DO257" s="43" t="str">
        <f t="shared" si="3252"/>
        <v/>
      </c>
      <c r="DP257" s="43" t="str">
        <f t="shared" si="3253"/>
        <v/>
      </c>
      <c r="DQ257" s="43" t="str">
        <f t="shared" si="3254"/>
        <v/>
      </c>
      <c r="DR257" s="43" t="str">
        <f t="shared" si="3255"/>
        <v/>
      </c>
      <c r="DS257" s="43" t="str">
        <f t="shared" si="3256"/>
        <v/>
      </c>
      <c r="DT257" s="43" t="str">
        <f t="shared" si="3257"/>
        <v/>
      </c>
      <c r="DU257" s="43" t="str">
        <f t="shared" si="3258"/>
        <v/>
      </c>
      <c r="DV257" s="43" t="str">
        <f t="shared" si="3259"/>
        <v/>
      </c>
      <c r="DW257" s="43" t="str">
        <f t="shared" si="3260"/>
        <v/>
      </c>
      <c r="DX257" s="43" t="str">
        <f t="shared" si="3261"/>
        <v/>
      </c>
      <c r="DY257" s="43" t="str">
        <f t="shared" si="3262"/>
        <v/>
      </c>
      <c r="DZ257" s="43" t="str">
        <f t="shared" si="3263"/>
        <v/>
      </c>
      <c r="EA257" s="43" t="str">
        <f t="shared" si="3264"/>
        <v/>
      </c>
      <c r="EB257" s="43" t="str">
        <f t="shared" si="3265"/>
        <v/>
      </c>
      <c r="EC257" s="43" t="str">
        <f t="shared" si="3266"/>
        <v/>
      </c>
      <c r="ED257" s="43" t="str">
        <f t="shared" si="3267"/>
        <v/>
      </c>
      <c r="EE257" s="43" t="str">
        <f t="shared" si="3268"/>
        <v/>
      </c>
      <c r="EF257" s="43" t="str">
        <f t="shared" si="3269"/>
        <v/>
      </c>
      <c r="EG257" s="43" t="str">
        <f t="shared" si="3270"/>
        <v/>
      </c>
      <c r="EH257" s="43" t="str">
        <f t="shared" si="3271"/>
        <v/>
      </c>
      <c r="EI257" s="43" t="str">
        <f t="shared" si="3272"/>
        <v/>
      </c>
      <c r="EJ257" s="43" t="str">
        <f t="shared" si="3273"/>
        <v/>
      </c>
      <c r="EK257" s="43" t="str">
        <f t="shared" si="3274"/>
        <v/>
      </c>
      <c r="EL257" s="43" t="str">
        <f t="shared" si="3275"/>
        <v/>
      </c>
      <c r="EM257" s="43" t="str">
        <f t="shared" si="3276"/>
        <v/>
      </c>
      <c r="EN257" s="43" t="str">
        <f t="shared" si="3277"/>
        <v/>
      </c>
      <c r="EO257" s="43" t="str">
        <f t="shared" si="3278"/>
        <v/>
      </c>
      <c r="EP257" s="43" t="str">
        <f t="shared" si="3279"/>
        <v/>
      </c>
      <c r="EQ257" s="43" t="str">
        <f t="shared" si="3280"/>
        <v/>
      </c>
      <c r="ER257" s="43" t="str">
        <f t="shared" si="3281"/>
        <v/>
      </c>
      <c r="ES257" s="43" t="str">
        <f t="shared" si="3282"/>
        <v/>
      </c>
      <c r="ET257" s="43" t="str">
        <f t="shared" si="3283"/>
        <v/>
      </c>
      <c r="EU257" s="43" t="str">
        <f t="shared" si="3284"/>
        <v/>
      </c>
      <c r="EV257" s="43" t="str">
        <f t="shared" si="3285"/>
        <v/>
      </c>
      <c r="EW257" s="43" t="str">
        <f t="shared" si="3286"/>
        <v/>
      </c>
      <c r="EX257" s="43" t="str">
        <f t="shared" si="3287"/>
        <v/>
      </c>
      <c r="EY257" s="43" t="str">
        <f t="shared" si="3288"/>
        <v/>
      </c>
      <c r="EZ257" s="43" t="str">
        <f t="shared" si="3289"/>
        <v/>
      </c>
      <c r="FA257" s="43" t="str">
        <f t="shared" si="3290"/>
        <v/>
      </c>
      <c r="FB257" s="43" t="str">
        <f t="shared" si="3291"/>
        <v/>
      </c>
      <c r="FC257" s="43" t="str">
        <f t="shared" si="3292"/>
        <v/>
      </c>
      <c r="FD257" s="43" t="str">
        <f t="shared" si="3293"/>
        <v/>
      </c>
      <c r="FE257" s="43" t="str">
        <f t="shared" si="3294"/>
        <v/>
      </c>
      <c r="FF257" s="43" t="str">
        <f t="shared" si="3295"/>
        <v/>
      </c>
      <c r="FG257" s="43" t="str">
        <f t="shared" si="3296"/>
        <v/>
      </c>
      <c r="FH257" s="43" t="str">
        <f t="shared" si="3297"/>
        <v/>
      </c>
      <c r="FI257" s="43" t="str">
        <f t="shared" si="3298"/>
        <v/>
      </c>
      <c r="FJ257" s="43" t="str">
        <f t="shared" si="3299"/>
        <v/>
      </c>
      <c r="FK257" s="43" t="str">
        <f t="shared" si="3300"/>
        <v/>
      </c>
      <c r="FL257" s="43" t="str">
        <f t="shared" si="3301"/>
        <v/>
      </c>
      <c r="FM257" s="43" t="str">
        <f t="shared" si="3302"/>
        <v/>
      </c>
      <c r="FN257" s="43" t="str">
        <f t="shared" si="3303"/>
        <v/>
      </c>
      <c r="FO257" s="43" t="str">
        <f t="shared" si="3304"/>
        <v/>
      </c>
      <c r="FP257" s="43" t="str">
        <f t="shared" si="3305"/>
        <v/>
      </c>
      <c r="FQ257" s="43" t="str">
        <f t="shared" si="3306"/>
        <v/>
      </c>
      <c r="FR257" s="43" t="str">
        <f t="shared" si="3307"/>
        <v/>
      </c>
      <c r="FS257" s="43" t="str">
        <f t="shared" si="3308"/>
        <v/>
      </c>
    </row>
    <row r="258" ht="15" spans="1:175">
      <c r="A258" s="10"/>
      <c r="B258" s="11"/>
      <c r="C258" s="10"/>
      <c r="E258" s="104"/>
      <c r="T258" s="111"/>
      <c r="U258" s="59"/>
      <c r="CU258" s="71" t="str">
        <f t="shared" si="3238"/>
        <v>|n</v>
      </c>
      <c r="CW258" s="6"/>
      <c r="CX258" s="6"/>
      <c r="CY258" s="6"/>
      <c r="CZ258" s="6"/>
      <c r="DA258" s="6"/>
      <c r="DB258" s="43" t="str">
        <f t="shared" si="3239"/>
        <v/>
      </c>
      <c r="DC258" s="43" t="str">
        <f t="shared" si="3240"/>
        <v/>
      </c>
      <c r="DD258" s="43" t="str">
        <f t="shared" si="3241"/>
        <v/>
      </c>
      <c r="DE258" s="43" t="str">
        <f t="shared" si="3242"/>
        <v/>
      </c>
      <c r="DF258" s="43" t="str">
        <f t="shared" si="3243"/>
        <v/>
      </c>
      <c r="DG258" s="43" t="str">
        <f t="shared" si="3244"/>
        <v/>
      </c>
      <c r="DH258" s="43" t="str">
        <f t="shared" si="3245"/>
        <v/>
      </c>
      <c r="DI258" s="43" t="str">
        <f t="shared" si="3246"/>
        <v/>
      </c>
      <c r="DJ258" s="43" t="str">
        <f t="shared" si="3247"/>
        <v/>
      </c>
      <c r="DK258" s="43" t="str">
        <f t="shared" si="3248"/>
        <v/>
      </c>
      <c r="DL258" s="43" t="str">
        <f t="shared" si="3249"/>
        <v/>
      </c>
      <c r="DM258" s="43" t="str">
        <f t="shared" si="3250"/>
        <v/>
      </c>
      <c r="DN258" s="43" t="str">
        <f t="shared" si="3251"/>
        <v/>
      </c>
      <c r="DO258" s="43" t="str">
        <f t="shared" si="3252"/>
        <v/>
      </c>
      <c r="DP258" s="43" t="str">
        <f t="shared" si="3253"/>
        <v/>
      </c>
      <c r="DQ258" s="43" t="str">
        <f t="shared" si="3254"/>
        <v/>
      </c>
      <c r="DR258" s="43" t="str">
        <f t="shared" si="3255"/>
        <v/>
      </c>
      <c r="DS258" s="43" t="str">
        <f t="shared" si="3256"/>
        <v/>
      </c>
      <c r="DT258" s="43" t="str">
        <f t="shared" si="3257"/>
        <v/>
      </c>
      <c r="DU258" s="43" t="str">
        <f t="shared" si="3258"/>
        <v/>
      </c>
      <c r="DV258" s="43" t="str">
        <f t="shared" si="3259"/>
        <v/>
      </c>
      <c r="DW258" s="43" t="str">
        <f t="shared" si="3260"/>
        <v/>
      </c>
      <c r="DX258" s="43" t="str">
        <f t="shared" si="3261"/>
        <v/>
      </c>
      <c r="DY258" s="43" t="str">
        <f t="shared" si="3262"/>
        <v/>
      </c>
      <c r="DZ258" s="43" t="str">
        <f t="shared" si="3263"/>
        <v/>
      </c>
      <c r="EA258" s="43" t="str">
        <f t="shared" si="3264"/>
        <v/>
      </c>
      <c r="EB258" s="43" t="str">
        <f t="shared" si="3265"/>
        <v/>
      </c>
      <c r="EC258" s="43" t="str">
        <f t="shared" si="3266"/>
        <v/>
      </c>
      <c r="ED258" s="43" t="str">
        <f t="shared" si="3267"/>
        <v/>
      </c>
      <c r="EE258" s="43" t="str">
        <f t="shared" si="3268"/>
        <v/>
      </c>
      <c r="EF258" s="43" t="str">
        <f t="shared" si="3269"/>
        <v/>
      </c>
      <c r="EG258" s="43" t="str">
        <f t="shared" si="3270"/>
        <v/>
      </c>
      <c r="EH258" s="43" t="str">
        <f t="shared" si="3271"/>
        <v/>
      </c>
      <c r="EI258" s="43" t="str">
        <f t="shared" si="3272"/>
        <v/>
      </c>
      <c r="EJ258" s="43" t="str">
        <f t="shared" si="3273"/>
        <v/>
      </c>
      <c r="EK258" s="43" t="str">
        <f t="shared" si="3274"/>
        <v/>
      </c>
      <c r="EL258" s="43" t="str">
        <f t="shared" si="3275"/>
        <v/>
      </c>
      <c r="EM258" s="43" t="str">
        <f t="shared" si="3276"/>
        <v/>
      </c>
      <c r="EN258" s="43" t="str">
        <f t="shared" si="3277"/>
        <v/>
      </c>
      <c r="EO258" s="43" t="str">
        <f t="shared" si="3278"/>
        <v/>
      </c>
      <c r="EP258" s="43" t="str">
        <f t="shared" si="3279"/>
        <v/>
      </c>
      <c r="EQ258" s="43" t="str">
        <f t="shared" si="3280"/>
        <v/>
      </c>
      <c r="ER258" s="43" t="str">
        <f t="shared" si="3281"/>
        <v/>
      </c>
      <c r="ES258" s="43" t="str">
        <f t="shared" si="3282"/>
        <v/>
      </c>
      <c r="ET258" s="43" t="str">
        <f t="shared" si="3283"/>
        <v/>
      </c>
      <c r="EU258" s="43" t="str">
        <f t="shared" si="3284"/>
        <v/>
      </c>
      <c r="EV258" s="43" t="str">
        <f t="shared" si="3285"/>
        <v/>
      </c>
      <c r="EW258" s="43" t="str">
        <f t="shared" si="3286"/>
        <v/>
      </c>
      <c r="EX258" s="43" t="str">
        <f t="shared" si="3287"/>
        <v/>
      </c>
      <c r="EY258" s="43" t="str">
        <f t="shared" si="3288"/>
        <v/>
      </c>
      <c r="EZ258" s="43" t="str">
        <f t="shared" si="3289"/>
        <v/>
      </c>
      <c r="FA258" s="43" t="str">
        <f t="shared" si="3290"/>
        <v/>
      </c>
      <c r="FB258" s="43" t="str">
        <f t="shared" si="3291"/>
        <v/>
      </c>
      <c r="FC258" s="43" t="str">
        <f t="shared" si="3292"/>
        <v/>
      </c>
      <c r="FD258" s="43" t="str">
        <f t="shared" si="3293"/>
        <v/>
      </c>
      <c r="FE258" s="43" t="str">
        <f t="shared" si="3294"/>
        <v/>
      </c>
      <c r="FF258" s="43" t="str">
        <f t="shared" si="3295"/>
        <v/>
      </c>
      <c r="FG258" s="43" t="str">
        <f t="shared" si="3296"/>
        <v/>
      </c>
      <c r="FH258" s="43" t="str">
        <f t="shared" si="3297"/>
        <v/>
      </c>
      <c r="FI258" s="43" t="str">
        <f t="shared" si="3298"/>
        <v/>
      </c>
      <c r="FJ258" s="43" t="str">
        <f t="shared" si="3299"/>
        <v/>
      </c>
      <c r="FK258" s="43" t="str">
        <f t="shared" si="3300"/>
        <v/>
      </c>
      <c r="FL258" s="43" t="str">
        <f t="shared" si="3301"/>
        <v/>
      </c>
      <c r="FM258" s="43" t="str">
        <f t="shared" si="3302"/>
        <v/>
      </c>
      <c r="FN258" s="43" t="str">
        <f t="shared" si="3303"/>
        <v/>
      </c>
      <c r="FO258" s="43" t="str">
        <f t="shared" si="3304"/>
        <v/>
      </c>
      <c r="FP258" s="43" t="str">
        <f t="shared" si="3305"/>
        <v/>
      </c>
      <c r="FQ258" s="43" t="str">
        <f t="shared" si="3306"/>
        <v/>
      </c>
      <c r="FR258" s="43" t="str">
        <f t="shared" si="3307"/>
        <v/>
      </c>
      <c r="FS258" s="43" t="str">
        <f t="shared" si="3308"/>
        <v/>
      </c>
    </row>
    <row r="259" ht="15" spans="1:175">
      <c r="A259" s="10"/>
      <c r="B259" s="11"/>
      <c r="C259" s="10"/>
      <c r="E259" s="104"/>
      <c r="T259" s="111"/>
      <c r="U259" s="59"/>
      <c r="CU259" s="71" t="str">
        <f t="shared" si="3238"/>
        <v>|n</v>
      </c>
      <c r="CW259" s="6"/>
      <c r="CX259" s="6"/>
      <c r="CY259" s="6"/>
      <c r="CZ259" s="6"/>
      <c r="DA259" s="6"/>
      <c r="DB259" s="43" t="str">
        <f t="shared" si="3239"/>
        <v/>
      </c>
      <c r="DC259" s="43" t="str">
        <f t="shared" si="3240"/>
        <v/>
      </c>
      <c r="DD259" s="43" t="str">
        <f t="shared" si="3241"/>
        <v/>
      </c>
      <c r="DE259" s="43" t="str">
        <f t="shared" si="3242"/>
        <v/>
      </c>
      <c r="DF259" s="43" t="str">
        <f t="shared" si="3243"/>
        <v/>
      </c>
      <c r="DG259" s="43" t="str">
        <f t="shared" si="3244"/>
        <v/>
      </c>
      <c r="DH259" s="43" t="str">
        <f t="shared" si="3245"/>
        <v/>
      </c>
      <c r="DI259" s="43" t="str">
        <f t="shared" si="3246"/>
        <v/>
      </c>
      <c r="DJ259" s="43" t="str">
        <f t="shared" si="3247"/>
        <v/>
      </c>
      <c r="DK259" s="43" t="str">
        <f t="shared" si="3248"/>
        <v/>
      </c>
      <c r="DL259" s="43" t="str">
        <f t="shared" si="3249"/>
        <v/>
      </c>
      <c r="DM259" s="43" t="str">
        <f t="shared" si="3250"/>
        <v/>
      </c>
      <c r="DN259" s="43" t="str">
        <f t="shared" si="3251"/>
        <v/>
      </c>
      <c r="DO259" s="43" t="str">
        <f t="shared" si="3252"/>
        <v/>
      </c>
      <c r="DP259" s="43" t="str">
        <f t="shared" si="3253"/>
        <v/>
      </c>
      <c r="DQ259" s="43" t="str">
        <f t="shared" si="3254"/>
        <v/>
      </c>
      <c r="DR259" s="43" t="str">
        <f t="shared" si="3255"/>
        <v/>
      </c>
      <c r="DS259" s="43" t="str">
        <f t="shared" si="3256"/>
        <v/>
      </c>
      <c r="DT259" s="43" t="str">
        <f t="shared" si="3257"/>
        <v/>
      </c>
      <c r="DU259" s="43" t="str">
        <f t="shared" si="3258"/>
        <v/>
      </c>
      <c r="DV259" s="43" t="str">
        <f t="shared" si="3259"/>
        <v/>
      </c>
      <c r="DW259" s="43" t="str">
        <f t="shared" si="3260"/>
        <v/>
      </c>
      <c r="DX259" s="43" t="str">
        <f t="shared" si="3261"/>
        <v/>
      </c>
      <c r="DY259" s="43" t="str">
        <f t="shared" si="3262"/>
        <v/>
      </c>
      <c r="DZ259" s="43" t="str">
        <f t="shared" si="3263"/>
        <v/>
      </c>
      <c r="EA259" s="43" t="str">
        <f t="shared" si="3264"/>
        <v/>
      </c>
      <c r="EB259" s="43" t="str">
        <f t="shared" si="3265"/>
        <v/>
      </c>
      <c r="EC259" s="43" t="str">
        <f t="shared" si="3266"/>
        <v/>
      </c>
      <c r="ED259" s="43" t="str">
        <f t="shared" si="3267"/>
        <v/>
      </c>
      <c r="EE259" s="43" t="str">
        <f t="shared" si="3268"/>
        <v/>
      </c>
      <c r="EF259" s="43" t="str">
        <f t="shared" si="3269"/>
        <v/>
      </c>
      <c r="EG259" s="43" t="str">
        <f t="shared" si="3270"/>
        <v/>
      </c>
      <c r="EH259" s="43" t="str">
        <f t="shared" si="3271"/>
        <v/>
      </c>
      <c r="EI259" s="43" t="str">
        <f t="shared" si="3272"/>
        <v/>
      </c>
      <c r="EJ259" s="43" t="str">
        <f t="shared" si="3273"/>
        <v/>
      </c>
      <c r="EK259" s="43" t="str">
        <f t="shared" si="3274"/>
        <v/>
      </c>
      <c r="EL259" s="43" t="str">
        <f t="shared" si="3275"/>
        <v/>
      </c>
      <c r="EM259" s="43" t="str">
        <f t="shared" si="3276"/>
        <v/>
      </c>
      <c r="EN259" s="43" t="str">
        <f t="shared" si="3277"/>
        <v/>
      </c>
      <c r="EO259" s="43" t="str">
        <f t="shared" si="3278"/>
        <v/>
      </c>
      <c r="EP259" s="43" t="str">
        <f t="shared" si="3279"/>
        <v/>
      </c>
      <c r="EQ259" s="43" t="str">
        <f t="shared" si="3280"/>
        <v/>
      </c>
      <c r="ER259" s="43" t="str">
        <f t="shared" si="3281"/>
        <v/>
      </c>
      <c r="ES259" s="43" t="str">
        <f t="shared" si="3282"/>
        <v/>
      </c>
      <c r="ET259" s="43" t="str">
        <f t="shared" si="3283"/>
        <v/>
      </c>
      <c r="EU259" s="43" t="str">
        <f t="shared" si="3284"/>
        <v/>
      </c>
      <c r="EV259" s="43" t="str">
        <f t="shared" si="3285"/>
        <v/>
      </c>
      <c r="EW259" s="43" t="str">
        <f t="shared" si="3286"/>
        <v/>
      </c>
      <c r="EX259" s="43" t="str">
        <f t="shared" si="3287"/>
        <v/>
      </c>
      <c r="EY259" s="43" t="str">
        <f t="shared" si="3288"/>
        <v/>
      </c>
      <c r="EZ259" s="43" t="str">
        <f t="shared" si="3289"/>
        <v/>
      </c>
      <c r="FA259" s="43" t="str">
        <f t="shared" si="3290"/>
        <v/>
      </c>
      <c r="FB259" s="43" t="str">
        <f t="shared" si="3291"/>
        <v/>
      </c>
      <c r="FC259" s="43" t="str">
        <f t="shared" si="3292"/>
        <v/>
      </c>
      <c r="FD259" s="43" t="str">
        <f t="shared" si="3293"/>
        <v/>
      </c>
      <c r="FE259" s="43" t="str">
        <f t="shared" si="3294"/>
        <v/>
      </c>
      <c r="FF259" s="43" t="str">
        <f t="shared" si="3295"/>
        <v/>
      </c>
      <c r="FG259" s="43" t="str">
        <f t="shared" si="3296"/>
        <v/>
      </c>
      <c r="FH259" s="43" t="str">
        <f t="shared" si="3297"/>
        <v/>
      </c>
      <c r="FI259" s="43" t="str">
        <f t="shared" si="3298"/>
        <v/>
      </c>
      <c r="FJ259" s="43" t="str">
        <f t="shared" si="3299"/>
        <v/>
      </c>
      <c r="FK259" s="43" t="str">
        <f t="shared" si="3300"/>
        <v/>
      </c>
      <c r="FL259" s="43" t="str">
        <f t="shared" si="3301"/>
        <v/>
      </c>
      <c r="FM259" s="43" t="str">
        <f t="shared" si="3302"/>
        <v/>
      </c>
      <c r="FN259" s="43" t="str">
        <f t="shared" si="3303"/>
        <v/>
      </c>
      <c r="FO259" s="43" t="str">
        <f t="shared" si="3304"/>
        <v/>
      </c>
      <c r="FP259" s="43" t="str">
        <f t="shared" si="3305"/>
        <v/>
      </c>
      <c r="FQ259" s="43" t="str">
        <f t="shared" si="3306"/>
        <v/>
      </c>
      <c r="FR259" s="43" t="str">
        <f t="shared" si="3307"/>
        <v/>
      </c>
      <c r="FS259" s="43" t="str">
        <f t="shared" si="3308"/>
        <v/>
      </c>
    </row>
    <row r="260" ht="15" spans="1:175">
      <c r="A260" s="10"/>
      <c r="B260" s="11"/>
      <c r="C260" s="10"/>
      <c r="E260" s="104"/>
      <c r="T260" s="111"/>
      <c r="U260" s="59"/>
      <c r="CU260" s="71" t="str">
        <f t="shared" si="3238"/>
        <v>|n</v>
      </c>
      <c r="CW260" s="6"/>
      <c r="CX260" s="6"/>
      <c r="CY260" s="6"/>
      <c r="CZ260" s="6"/>
      <c r="DA260" s="6"/>
      <c r="DB260" s="43" t="str">
        <f t="shared" si="3239"/>
        <v/>
      </c>
      <c r="DC260" s="43" t="str">
        <f t="shared" si="3240"/>
        <v/>
      </c>
      <c r="DD260" s="43" t="str">
        <f t="shared" si="3241"/>
        <v/>
      </c>
      <c r="DE260" s="43" t="str">
        <f t="shared" si="3242"/>
        <v/>
      </c>
      <c r="DF260" s="43" t="str">
        <f t="shared" si="3243"/>
        <v/>
      </c>
      <c r="DG260" s="43" t="str">
        <f t="shared" si="3244"/>
        <v/>
      </c>
      <c r="DH260" s="43" t="str">
        <f t="shared" si="3245"/>
        <v/>
      </c>
      <c r="DI260" s="43" t="str">
        <f t="shared" si="3246"/>
        <v/>
      </c>
      <c r="DJ260" s="43" t="str">
        <f t="shared" si="3247"/>
        <v/>
      </c>
      <c r="DK260" s="43" t="str">
        <f t="shared" si="3248"/>
        <v/>
      </c>
      <c r="DL260" s="43" t="str">
        <f t="shared" si="3249"/>
        <v/>
      </c>
      <c r="DM260" s="43" t="str">
        <f t="shared" si="3250"/>
        <v/>
      </c>
      <c r="DN260" s="43" t="str">
        <f t="shared" si="3251"/>
        <v/>
      </c>
      <c r="DO260" s="43" t="str">
        <f t="shared" si="3252"/>
        <v/>
      </c>
      <c r="DP260" s="43" t="str">
        <f t="shared" si="3253"/>
        <v/>
      </c>
      <c r="DQ260" s="43" t="str">
        <f t="shared" si="3254"/>
        <v/>
      </c>
      <c r="DR260" s="43" t="str">
        <f t="shared" si="3255"/>
        <v/>
      </c>
      <c r="DS260" s="43" t="str">
        <f t="shared" si="3256"/>
        <v/>
      </c>
      <c r="DT260" s="43" t="str">
        <f t="shared" si="3257"/>
        <v/>
      </c>
      <c r="DU260" s="43" t="str">
        <f t="shared" si="3258"/>
        <v/>
      </c>
      <c r="DV260" s="43" t="str">
        <f t="shared" si="3259"/>
        <v/>
      </c>
      <c r="DW260" s="43" t="str">
        <f t="shared" si="3260"/>
        <v/>
      </c>
      <c r="DX260" s="43" t="str">
        <f t="shared" si="3261"/>
        <v/>
      </c>
      <c r="DY260" s="43" t="str">
        <f t="shared" si="3262"/>
        <v/>
      </c>
      <c r="DZ260" s="43" t="str">
        <f t="shared" si="3263"/>
        <v/>
      </c>
      <c r="EA260" s="43" t="str">
        <f t="shared" si="3264"/>
        <v/>
      </c>
      <c r="EB260" s="43" t="str">
        <f t="shared" si="3265"/>
        <v/>
      </c>
      <c r="EC260" s="43" t="str">
        <f t="shared" si="3266"/>
        <v/>
      </c>
      <c r="ED260" s="43" t="str">
        <f t="shared" si="3267"/>
        <v/>
      </c>
      <c r="EE260" s="43" t="str">
        <f t="shared" si="3268"/>
        <v/>
      </c>
      <c r="EF260" s="43" t="str">
        <f t="shared" si="3269"/>
        <v/>
      </c>
      <c r="EG260" s="43" t="str">
        <f t="shared" si="3270"/>
        <v/>
      </c>
      <c r="EH260" s="43" t="str">
        <f t="shared" si="3271"/>
        <v/>
      </c>
      <c r="EI260" s="43" t="str">
        <f t="shared" si="3272"/>
        <v/>
      </c>
      <c r="EJ260" s="43" t="str">
        <f t="shared" si="3273"/>
        <v/>
      </c>
      <c r="EK260" s="43" t="str">
        <f t="shared" si="3274"/>
        <v/>
      </c>
      <c r="EL260" s="43" t="str">
        <f t="shared" si="3275"/>
        <v/>
      </c>
      <c r="EM260" s="43" t="str">
        <f t="shared" si="3276"/>
        <v/>
      </c>
      <c r="EN260" s="43" t="str">
        <f t="shared" si="3277"/>
        <v/>
      </c>
      <c r="EO260" s="43" t="str">
        <f t="shared" si="3278"/>
        <v/>
      </c>
      <c r="EP260" s="43" t="str">
        <f t="shared" si="3279"/>
        <v/>
      </c>
      <c r="EQ260" s="43" t="str">
        <f t="shared" si="3280"/>
        <v/>
      </c>
      <c r="ER260" s="43" t="str">
        <f t="shared" si="3281"/>
        <v/>
      </c>
      <c r="ES260" s="43" t="str">
        <f t="shared" si="3282"/>
        <v/>
      </c>
      <c r="ET260" s="43" t="str">
        <f t="shared" si="3283"/>
        <v/>
      </c>
      <c r="EU260" s="43" t="str">
        <f t="shared" si="3284"/>
        <v/>
      </c>
      <c r="EV260" s="43" t="str">
        <f t="shared" si="3285"/>
        <v/>
      </c>
      <c r="EW260" s="43" t="str">
        <f t="shared" si="3286"/>
        <v/>
      </c>
      <c r="EX260" s="43" t="str">
        <f t="shared" si="3287"/>
        <v/>
      </c>
      <c r="EY260" s="43" t="str">
        <f t="shared" si="3288"/>
        <v/>
      </c>
      <c r="EZ260" s="43" t="str">
        <f t="shared" si="3289"/>
        <v/>
      </c>
      <c r="FA260" s="43" t="str">
        <f t="shared" si="3290"/>
        <v/>
      </c>
      <c r="FB260" s="43" t="str">
        <f t="shared" si="3291"/>
        <v/>
      </c>
      <c r="FC260" s="43" t="str">
        <f t="shared" si="3292"/>
        <v/>
      </c>
      <c r="FD260" s="43" t="str">
        <f t="shared" si="3293"/>
        <v/>
      </c>
      <c r="FE260" s="43" t="str">
        <f t="shared" si="3294"/>
        <v/>
      </c>
      <c r="FF260" s="43" t="str">
        <f t="shared" si="3295"/>
        <v/>
      </c>
      <c r="FG260" s="43" t="str">
        <f t="shared" si="3296"/>
        <v/>
      </c>
      <c r="FH260" s="43" t="str">
        <f t="shared" si="3297"/>
        <v/>
      </c>
      <c r="FI260" s="43" t="str">
        <f t="shared" si="3298"/>
        <v/>
      </c>
      <c r="FJ260" s="43" t="str">
        <f t="shared" si="3299"/>
        <v/>
      </c>
      <c r="FK260" s="43" t="str">
        <f t="shared" si="3300"/>
        <v/>
      </c>
      <c r="FL260" s="43" t="str">
        <f t="shared" si="3301"/>
        <v/>
      </c>
      <c r="FM260" s="43" t="str">
        <f t="shared" si="3302"/>
        <v/>
      </c>
      <c r="FN260" s="43" t="str">
        <f t="shared" si="3303"/>
        <v/>
      </c>
      <c r="FO260" s="43" t="str">
        <f t="shared" si="3304"/>
        <v/>
      </c>
      <c r="FP260" s="43" t="str">
        <f t="shared" si="3305"/>
        <v/>
      </c>
      <c r="FQ260" s="43" t="str">
        <f t="shared" si="3306"/>
        <v/>
      </c>
      <c r="FR260" s="43" t="str">
        <f t="shared" si="3307"/>
        <v/>
      </c>
      <c r="FS260" s="43" t="str">
        <f t="shared" si="3308"/>
        <v/>
      </c>
    </row>
    <row r="261" ht="15" spans="1:175">
      <c r="A261" s="10"/>
      <c r="B261" s="11"/>
      <c r="C261" s="10"/>
      <c r="E261" s="104"/>
      <c r="T261" s="111"/>
      <c r="U261" s="59"/>
      <c r="CU261" s="71" t="str">
        <f t="shared" si="3238"/>
        <v>|n</v>
      </c>
      <c r="CW261" s="6"/>
      <c r="CX261" s="6"/>
      <c r="CY261" s="6"/>
      <c r="CZ261" s="6"/>
      <c r="DA261" s="6"/>
      <c r="DB261" s="43" t="str">
        <f t="shared" si="3239"/>
        <v/>
      </c>
      <c r="DC261" s="43" t="str">
        <f t="shared" si="3240"/>
        <v/>
      </c>
      <c r="DD261" s="43" t="str">
        <f t="shared" si="3241"/>
        <v/>
      </c>
      <c r="DE261" s="43" t="str">
        <f t="shared" si="3242"/>
        <v/>
      </c>
      <c r="DF261" s="43" t="str">
        <f t="shared" si="3243"/>
        <v/>
      </c>
      <c r="DG261" s="43" t="str">
        <f t="shared" si="3244"/>
        <v/>
      </c>
      <c r="DH261" s="43" t="str">
        <f t="shared" si="3245"/>
        <v/>
      </c>
      <c r="DI261" s="43" t="str">
        <f t="shared" si="3246"/>
        <v/>
      </c>
      <c r="DJ261" s="43" t="str">
        <f t="shared" si="3247"/>
        <v/>
      </c>
      <c r="DK261" s="43" t="str">
        <f t="shared" si="3248"/>
        <v/>
      </c>
      <c r="DL261" s="43" t="str">
        <f t="shared" si="3249"/>
        <v/>
      </c>
      <c r="DM261" s="43" t="str">
        <f t="shared" si="3250"/>
        <v/>
      </c>
      <c r="DN261" s="43" t="str">
        <f t="shared" si="3251"/>
        <v/>
      </c>
      <c r="DO261" s="43" t="str">
        <f t="shared" si="3252"/>
        <v/>
      </c>
      <c r="DP261" s="43" t="str">
        <f t="shared" si="3253"/>
        <v/>
      </c>
      <c r="DQ261" s="43" t="str">
        <f t="shared" si="3254"/>
        <v/>
      </c>
      <c r="DR261" s="43" t="str">
        <f t="shared" si="3255"/>
        <v/>
      </c>
      <c r="DS261" s="43" t="str">
        <f t="shared" si="3256"/>
        <v/>
      </c>
      <c r="DT261" s="43" t="str">
        <f t="shared" si="3257"/>
        <v/>
      </c>
      <c r="DU261" s="43" t="str">
        <f t="shared" si="3258"/>
        <v/>
      </c>
      <c r="DV261" s="43" t="str">
        <f t="shared" si="3259"/>
        <v/>
      </c>
      <c r="DW261" s="43" t="str">
        <f t="shared" si="3260"/>
        <v/>
      </c>
      <c r="DX261" s="43" t="str">
        <f t="shared" si="3261"/>
        <v/>
      </c>
      <c r="DY261" s="43" t="str">
        <f t="shared" si="3262"/>
        <v/>
      </c>
      <c r="DZ261" s="43" t="str">
        <f t="shared" si="3263"/>
        <v/>
      </c>
      <c r="EA261" s="43" t="str">
        <f t="shared" si="3264"/>
        <v/>
      </c>
      <c r="EB261" s="43" t="str">
        <f t="shared" si="3265"/>
        <v/>
      </c>
      <c r="EC261" s="43" t="str">
        <f t="shared" si="3266"/>
        <v/>
      </c>
      <c r="ED261" s="43" t="str">
        <f t="shared" si="3267"/>
        <v/>
      </c>
      <c r="EE261" s="43" t="str">
        <f t="shared" si="3268"/>
        <v/>
      </c>
      <c r="EF261" s="43" t="str">
        <f t="shared" si="3269"/>
        <v/>
      </c>
      <c r="EG261" s="43" t="str">
        <f t="shared" si="3270"/>
        <v/>
      </c>
      <c r="EH261" s="43" t="str">
        <f t="shared" si="3271"/>
        <v/>
      </c>
      <c r="EI261" s="43" t="str">
        <f t="shared" si="3272"/>
        <v/>
      </c>
      <c r="EJ261" s="43" t="str">
        <f t="shared" si="3273"/>
        <v/>
      </c>
      <c r="EK261" s="43" t="str">
        <f t="shared" si="3274"/>
        <v/>
      </c>
      <c r="EL261" s="43" t="str">
        <f t="shared" si="3275"/>
        <v/>
      </c>
      <c r="EM261" s="43" t="str">
        <f t="shared" si="3276"/>
        <v/>
      </c>
      <c r="EN261" s="43" t="str">
        <f t="shared" si="3277"/>
        <v/>
      </c>
      <c r="EO261" s="43" t="str">
        <f t="shared" si="3278"/>
        <v/>
      </c>
      <c r="EP261" s="43" t="str">
        <f t="shared" si="3279"/>
        <v/>
      </c>
      <c r="EQ261" s="43" t="str">
        <f t="shared" si="3280"/>
        <v/>
      </c>
      <c r="ER261" s="43" t="str">
        <f t="shared" si="3281"/>
        <v/>
      </c>
      <c r="ES261" s="43" t="str">
        <f t="shared" si="3282"/>
        <v/>
      </c>
      <c r="ET261" s="43" t="str">
        <f t="shared" si="3283"/>
        <v/>
      </c>
      <c r="EU261" s="43" t="str">
        <f t="shared" si="3284"/>
        <v/>
      </c>
      <c r="EV261" s="43" t="str">
        <f t="shared" si="3285"/>
        <v/>
      </c>
      <c r="EW261" s="43" t="str">
        <f t="shared" si="3286"/>
        <v/>
      </c>
      <c r="EX261" s="43" t="str">
        <f t="shared" si="3287"/>
        <v/>
      </c>
      <c r="EY261" s="43" t="str">
        <f t="shared" si="3288"/>
        <v/>
      </c>
      <c r="EZ261" s="43" t="str">
        <f t="shared" si="3289"/>
        <v/>
      </c>
      <c r="FA261" s="43" t="str">
        <f t="shared" si="3290"/>
        <v/>
      </c>
      <c r="FB261" s="43" t="str">
        <f t="shared" si="3291"/>
        <v/>
      </c>
      <c r="FC261" s="43" t="str">
        <f t="shared" si="3292"/>
        <v/>
      </c>
      <c r="FD261" s="43" t="str">
        <f t="shared" si="3293"/>
        <v/>
      </c>
      <c r="FE261" s="43" t="str">
        <f t="shared" si="3294"/>
        <v/>
      </c>
      <c r="FF261" s="43" t="str">
        <f t="shared" si="3295"/>
        <v/>
      </c>
      <c r="FG261" s="43" t="str">
        <f t="shared" si="3296"/>
        <v/>
      </c>
      <c r="FH261" s="43" t="str">
        <f t="shared" si="3297"/>
        <v/>
      </c>
      <c r="FI261" s="43" t="str">
        <f t="shared" si="3298"/>
        <v/>
      </c>
      <c r="FJ261" s="43" t="str">
        <f t="shared" si="3299"/>
        <v/>
      </c>
      <c r="FK261" s="43" t="str">
        <f t="shared" si="3300"/>
        <v/>
      </c>
      <c r="FL261" s="43" t="str">
        <f t="shared" si="3301"/>
        <v/>
      </c>
      <c r="FM261" s="43" t="str">
        <f t="shared" si="3302"/>
        <v/>
      </c>
      <c r="FN261" s="43" t="str">
        <f t="shared" si="3303"/>
        <v/>
      </c>
      <c r="FO261" s="43" t="str">
        <f t="shared" si="3304"/>
        <v/>
      </c>
      <c r="FP261" s="43" t="str">
        <f t="shared" si="3305"/>
        <v/>
      </c>
      <c r="FQ261" s="43" t="str">
        <f t="shared" si="3306"/>
        <v/>
      </c>
      <c r="FR261" s="43" t="str">
        <f t="shared" si="3307"/>
        <v/>
      </c>
      <c r="FS261" s="43" t="str">
        <f t="shared" si="3308"/>
        <v/>
      </c>
    </row>
    <row r="262" ht="15" spans="1:175">
      <c r="A262" s="10"/>
      <c r="B262" s="11"/>
      <c r="C262" s="10"/>
      <c r="E262" s="104"/>
      <c r="T262" s="111"/>
      <c r="U262" s="59"/>
      <c r="CU262" s="71" t="str">
        <f t="shared" si="3238"/>
        <v>|n</v>
      </c>
      <c r="CW262" s="6"/>
      <c r="CX262" s="6"/>
      <c r="CY262" s="6"/>
      <c r="CZ262" s="6"/>
      <c r="DA262" s="6"/>
      <c r="DB262" s="43" t="str">
        <f t="shared" si="3239"/>
        <v/>
      </c>
      <c r="DC262" s="43" t="str">
        <f t="shared" si="3240"/>
        <v/>
      </c>
      <c r="DD262" s="43" t="str">
        <f t="shared" si="3241"/>
        <v/>
      </c>
      <c r="DE262" s="43" t="str">
        <f t="shared" si="3242"/>
        <v/>
      </c>
      <c r="DF262" s="43" t="str">
        <f t="shared" si="3243"/>
        <v/>
      </c>
      <c r="DG262" s="43" t="str">
        <f t="shared" si="3244"/>
        <v/>
      </c>
      <c r="DH262" s="43" t="str">
        <f t="shared" si="3245"/>
        <v/>
      </c>
      <c r="DI262" s="43" t="str">
        <f t="shared" si="3246"/>
        <v/>
      </c>
      <c r="DJ262" s="43" t="str">
        <f t="shared" si="3247"/>
        <v/>
      </c>
      <c r="DK262" s="43" t="str">
        <f t="shared" si="3248"/>
        <v/>
      </c>
      <c r="DL262" s="43" t="str">
        <f t="shared" si="3249"/>
        <v/>
      </c>
      <c r="DM262" s="43" t="str">
        <f t="shared" si="3250"/>
        <v/>
      </c>
      <c r="DN262" s="43" t="str">
        <f t="shared" si="3251"/>
        <v/>
      </c>
      <c r="DO262" s="43" t="str">
        <f t="shared" si="3252"/>
        <v/>
      </c>
      <c r="DP262" s="43" t="str">
        <f t="shared" si="3253"/>
        <v/>
      </c>
      <c r="DQ262" s="43" t="str">
        <f t="shared" si="3254"/>
        <v/>
      </c>
      <c r="DR262" s="43" t="str">
        <f t="shared" si="3255"/>
        <v/>
      </c>
      <c r="DS262" s="43" t="str">
        <f t="shared" si="3256"/>
        <v/>
      </c>
      <c r="DT262" s="43" t="str">
        <f t="shared" si="3257"/>
        <v/>
      </c>
      <c r="DU262" s="43" t="str">
        <f t="shared" si="3258"/>
        <v/>
      </c>
      <c r="DV262" s="43" t="str">
        <f t="shared" si="3259"/>
        <v/>
      </c>
      <c r="DW262" s="43" t="str">
        <f t="shared" si="3260"/>
        <v/>
      </c>
      <c r="DX262" s="43" t="str">
        <f t="shared" si="3261"/>
        <v/>
      </c>
      <c r="DY262" s="43" t="str">
        <f t="shared" si="3262"/>
        <v/>
      </c>
      <c r="DZ262" s="43" t="str">
        <f t="shared" si="3263"/>
        <v/>
      </c>
      <c r="EA262" s="43" t="str">
        <f t="shared" si="3264"/>
        <v/>
      </c>
      <c r="EB262" s="43" t="str">
        <f t="shared" si="3265"/>
        <v/>
      </c>
      <c r="EC262" s="43" t="str">
        <f t="shared" si="3266"/>
        <v/>
      </c>
      <c r="ED262" s="43" t="str">
        <f t="shared" si="3267"/>
        <v/>
      </c>
      <c r="EE262" s="43" t="str">
        <f t="shared" si="3268"/>
        <v/>
      </c>
      <c r="EF262" s="43" t="str">
        <f t="shared" si="3269"/>
        <v/>
      </c>
      <c r="EG262" s="43" t="str">
        <f t="shared" si="3270"/>
        <v/>
      </c>
      <c r="EH262" s="43" t="str">
        <f t="shared" si="3271"/>
        <v/>
      </c>
      <c r="EI262" s="43" t="str">
        <f t="shared" si="3272"/>
        <v/>
      </c>
      <c r="EJ262" s="43" t="str">
        <f t="shared" si="3273"/>
        <v/>
      </c>
      <c r="EK262" s="43" t="str">
        <f t="shared" si="3274"/>
        <v/>
      </c>
      <c r="EL262" s="43" t="str">
        <f t="shared" si="3275"/>
        <v/>
      </c>
      <c r="EM262" s="43" t="str">
        <f t="shared" si="3276"/>
        <v/>
      </c>
      <c r="EN262" s="43" t="str">
        <f t="shared" si="3277"/>
        <v/>
      </c>
      <c r="EO262" s="43" t="str">
        <f t="shared" si="3278"/>
        <v/>
      </c>
      <c r="EP262" s="43" t="str">
        <f t="shared" si="3279"/>
        <v/>
      </c>
      <c r="EQ262" s="43" t="str">
        <f t="shared" si="3280"/>
        <v/>
      </c>
      <c r="ER262" s="43" t="str">
        <f t="shared" si="3281"/>
        <v/>
      </c>
      <c r="ES262" s="43" t="str">
        <f t="shared" si="3282"/>
        <v/>
      </c>
      <c r="ET262" s="43" t="str">
        <f t="shared" si="3283"/>
        <v/>
      </c>
      <c r="EU262" s="43" t="str">
        <f t="shared" si="3284"/>
        <v/>
      </c>
      <c r="EV262" s="43" t="str">
        <f t="shared" si="3285"/>
        <v/>
      </c>
      <c r="EW262" s="43" t="str">
        <f t="shared" si="3286"/>
        <v/>
      </c>
      <c r="EX262" s="43" t="str">
        <f t="shared" si="3287"/>
        <v/>
      </c>
      <c r="EY262" s="43" t="str">
        <f t="shared" si="3288"/>
        <v/>
      </c>
      <c r="EZ262" s="43" t="str">
        <f t="shared" si="3289"/>
        <v/>
      </c>
      <c r="FA262" s="43" t="str">
        <f t="shared" si="3290"/>
        <v/>
      </c>
      <c r="FB262" s="43" t="str">
        <f t="shared" si="3291"/>
        <v/>
      </c>
      <c r="FC262" s="43" t="str">
        <f t="shared" si="3292"/>
        <v/>
      </c>
      <c r="FD262" s="43" t="str">
        <f t="shared" si="3293"/>
        <v/>
      </c>
      <c r="FE262" s="43" t="str">
        <f t="shared" si="3294"/>
        <v/>
      </c>
      <c r="FF262" s="43" t="str">
        <f t="shared" si="3295"/>
        <v/>
      </c>
      <c r="FG262" s="43" t="str">
        <f t="shared" si="3296"/>
        <v/>
      </c>
      <c r="FH262" s="43" t="str">
        <f t="shared" si="3297"/>
        <v/>
      </c>
      <c r="FI262" s="43" t="str">
        <f t="shared" si="3298"/>
        <v/>
      </c>
      <c r="FJ262" s="43" t="str">
        <f t="shared" si="3299"/>
        <v/>
      </c>
      <c r="FK262" s="43" t="str">
        <f t="shared" si="3300"/>
        <v/>
      </c>
      <c r="FL262" s="43" t="str">
        <f t="shared" si="3301"/>
        <v/>
      </c>
      <c r="FM262" s="43" t="str">
        <f t="shared" si="3302"/>
        <v/>
      </c>
      <c r="FN262" s="43" t="str">
        <f t="shared" si="3303"/>
        <v/>
      </c>
      <c r="FO262" s="43" t="str">
        <f t="shared" si="3304"/>
        <v/>
      </c>
      <c r="FP262" s="43" t="str">
        <f t="shared" si="3305"/>
        <v/>
      </c>
      <c r="FQ262" s="43" t="str">
        <f t="shared" si="3306"/>
        <v/>
      </c>
      <c r="FR262" s="43" t="str">
        <f t="shared" si="3307"/>
        <v/>
      </c>
      <c r="FS262" s="43" t="str">
        <f t="shared" si="3308"/>
        <v/>
      </c>
    </row>
    <row r="263" ht="15" spans="1:175">
      <c r="A263" s="10"/>
      <c r="B263" s="11"/>
      <c r="C263" s="10"/>
      <c r="E263" s="104"/>
      <c r="T263" s="111"/>
      <c r="U263" s="59"/>
      <c r="CU263" s="71" t="str">
        <f t="shared" si="3238"/>
        <v>|n</v>
      </c>
      <c r="CW263" s="6"/>
      <c r="CX263" s="6"/>
      <c r="CY263" s="6"/>
      <c r="CZ263" s="6"/>
      <c r="DA263" s="6"/>
      <c r="DB263" s="43" t="str">
        <f t="shared" si="3239"/>
        <v/>
      </c>
      <c r="DC263" s="43" t="str">
        <f t="shared" si="3240"/>
        <v/>
      </c>
      <c r="DD263" s="43" t="str">
        <f t="shared" si="3241"/>
        <v/>
      </c>
      <c r="DE263" s="43" t="str">
        <f t="shared" si="3242"/>
        <v/>
      </c>
      <c r="DF263" s="43" t="str">
        <f t="shared" si="3243"/>
        <v/>
      </c>
      <c r="DG263" s="43" t="str">
        <f t="shared" si="3244"/>
        <v/>
      </c>
      <c r="DH263" s="43" t="str">
        <f t="shared" si="3245"/>
        <v/>
      </c>
      <c r="DI263" s="43" t="str">
        <f t="shared" si="3246"/>
        <v/>
      </c>
      <c r="DJ263" s="43" t="str">
        <f t="shared" si="3247"/>
        <v/>
      </c>
      <c r="DK263" s="43" t="str">
        <f t="shared" si="3248"/>
        <v/>
      </c>
      <c r="DL263" s="43" t="str">
        <f t="shared" si="3249"/>
        <v/>
      </c>
      <c r="DM263" s="43" t="str">
        <f t="shared" si="3250"/>
        <v/>
      </c>
      <c r="DN263" s="43" t="str">
        <f t="shared" si="3251"/>
        <v/>
      </c>
      <c r="DO263" s="43" t="str">
        <f t="shared" si="3252"/>
        <v/>
      </c>
      <c r="DP263" s="43" t="str">
        <f t="shared" si="3253"/>
        <v/>
      </c>
      <c r="DQ263" s="43" t="str">
        <f t="shared" si="3254"/>
        <v/>
      </c>
      <c r="DR263" s="43" t="str">
        <f t="shared" si="3255"/>
        <v/>
      </c>
      <c r="DS263" s="43" t="str">
        <f t="shared" si="3256"/>
        <v/>
      </c>
      <c r="DT263" s="43" t="str">
        <f t="shared" si="3257"/>
        <v/>
      </c>
      <c r="DU263" s="43" t="str">
        <f t="shared" si="3258"/>
        <v/>
      </c>
      <c r="DV263" s="43" t="str">
        <f t="shared" si="3259"/>
        <v/>
      </c>
      <c r="DW263" s="43" t="str">
        <f t="shared" si="3260"/>
        <v/>
      </c>
      <c r="DX263" s="43" t="str">
        <f t="shared" si="3261"/>
        <v/>
      </c>
      <c r="DY263" s="43" t="str">
        <f t="shared" si="3262"/>
        <v/>
      </c>
      <c r="DZ263" s="43" t="str">
        <f t="shared" si="3263"/>
        <v/>
      </c>
      <c r="EA263" s="43" t="str">
        <f t="shared" si="3264"/>
        <v/>
      </c>
      <c r="EB263" s="43" t="str">
        <f t="shared" si="3265"/>
        <v/>
      </c>
      <c r="EC263" s="43" t="str">
        <f t="shared" si="3266"/>
        <v/>
      </c>
      <c r="ED263" s="43" t="str">
        <f t="shared" si="3267"/>
        <v/>
      </c>
      <c r="EE263" s="43" t="str">
        <f t="shared" si="3268"/>
        <v/>
      </c>
      <c r="EF263" s="43" t="str">
        <f t="shared" si="3269"/>
        <v/>
      </c>
      <c r="EG263" s="43" t="str">
        <f t="shared" si="3270"/>
        <v/>
      </c>
      <c r="EH263" s="43" t="str">
        <f t="shared" si="3271"/>
        <v/>
      </c>
      <c r="EI263" s="43" t="str">
        <f t="shared" si="3272"/>
        <v/>
      </c>
      <c r="EJ263" s="43" t="str">
        <f t="shared" si="3273"/>
        <v/>
      </c>
      <c r="EK263" s="43" t="str">
        <f t="shared" si="3274"/>
        <v/>
      </c>
      <c r="EL263" s="43" t="str">
        <f t="shared" si="3275"/>
        <v/>
      </c>
      <c r="EM263" s="43" t="str">
        <f t="shared" si="3276"/>
        <v/>
      </c>
      <c r="EN263" s="43" t="str">
        <f t="shared" si="3277"/>
        <v/>
      </c>
      <c r="EO263" s="43" t="str">
        <f t="shared" si="3278"/>
        <v/>
      </c>
      <c r="EP263" s="43" t="str">
        <f t="shared" si="3279"/>
        <v/>
      </c>
      <c r="EQ263" s="43" t="str">
        <f t="shared" si="3280"/>
        <v/>
      </c>
      <c r="ER263" s="43" t="str">
        <f t="shared" si="3281"/>
        <v/>
      </c>
      <c r="ES263" s="43" t="str">
        <f t="shared" si="3282"/>
        <v/>
      </c>
      <c r="ET263" s="43" t="str">
        <f t="shared" si="3283"/>
        <v/>
      </c>
      <c r="EU263" s="43" t="str">
        <f t="shared" si="3284"/>
        <v/>
      </c>
      <c r="EV263" s="43" t="str">
        <f t="shared" si="3285"/>
        <v/>
      </c>
      <c r="EW263" s="43" t="str">
        <f t="shared" si="3286"/>
        <v/>
      </c>
      <c r="EX263" s="43" t="str">
        <f t="shared" si="3287"/>
        <v/>
      </c>
      <c r="EY263" s="43" t="str">
        <f t="shared" si="3288"/>
        <v/>
      </c>
      <c r="EZ263" s="43" t="str">
        <f t="shared" si="3289"/>
        <v/>
      </c>
      <c r="FA263" s="43" t="str">
        <f t="shared" si="3290"/>
        <v/>
      </c>
      <c r="FB263" s="43" t="str">
        <f t="shared" si="3291"/>
        <v/>
      </c>
      <c r="FC263" s="43" t="str">
        <f t="shared" si="3292"/>
        <v/>
      </c>
      <c r="FD263" s="43" t="str">
        <f t="shared" si="3293"/>
        <v/>
      </c>
      <c r="FE263" s="43" t="str">
        <f t="shared" si="3294"/>
        <v/>
      </c>
      <c r="FF263" s="43" t="str">
        <f t="shared" si="3295"/>
        <v/>
      </c>
      <c r="FG263" s="43" t="str">
        <f t="shared" si="3296"/>
        <v/>
      </c>
      <c r="FH263" s="43" t="str">
        <f t="shared" si="3297"/>
        <v/>
      </c>
      <c r="FI263" s="43" t="str">
        <f t="shared" si="3298"/>
        <v/>
      </c>
      <c r="FJ263" s="43" t="str">
        <f t="shared" si="3299"/>
        <v/>
      </c>
      <c r="FK263" s="43" t="str">
        <f t="shared" si="3300"/>
        <v/>
      </c>
      <c r="FL263" s="43" t="str">
        <f t="shared" si="3301"/>
        <v/>
      </c>
      <c r="FM263" s="43" t="str">
        <f t="shared" si="3302"/>
        <v/>
      </c>
      <c r="FN263" s="43" t="str">
        <f t="shared" si="3303"/>
        <v/>
      </c>
      <c r="FO263" s="43" t="str">
        <f t="shared" si="3304"/>
        <v/>
      </c>
      <c r="FP263" s="43" t="str">
        <f t="shared" si="3305"/>
        <v/>
      </c>
      <c r="FQ263" s="43" t="str">
        <f t="shared" si="3306"/>
        <v/>
      </c>
      <c r="FR263" s="43" t="str">
        <f t="shared" si="3307"/>
        <v/>
      </c>
      <c r="FS263" s="43" t="str">
        <f t="shared" si="3308"/>
        <v/>
      </c>
    </row>
    <row r="264" ht="15" spans="1:175">
      <c r="A264" s="10"/>
      <c r="B264" s="11"/>
      <c r="C264" s="10"/>
      <c r="E264" s="104"/>
      <c r="T264" s="111"/>
      <c r="U264" s="59"/>
      <c r="CU264" s="71" t="str">
        <f t="shared" si="3238"/>
        <v>|n</v>
      </c>
      <c r="CW264" s="6"/>
      <c r="CX264" s="6"/>
      <c r="CY264" s="6"/>
      <c r="CZ264" s="6"/>
      <c r="DA264" s="6"/>
      <c r="DB264" s="43" t="str">
        <f t="shared" si="3239"/>
        <v/>
      </c>
      <c r="DC264" s="43" t="str">
        <f t="shared" si="3240"/>
        <v/>
      </c>
      <c r="DD264" s="43" t="str">
        <f t="shared" si="3241"/>
        <v/>
      </c>
      <c r="DE264" s="43" t="str">
        <f t="shared" si="3242"/>
        <v/>
      </c>
      <c r="DF264" s="43" t="str">
        <f t="shared" si="3243"/>
        <v/>
      </c>
      <c r="DG264" s="43" t="str">
        <f t="shared" si="3244"/>
        <v/>
      </c>
      <c r="DH264" s="43" t="str">
        <f t="shared" si="3245"/>
        <v/>
      </c>
      <c r="DI264" s="43" t="str">
        <f t="shared" si="3246"/>
        <v/>
      </c>
      <c r="DJ264" s="43" t="str">
        <f t="shared" si="3247"/>
        <v/>
      </c>
      <c r="DK264" s="43" t="str">
        <f t="shared" si="3248"/>
        <v/>
      </c>
      <c r="DL264" s="43" t="str">
        <f t="shared" si="3249"/>
        <v/>
      </c>
      <c r="DM264" s="43" t="str">
        <f t="shared" si="3250"/>
        <v/>
      </c>
      <c r="DN264" s="43" t="str">
        <f t="shared" si="3251"/>
        <v/>
      </c>
      <c r="DO264" s="43" t="str">
        <f t="shared" si="3252"/>
        <v/>
      </c>
      <c r="DP264" s="43" t="str">
        <f t="shared" si="3253"/>
        <v/>
      </c>
      <c r="DQ264" s="43" t="str">
        <f t="shared" si="3254"/>
        <v/>
      </c>
      <c r="DR264" s="43" t="str">
        <f t="shared" si="3255"/>
        <v/>
      </c>
      <c r="DS264" s="43" t="str">
        <f t="shared" si="3256"/>
        <v/>
      </c>
      <c r="DT264" s="43" t="str">
        <f t="shared" si="3257"/>
        <v/>
      </c>
      <c r="DU264" s="43" t="str">
        <f t="shared" si="3258"/>
        <v/>
      </c>
      <c r="DV264" s="43" t="str">
        <f t="shared" si="3259"/>
        <v/>
      </c>
      <c r="DW264" s="43" t="str">
        <f t="shared" si="3260"/>
        <v/>
      </c>
      <c r="DX264" s="43" t="str">
        <f t="shared" si="3261"/>
        <v/>
      </c>
      <c r="DY264" s="43" t="str">
        <f t="shared" si="3262"/>
        <v/>
      </c>
      <c r="DZ264" s="43" t="str">
        <f t="shared" si="3263"/>
        <v/>
      </c>
      <c r="EA264" s="43" t="str">
        <f t="shared" si="3264"/>
        <v/>
      </c>
      <c r="EB264" s="43" t="str">
        <f t="shared" si="3265"/>
        <v/>
      </c>
      <c r="EC264" s="43" t="str">
        <f t="shared" si="3266"/>
        <v/>
      </c>
      <c r="ED264" s="43" t="str">
        <f t="shared" si="3267"/>
        <v/>
      </c>
      <c r="EE264" s="43" t="str">
        <f t="shared" si="3268"/>
        <v/>
      </c>
      <c r="EF264" s="43" t="str">
        <f t="shared" si="3269"/>
        <v/>
      </c>
      <c r="EG264" s="43" t="str">
        <f t="shared" si="3270"/>
        <v/>
      </c>
      <c r="EH264" s="43" t="str">
        <f t="shared" si="3271"/>
        <v/>
      </c>
      <c r="EI264" s="43" t="str">
        <f t="shared" si="3272"/>
        <v/>
      </c>
      <c r="EJ264" s="43" t="str">
        <f t="shared" si="3273"/>
        <v/>
      </c>
      <c r="EK264" s="43" t="str">
        <f t="shared" si="3274"/>
        <v/>
      </c>
      <c r="EL264" s="43" t="str">
        <f t="shared" si="3275"/>
        <v/>
      </c>
      <c r="EM264" s="43" t="str">
        <f t="shared" si="3276"/>
        <v/>
      </c>
      <c r="EN264" s="43" t="str">
        <f t="shared" si="3277"/>
        <v/>
      </c>
      <c r="EO264" s="43" t="str">
        <f t="shared" si="3278"/>
        <v/>
      </c>
      <c r="EP264" s="43" t="str">
        <f t="shared" si="3279"/>
        <v/>
      </c>
      <c r="EQ264" s="43" t="str">
        <f t="shared" si="3280"/>
        <v/>
      </c>
      <c r="ER264" s="43" t="str">
        <f t="shared" si="3281"/>
        <v/>
      </c>
      <c r="ES264" s="43" t="str">
        <f t="shared" si="3282"/>
        <v/>
      </c>
      <c r="ET264" s="43" t="str">
        <f t="shared" si="3283"/>
        <v/>
      </c>
      <c r="EU264" s="43" t="str">
        <f t="shared" si="3284"/>
        <v/>
      </c>
      <c r="EV264" s="43" t="str">
        <f t="shared" si="3285"/>
        <v/>
      </c>
      <c r="EW264" s="43" t="str">
        <f t="shared" si="3286"/>
        <v/>
      </c>
      <c r="EX264" s="43" t="str">
        <f t="shared" si="3287"/>
        <v/>
      </c>
      <c r="EY264" s="43" t="str">
        <f t="shared" si="3288"/>
        <v/>
      </c>
      <c r="EZ264" s="43" t="str">
        <f t="shared" si="3289"/>
        <v/>
      </c>
      <c r="FA264" s="43" t="str">
        <f t="shared" si="3290"/>
        <v/>
      </c>
      <c r="FB264" s="43" t="str">
        <f t="shared" si="3291"/>
        <v/>
      </c>
      <c r="FC264" s="43" t="str">
        <f t="shared" si="3292"/>
        <v/>
      </c>
      <c r="FD264" s="43" t="str">
        <f t="shared" si="3293"/>
        <v/>
      </c>
      <c r="FE264" s="43" t="str">
        <f t="shared" si="3294"/>
        <v/>
      </c>
      <c r="FF264" s="43" t="str">
        <f t="shared" si="3295"/>
        <v/>
      </c>
      <c r="FG264" s="43" t="str">
        <f t="shared" si="3296"/>
        <v/>
      </c>
      <c r="FH264" s="43" t="str">
        <f t="shared" si="3297"/>
        <v/>
      </c>
      <c r="FI264" s="43" t="str">
        <f t="shared" si="3298"/>
        <v/>
      </c>
      <c r="FJ264" s="43" t="str">
        <f t="shared" si="3299"/>
        <v/>
      </c>
      <c r="FK264" s="43" t="str">
        <f t="shared" si="3300"/>
        <v/>
      </c>
      <c r="FL264" s="43" t="str">
        <f t="shared" si="3301"/>
        <v/>
      </c>
      <c r="FM264" s="43" t="str">
        <f t="shared" si="3302"/>
        <v/>
      </c>
      <c r="FN264" s="43" t="str">
        <f t="shared" si="3303"/>
        <v/>
      </c>
      <c r="FO264" s="43" t="str">
        <f t="shared" si="3304"/>
        <v/>
      </c>
      <c r="FP264" s="43" t="str">
        <f t="shared" si="3305"/>
        <v/>
      </c>
      <c r="FQ264" s="43" t="str">
        <f t="shared" si="3306"/>
        <v/>
      </c>
      <c r="FR264" s="43" t="str">
        <f t="shared" si="3307"/>
        <v/>
      </c>
      <c r="FS264" s="43" t="str">
        <f t="shared" si="3308"/>
        <v/>
      </c>
    </row>
    <row r="265" spans="92:175">
      <c r="CN265" s="12" t="str">
        <f t="shared" ref="CN265:CN296" si="3313">"InitUnitState('"&amp;B265&amp;"',"&amp;V265&amp;","&amp;W265&amp;","&amp;X265&amp;","&amp;Y265&amp;","&amp;Z265&amp;","&amp;AA265&amp;","&amp;AB265&amp;","&amp;AC265&amp;","&amp;AD265&amp;","&amp;AE265&amp;")"</f>
        <v>InitUnitState('',,,,,,,,,,)</v>
      </c>
      <c r="CO265" s="12" t="str">
        <f t="shared" ref="CO265:CO296" si="3314">"InitUnitNormal('"&amp;B265&amp;"',"&amp;AF265&amp;","&amp;AG265&amp;","&amp;AH265&amp;","&amp;AI265&amp;","&amp;AJ265&amp;","&amp;AK265&amp;","&amp;AL265&amp;","&amp;AM265&amp;","&amp;AN265&amp;","&amp;AO265&amp;")"</f>
        <v>InitUnitNormal('',,,,,,,,,,)</v>
      </c>
      <c r="CP265" s="12" t="str">
        <f t="shared" ref="CP265:CP296" si="3315">"InitUnitMagic('"&amp;B265&amp;"',"&amp;AP265&amp;","&amp;AQ265&amp;","&amp;AR265&amp;","&amp;AS265&amp;","&amp;AT265&amp;","&amp;AU265&amp;","&amp;AV265&amp;","&amp;AW265&amp;","&amp;BI265&amp;","&amp;BJ265&amp;")"</f>
        <v>InitUnitMagic('',,,,,,,,,,)</v>
      </c>
      <c r="CQ265" s="12" t="str">
        <f t="shared" ref="CQ265:CQ296" si="3316">"InitUnitAdd('"&amp;B265&amp;"',"&amp;BK265&amp;","&amp;BL265&amp;","&amp;BM265&amp;","&amp;BN265&amp;","&amp;BO265&amp;","&amp;BP265&amp;","&amp;BQ265&amp;","&amp;BR265&amp;","&amp;BS265&amp;","&amp;BT265&amp;")"</f>
        <v>InitUnitAdd('',,,,,,,,,,)</v>
      </c>
      <c r="CR265" s="12" t="str">
        <f t="shared" ref="CR265:CR296" si="3317"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U265" s="5" t="str">
        <f t="shared" ref="CU265:CU277" si="3318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W265" s="6"/>
      <c r="CX265" s="6"/>
      <c r="CY265" s="6"/>
      <c r="CZ265" s="6"/>
      <c r="DA265" s="6"/>
      <c r="DB265" s="43" t="str">
        <f t="shared" ref="DB265:DB285" si="3319">IF(V265="","","|n"&amp;DB$2&amp;"+"&amp;V265&amp;DB$1)</f>
        <v/>
      </c>
      <c r="DC265" s="43" t="str">
        <f t="shared" ref="DC265:DC285" si="3320">IF(W265="","","|n"&amp;DC$2&amp;"+"&amp;W265&amp;DC$1)</f>
        <v/>
      </c>
      <c r="DD265" s="43" t="str">
        <f t="shared" ref="DD265:DD285" si="3321">IF(X265="","","|n"&amp;DD$2&amp;"+"&amp;X265&amp;DD$1)</f>
        <v/>
      </c>
      <c r="DE265" s="43" t="str">
        <f t="shared" ref="DE265:DE285" si="3322">IF(Y265="","","|n"&amp;DE$2&amp;"+"&amp;Y265&amp;DE$1)</f>
        <v/>
      </c>
      <c r="DF265" s="43" t="str">
        <f t="shared" ref="DF265:DF285" si="3323">IF(Z265="","","|n"&amp;DF$2&amp;"+"&amp;Z265&amp;DF$1)</f>
        <v/>
      </c>
      <c r="DG265" s="43" t="str">
        <f t="shared" ref="DG265:DG285" si="3324">IF(AA265="","","|n"&amp;DG$2&amp;"+"&amp;AA265&amp;DG$1)</f>
        <v/>
      </c>
      <c r="DH265" s="43" t="str">
        <f t="shared" ref="DH265:DH285" si="3325">IF(AB265="","","|n"&amp;DH$2&amp;"+"&amp;AB265&amp;DH$1)</f>
        <v/>
      </c>
      <c r="DI265" s="43" t="str">
        <f t="shared" ref="DI265:DI285" si="3326">IF(AC265="","","|n"&amp;DI$2&amp;"+"&amp;AC265&amp;DI$1)</f>
        <v/>
      </c>
      <c r="DJ265" s="43" t="str">
        <f t="shared" ref="DJ265:DJ285" si="3327">IF(AD265="","","|n"&amp;DJ$2&amp;"+"&amp;AD265&amp;DJ$1)</f>
        <v/>
      </c>
      <c r="DK265" s="43" t="str">
        <f t="shared" ref="DK265:DK285" si="3328">IF(AE265="","","|n"&amp;DK$2&amp;"+"&amp;AE265&amp;DK$1)</f>
        <v/>
      </c>
      <c r="DL265" s="43" t="str">
        <f t="shared" ref="DL265:DL285" si="3329">IF(AF265="","","|n"&amp;DL$2&amp;"+"&amp;AF265&amp;DL$1)</f>
        <v/>
      </c>
      <c r="DM265" s="43" t="str">
        <f t="shared" ref="DM265:DM285" si="3330">IF(AG265="","","|n"&amp;DM$2&amp;"+"&amp;AG265&amp;DM$1)</f>
        <v/>
      </c>
      <c r="DN265" s="43" t="str">
        <f t="shared" ref="DN265:DN285" si="3331">IF(AH265="","","|n"&amp;DN$2&amp;"+"&amp;AH265&amp;DN$1)</f>
        <v/>
      </c>
      <c r="DO265" s="43" t="str">
        <f t="shared" ref="DO265:DO285" si="3332">IF(AI265="","","|n"&amp;DO$2&amp;"+"&amp;AI265&amp;DO$1)</f>
        <v/>
      </c>
      <c r="DP265" s="43" t="str">
        <f t="shared" ref="DP265:DP285" si="3333">IF(AJ265="","","|n"&amp;DP$2&amp;"+"&amp;AJ265&amp;DP$1)</f>
        <v/>
      </c>
      <c r="DQ265" s="43" t="str">
        <f t="shared" ref="DQ265:DQ285" si="3334">IF(AK265="","","|n"&amp;DQ$2&amp;"+"&amp;AK265&amp;DQ$1)</f>
        <v/>
      </c>
      <c r="DR265" s="43" t="str">
        <f t="shared" ref="DR265:DR285" si="3335">IF(AL265="","","|n"&amp;DR$2&amp;"+"&amp;AL265&amp;DR$1)</f>
        <v/>
      </c>
      <c r="DS265" s="43" t="str">
        <f t="shared" ref="DS265:DS285" si="3336">IF(AM265="","","|n"&amp;DS$2&amp;"+"&amp;AM265&amp;DS$1)</f>
        <v/>
      </c>
      <c r="DT265" s="43" t="str">
        <f t="shared" ref="DT265:DT285" si="3337">IF(AN265="","","|n"&amp;DT$2&amp;"+"&amp;AN265&amp;DT$1)</f>
        <v/>
      </c>
      <c r="DU265" s="43" t="str">
        <f t="shared" ref="DU265:DU285" si="3338">IF(AO265="","","|n"&amp;DU$2&amp;"+"&amp;AO265&amp;DU$1)</f>
        <v/>
      </c>
      <c r="DV265" s="43" t="str">
        <f t="shared" ref="DV265:DV285" si="3339">IF(AP265="","","|n"&amp;DV$2&amp;"+"&amp;AP265&amp;DV$1)</f>
        <v/>
      </c>
      <c r="DW265" s="43" t="str">
        <f t="shared" ref="DW265:DW285" si="3340">IF(AQ265="","","|n"&amp;DW$2&amp;"+"&amp;AQ265&amp;DW$1)</f>
        <v/>
      </c>
      <c r="DX265" s="43" t="str">
        <f t="shared" ref="DX265:DX285" si="3341">IF(AR265="","","|n"&amp;DX$2&amp;"+"&amp;AR265&amp;DX$1)</f>
        <v/>
      </c>
      <c r="DY265" s="43" t="str">
        <f t="shared" ref="DY265:DY285" si="3342">IF(AS265="","","|n"&amp;DY$2&amp;"+"&amp;AS265&amp;DY$1)</f>
        <v/>
      </c>
      <c r="DZ265" s="43" t="str">
        <f t="shared" ref="DZ265:DZ285" si="3343">IF(AT265="","","|n"&amp;DZ$2&amp;"+"&amp;AT265&amp;DZ$1)</f>
        <v/>
      </c>
      <c r="EA265" s="43" t="str">
        <f t="shared" ref="EA265:EA285" si="3344">IF(AU265="","","|n"&amp;EA$2&amp;"+"&amp;AU265&amp;EA$1)</f>
        <v/>
      </c>
      <c r="EB265" s="43" t="str">
        <f t="shared" ref="EB265:EB285" si="3345">IF(AV265="","","|n"&amp;EB$2&amp;"+"&amp;AV265&amp;EB$1)</f>
        <v/>
      </c>
      <c r="EC265" s="43" t="str">
        <f t="shared" ref="EC265:EC285" si="3346">IF(AW265="","","|n"&amp;EC$2&amp;"+"&amp;AW265&amp;EC$1)</f>
        <v/>
      </c>
      <c r="ED265" s="43" t="str">
        <f t="shared" ref="ED265:ED285" si="3347">IF(AX265="","","|n"&amp;ED$2&amp;"+"&amp;AX265&amp;ED$1)</f>
        <v/>
      </c>
      <c r="EE265" s="43" t="str">
        <f t="shared" ref="EE265:EE285" si="3348">IF(AY265="","","|n"&amp;EE$2&amp;"+"&amp;AY265&amp;EE$1)</f>
        <v/>
      </c>
      <c r="EF265" s="43" t="str">
        <f t="shared" ref="EF265:EF285" si="3349">IF(AZ265="","","|n"&amp;EF$2&amp;"+"&amp;AZ265&amp;EF$1)</f>
        <v/>
      </c>
      <c r="EG265" s="43" t="str">
        <f t="shared" ref="EG265:EG285" si="3350">IF(BA265="","","|n"&amp;EG$2&amp;"+"&amp;BA265&amp;EG$1)</f>
        <v/>
      </c>
      <c r="EH265" s="43" t="str">
        <f t="shared" ref="EH265:EH285" si="3351">IF(BB265="","","|n"&amp;EH$2&amp;"+"&amp;BB265&amp;EH$1)</f>
        <v/>
      </c>
      <c r="EI265" s="43" t="str">
        <f t="shared" ref="EI265:EI285" si="3352">IF(BC265="","","|n"&amp;EI$2&amp;"+"&amp;BC265&amp;EI$1)</f>
        <v/>
      </c>
      <c r="EJ265" s="43" t="str">
        <f t="shared" ref="EJ265:EJ285" si="3353">IF(BD265="","","|n"&amp;EJ$2&amp;"+"&amp;BD265&amp;EJ$1)</f>
        <v/>
      </c>
      <c r="EK265" s="43" t="str">
        <f t="shared" ref="EK265:EK285" si="3354">IF(BE265="","","|n"&amp;EK$2&amp;"+"&amp;BE265&amp;EK$1)</f>
        <v/>
      </c>
      <c r="EL265" s="43" t="str">
        <f t="shared" ref="EL265:EL285" si="3355">IF(BF265="","","|n"&amp;EL$2&amp;"+"&amp;BF265&amp;EL$1)</f>
        <v/>
      </c>
      <c r="EM265" s="43" t="str">
        <f t="shared" ref="EM265:EM285" si="3356">IF(BG265="","","|n"&amp;EM$2&amp;"+"&amp;BG265&amp;EM$1)</f>
        <v/>
      </c>
      <c r="EN265" s="43" t="str">
        <f t="shared" ref="EN265:EN285" si="3357">IF(BH265="","","|n"&amp;EN$2&amp;"+"&amp;BH265&amp;EN$1)</f>
        <v/>
      </c>
      <c r="EO265" s="43" t="str">
        <f t="shared" ref="EO265:EO285" si="3358">IF(BI265="","","|n"&amp;EO$2&amp;"+"&amp;BI265&amp;EO$1)</f>
        <v/>
      </c>
      <c r="EP265" s="43" t="str">
        <f t="shared" ref="EP265:EP285" si="3359">IF(BJ265="","","|n"&amp;EP$2&amp;"+"&amp;BJ265&amp;EP$1)</f>
        <v/>
      </c>
      <c r="EQ265" s="43" t="str">
        <f t="shared" ref="EQ265:EQ285" si="3360">IF(BK265="","","|n"&amp;EQ$2&amp;"+"&amp;BK265&amp;EQ$1)</f>
        <v/>
      </c>
      <c r="ER265" s="43" t="str">
        <f t="shared" ref="ER265:ER285" si="3361">IF(BL265="","","|n"&amp;ER$2&amp;"+"&amp;BL265&amp;ER$1)</f>
        <v/>
      </c>
      <c r="ES265" s="43" t="str">
        <f t="shared" ref="ES265:ES285" si="3362">IF(BM265="","","|n"&amp;ES$2&amp;"+"&amp;BM265&amp;ES$1)</f>
        <v/>
      </c>
      <c r="ET265" s="43" t="str">
        <f t="shared" ref="ET265:ET285" si="3363">IF(BN265="","","|n"&amp;ET$2&amp;"+"&amp;BN265&amp;ET$1)</f>
        <v/>
      </c>
      <c r="EU265" s="43" t="str">
        <f t="shared" ref="EU265:EU285" si="3364">IF(BO265="","","|n"&amp;EU$2&amp;"+"&amp;BO265&amp;EU$1)</f>
        <v/>
      </c>
      <c r="EV265" s="43" t="str">
        <f t="shared" ref="EV265:EV285" si="3365">IF(BP265="","","|n"&amp;EV$2&amp;"+"&amp;BP265&amp;EV$1)</f>
        <v/>
      </c>
      <c r="EW265" s="43" t="str">
        <f t="shared" ref="EW265:EW285" si="3366">IF(BQ265="","","|n"&amp;EW$2&amp;"+"&amp;BQ265&amp;EW$1)</f>
        <v/>
      </c>
      <c r="EX265" s="43" t="str">
        <f t="shared" ref="EX265:EX285" si="3367">IF(BR265="","","|n"&amp;EX$2&amp;"+"&amp;BR265&amp;EX$1)</f>
        <v/>
      </c>
      <c r="EY265" s="43" t="str">
        <f t="shared" ref="EY265:EY285" si="3368">IF(BS265="","","|n"&amp;EY$2&amp;"+"&amp;BS265&amp;EY$1)</f>
        <v/>
      </c>
      <c r="EZ265" s="43" t="str">
        <f t="shared" ref="EZ265:EZ285" si="3369">IF(BT265="","","|n"&amp;EZ$2&amp;"+"&amp;BT265&amp;EZ$1)</f>
        <v/>
      </c>
      <c r="FA265" s="43" t="str">
        <f t="shared" ref="FA265:FA285" si="3370">IF(BU265="","","|n"&amp;FA$2&amp;"+"&amp;BU265&amp;FA$1)</f>
        <v/>
      </c>
      <c r="FB265" s="43" t="str">
        <f t="shared" ref="FB265:FB285" si="3371">IF(BV265="","","|n"&amp;FB$2&amp;"+"&amp;BV265&amp;FB$1)</f>
        <v/>
      </c>
      <c r="FC265" s="43" t="str">
        <f t="shared" ref="FC265:FC285" si="3372">IF(BW265="","","|n"&amp;FC$2&amp;"+"&amp;BW265&amp;FC$1)</f>
        <v/>
      </c>
      <c r="FD265" s="43" t="str">
        <f t="shared" ref="FD265:FD285" si="3373">IF(BX265="","","|n"&amp;FD$2&amp;"+"&amp;BX265&amp;FD$1)</f>
        <v/>
      </c>
      <c r="FE265" s="43" t="str">
        <f t="shared" ref="FE265:FE285" si="3374">IF(BY265="","","|n"&amp;FE$2&amp;"+"&amp;BY265&amp;FE$1)</f>
        <v/>
      </c>
      <c r="FF265" s="43" t="str">
        <f t="shared" ref="FF265:FF285" si="3375">IF(BZ265="","","|n"&amp;FF$2&amp;"+"&amp;BZ265&amp;FF$1)</f>
        <v/>
      </c>
      <c r="FG265" s="43" t="str">
        <f t="shared" ref="FG265:FG285" si="3376">IF(CA265="","","|n"&amp;FG$2&amp;"+"&amp;CA265&amp;FG$1)</f>
        <v/>
      </c>
      <c r="FH265" s="43" t="str">
        <f t="shared" ref="FH265:FH285" si="3377">IF(CB265="","","|n"&amp;FH$2&amp;"+"&amp;CB265&amp;FH$1)</f>
        <v/>
      </c>
      <c r="FI265" s="43" t="str">
        <f t="shared" ref="FI265:FI285" si="3378">IF(CC265="","","|n"&amp;FI$2&amp;"+"&amp;CC265&amp;FI$1)</f>
        <v/>
      </c>
      <c r="FJ265" s="43" t="str">
        <f t="shared" ref="FJ265:FJ285" si="3379">IF(CD265="","","|n"&amp;FJ$2&amp;"+"&amp;CD265&amp;FJ$1)</f>
        <v/>
      </c>
      <c r="FK265" s="43" t="str">
        <f t="shared" ref="FK265:FK285" si="3380">IF(CE265="","","|n"&amp;FK$2&amp;"+"&amp;CE265&amp;FK$1)</f>
        <v/>
      </c>
      <c r="FL265" s="43" t="str">
        <f t="shared" ref="FL265:FL285" si="3381">IF(CF265="","","|n"&amp;FL$2&amp;"+"&amp;CF265&amp;FL$1)</f>
        <v/>
      </c>
      <c r="FM265" s="43" t="str">
        <f t="shared" ref="FM265:FM285" si="3382">IF(CG265="","","|n"&amp;FM$2&amp;"+"&amp;CG265&amp;FM$1)</f>
        <v/>
      </c>
      <c r="FN265" s="43" t="str">
        <f t="shared" ref="FN265:FN285" si="3383">IF(CH265="","","|n"&amp;FN$2&amp;"+"&amp;CH265&amp;FN$1)</f>
        <v/>
      </c>
      <c r="FO265" s="43" t="str">
        <f t="shared" ref="FO265:FO285" si="3384">IF(CI265="","","|n"&amp;FO$2&amp;"+"&amp;CI265&amp;FO$1)</f>
        <v/>
      </c>
      <c r="FP265" s="43" t="str">
        <f t="shared" ref="FP265:FP285" si="3385">IF(CJ265="","","|n"&amp;FP$2&amp;"+"&amp;CJ265&amp;FP$1)</f>
        <v/>
      </c>
      <c r="FQ265" s="43" t="str">
        <f t="shared" ref="FQ265:FQ285" si="3386">IF(CK265="","","|n"&amp;FQ$2&amp;"+"&amp;CK265&amp;FQ$1)</f>
        <v/>
      </c>
      <c r="FR265" s="43" t="str">
        <f t="shared" ref="FR265:FR285" si="3387">IF(CL265="","","|n"&amp;FR$2&amp;"+"&amp;CL265&amp;FR$1)</f>
        <v/>
      </c>
      <c r="FS265" s="43" t="str">
        <f t="shared" ref="FS265:FS285" si="3388">IF(CM265="","","|n"&amp;FS$2&amp;"+"&amp;CM265&amp;FS$1)</f>
        <v/>
      </c>
    </row>
    <row r="266" spans="92:175">
      <c r="CN266" s="12" t="str">
        <f t="shared" si="3313"/>
        <v>InitUnitState('',,,,,,,,,,)</v>
      </c>
      <c r="CO266" s="12" t="str">
        <f t="shared" si="3314"/>
        <v>InitUnitNormal('',,,,,,,,,,)</v>
      </c>
      <c r="CP266" s="12" t="str">
        <f t="shared" si="3315"/>
        <v>InitUnitMagic('',,,,,,,,,,)</v>
      </c>
      <c r="CQ266" s="12" t="str">
        <f t="shared" si="3316"/>
        <v>InitUnitAdd('',,,,,,,,,,)</v>
      </c>
      <c r="CR266" s="12" t="str">
        <f t="shared" si="3317"/>
        <v>InitEquipData('',,"",,,,,'','','','','','',"")</v>
      </c>
      <c r="CU266" s="5" t="str">
        <f t="shared" si="3318"/>
        <v>|n</v>
      </c>
      <c r="CW266" s="6"/>
      <c r="CX266" s="6"/>
      <c r="CY266" s="6"/>
      <c r="CZ266" s="6"/>
      <c r="DA266" s="6"/>
      <c r="DB266" s="43" t="str">
        <f t="shared" si="3319"/>
        <v/>
      </c>
      <c r="DC266" s="43" t="str">
        <f t="shared" si="3320"/>
        <v/>
      </c>
      <c r="DD266" s="43" t="str">
        <f t="shared" si="3321"/>
        <v/>
      </c>
      <c r="DE266" s="43" t="str">
        <f t="shared" si="3322"/>
        <v/>
      </c>
      <c r="DF266" s="43" t="str">
        <f t="shared" si="3323"/>
        <v/>
      </c>
      <c r="DG266" s="43" t="str">
        <f t="shared" si="3324"/>
        <v/>
      </c>
      <c r="DH266" s="43" t="str">
        <f t="shared" si="3325"/>
        <v/>
      </c>
      <c r="DI266" s="43" t="str">
        <f t="shared" si="3326"/>
        <v/>
      </c>
      <c r="DJ266" s="43" t="str">
        <f t="shared" si="3327"/>
        <v/>
      </c>
      <c r="DK266" s="43" t="str">
        <f t="shared" si="3328"/>
        <v/>
      </c>
      <c r="DL266" s="43" t="str">
        <f t="shared" si="3329"/>
        <v/>
      </c>
      <c r="DM266" s="43" t="str">
        <f t="shared" si="3330"/>
        <v/>
      </c>
      <c r="DN266" s="43" t="str">
        <f t="shared" si="3331"/>
        <v/>
      </c>
      <c r="DO266" s="43" t="str">
        <f t="shared" si="3332"/>
        <v/>
      </c>
      <c r="DP266" s="43" t="str">
        <f t="shared" si="3333"/>
        <v/>
      </c>
      <c r="DQ266" s="43" t="str">
        <f t="shared" si="3334"/>
        <v/>
      </c>
      <c r="DR266" s="43" t="str">
        <f t="shared" si="3335"/>
        <v/>
      </c>
      <c r="DS266" s="43" t="str">
        <f t="shared" si="3336"/>
        <v/>
      </c>
      <c r="DT266" s="43" t="str">
        <f t="shared" si="3337"/>
        <v/>
      </c>
      <c r="DU266" s="43" t="str">
        <f t="shared" si="3338"/>
        <v/>
      </c>
      <c r="DV266" s="43" t="str">
        <f t="shared" si="3339"/>
        <v/>
      </c>
      <c r="DW266" s="43" t="str">
        <f t="shared" si="3340"/>
        <v/>
      </c>
      <c r="DX266" s="43" t="str">
        <f t="shared" si="3341"/>
        <v/>
      </c>
      <c r="DY266" s="43" t="str">
        <f t="shared" si="3342"/>
        <v/>
      </c>
      <c r="DZ266" s="43" t="str">
        <f t="shared" si="3343"/>
        <v/>
      </c>
      <c r="EA266" s="43" t="str">
        <f t="shared" si="3344"/>
        <v/>
      </c>
      <c r="EB266" s="43" t="str">
        <f t="shared" si="3345"/>
        <v/>
      </c>
      <c r="EC266" s="43" t="str">
        <f t="shared" si="3346"/>
        <v/>
      </c>
      <c r="ED266" s="43" t="str">
        <f t="shared" si="3347"/>
        <v/>
      </c>
      <c r="EE266" s="43" t="str">
        <f t="shared" si="3348"/>
        <v/>
      </c>
      <c r="EF266" s="43" t="str">
        <f t="shared" si="3349"/>
        <v/>
      </c>
      <c r="EG266" s="43" t="str">
        <f t="shared" si="3350"/>
        <v/>
      </c>
      <c r="EH266" s="43" t="str">
        <f t="shared" si="3351"/>
        <v/>
      </c>
      <c r="EI266" s="43" t="str">
        <f t="shared" si="3352"/>
        <v/>
      </c>
      <c r="EJ266" s="43" t="str">
        <f t="shared" si="3353"/>
        <v/>
      </c>
      <c r="EK266" s="43" t="str">
        <f t="shared" si="3354"/>
        <v/>
      </c>
      <c r="EL266" s="43" t="str">
        <f t="shared" si="3355"/>
        <v/>
      </c>
      <c r="EM266" s="43" t="str">
        <f t="shared" si="3356"/>
        <v/>
      </c>
      <c r="EN266" s="43" t="str">
        <f t="shared" si="3357"/>
        <v/>
      </c>
      <c r="EO266" s="43" t="str">
        <f t="shared" si="3358"/>
        <v/>
      </c>
      <c r="EP266" s="43" t="str">
        <f t="shared" si="3359"/>
        <v/>
      </c>
      <c r="EQ266" s="43" t="str">
        <f t="shared" si="3360"/>
        <v/>
      </c>
      <c r="ER266" s="43" t="str">
        <f t="shared" si="3361"/>
        <v/>
      </c>
      <c r="ES266" s="43" t="str">
        <f t="shared" si="3362"/>
        <v/>
      </c>
      <c r="ET266" s="43" t="str">
        <f t="shared" si="3363"/>
        <v/>
      </c>
      <c r="EU266" s="43" t="str">
        <f t="shared" si="3364"/>
        <v/>
      </c>
      <c r="EV266" s="43" t="str">
        <f t="shared" si="3365"/>
        <v/>
      </c>
      <c r="EW266" s="43" t="str">
        <f t="shared" si="3366"/>
        <v/>
      </c>
      <c r="EX266" s="43" t="str">
        <f t="shared" si="3367"/>
        <v/>
      </c>
      <c r="EY266" s="43" t="str">
        <f t="shared" si="3368"/>
        <v/>
      </c>
      <c r="EZ266" s="43" t="str">
        <f t="shared" si="3369"/>
        <v/>
      </c>
      <c r="FA266" s="43" t="str">
        <f t="shared" si="3370"/>
        <v/>
      </c>
      <c r="FB266" s="43" t="str">
        <f t="shared" si="3371"/>
        <v/>
      </c>
      <c r="FC266" s="43" t="str">
        <f t="shared" si="3372"/>
        <v/>
      </c>
      <c r="FD266" s="43" t="str">
        <f t="shared" si="3373"/>
        <v/>
      </c>
      <c r="FE266" s="43" t="str">
        <f t="shared" si="3374"/>
        <v/>
      </c>
      <c r="FF266" s="43" t="str">
        <f t="shared" si="3375"/>
        <v/>
      </c>
      <c r="FG266" s="43" t="str">
        <f t="shared" si="3376"/>
        <v/>
      </c>
      <c r="FH266" s="43" t="str">
        <f t="shared" si="3377"/>
        <v/>
      </c>
      <c r="FI266" s="43" t="str">
        <f t="shared" si="3378"/>
        <v/>
      </c>
      <c r="FJ266" s="43" t="str">
        <f t="shared" si="3379"/>
        <v/>
      </c>
      <c r="FK266" s="43" t="str">
        <f t="shared" si="3380"/>
        <v/>
      </c>
      <c r="FL266" s="43" t="str">
        <f t="shared" si="3381"/>
        <v/>
      </c>
      <c r="FM266" s="43" t="str">
        <f t="shared" si="3382"/>
        <v/>
      </c>
      <c r="FN266" s="43" t="str">
        <f t="shared" si="3383"/>
        <v/>
      </c>
      <c r="FO266" s="43" t="str">
        <f t="shared" si="3384"/>
        <v/>
      </c>
      <c r="FP266" s="43" t="str">
        <f t="shared" si="3385"/>
        <v/>
      </c>
      <c r="FQ266" s="43" t="str">
        <f t="shared" si="3386"/>
        <v/>
      </c>
      <c r="FR266" s="43" t="str">
        <f t="shared" si="3387"/>
        <v/>
      </c>
      <c r="FS266" s="43" t="str">
        <f t="shared" si="3388"/>
        <v/>
      </c>
    </row>
    <row r="267" spans="92:175">
      <c r="CN267" s="12" t="str">
        <f t="shared" si="3313"/>
        <v>InitUnitState('',,,,,,,,,,)</v>
      </c>
      <c r="CO267" s="12" t="str">
        <f t="shared" si="3314"/>
        <v>InitUnitNormal('',,,,,,,,,,)</v>
      </c>
      <c r="CP267" s="12" t="str">
        <f t="shared" si="3315"/>
        <v>InitUnitMagic('',,,,,,,,,,)</v>
      </c>
      <c r="CQ267" s="12" t="str">
        <f t="shared" si="3316"/>
        <v>InitUnitAdd('',,,,,,,,,,)</v>
      </c>
      <c r="CR267" s="12" t="str">
        <f t="shared" si="3317"/>
        <v>InitEquipData('',,"",,,,,'','','','','','',"")</v>
      </c>
      <c r="CU267" s="5" t="str">
        <f t="shared" si="3318"/>
        <v>|n</v>
      </c>
      <c r="CW267" s="6"/>
      <c r="CX267" s="6"/>
      <c r="CY267" s="6"/>
      <c r="CZ267" s="6"/>
      <c r="DA267" s="6"/>
      <c r="DB267" s="43" t="str">
        <f t="shared" si="3319"/>
        <v/>
      </c>
      <c r="DC267" s="43" t="str">
        <f t="shared" si="3320"/>
        <v/>
      </c>
      <c r="DD267" s="43" t="str">
        <f t="shared" si="3321"/>
        <v/>
      </c>
      <c r="DE267" s="43" t="str">
        <f t="shared" si="3322"/>
        <v/>
      </c>
      <c r="DF267" s="43" t="str">
        <f t="shared" si="3323"/>
        <v/>
      </c>
      <c r="DG267" s="43" t="str">
        <f t="shared" si="3324"/>
        <v/>
      </c>
      <c r="DH267" s="43" t="str">
        <f t="shared" si="3325"/>
        <v/>
      </c>
      <c r="DI267" s="43" t="str">
        <f t="shared" si="3326"/>
        <v/>
      </c>
      <c r="DJ267" s="43" t="str">
        <f t="shared" si="3327"/>
        <v/>
      </c>
      <c r="DK267" s="43" t="str">
        <f t="shared" si="3328"/>
        <v/>
      </c>
      <c r="DL267" s="43" t="str">
        <f t="shared" si="3329"/>
        <v/>
      </c>
      <c r="DM267" s="43" t="str">
        <f t="shared" si="3330"/>
        <v/>
      </c>
      <c r="DN267" s="43" t="str">
        <f t="shared" si="3331"/>
        <v/>
      </c>
      <c r="DO267" s="43" t="str">
        <f t="shared" si="3332"/>
        <v/>
      </c>
      <c r="DP267" s="43" t="str">
        <f t="shared" si="3333"/>
        <v/>
      </c>
      <c r="DQ267" s="43" t="str">
        <f t="shared" si="3334"/>
        <v/>
      </c>
      <c r="DR267" s="43" t="str">
        <f t="shared" si="3335"/>
        <v/>
      </c>
      <c r="DS267" s="43" t="str">
        <f t="shared" si="3336"/>
        <v/>
      </c>
      <c r="DT267" s="43" t="str">
        <f t="shared" si="3337"/>
        <v/>
      </c>
      <c r="DU267" s="43" t="str">
        <f t="shared" si="3338"/>
        <v/>
      </c>
      <c r="DV267" s="43" t="str">
        <f t="shared" si="3339"/>
        <v/>
      </c>
      <c r="DW267" s="43" t="str">
        <f t="shared" si="3340"/>
        <v/>
      </c>
      <c r="DX267" s="43" t="str">
        <f t="shared" si="3341"/>
        <v/>
      </c>
      <c r="DY267" s="43" t="str">
        <f t="shared" si="3342"/>
        <v/>
      </c>
      <c r="DZ267" s="43" t="str">
        <f t="shared" si="3343"/>
        <v/>
      </c>
      <c r="EA267" s="43" t="str">
        <f t="shared" si="3344"/>
        <v/>
      </c>
      <c r="EB267" s="43" t="str">
        <f t="shared" si="3345"/>
        <v/>
      </c>
      <c r="EC267" s="43" t="str">
        <f t="shared" si="3346"/>
        <v/>
      </c>
      <c r="ED267" s="43" t="str">
        <f t="shared" si="3347"/>
        <v/>
      </c>
      <c r="EE267" s="43" t="str">
        <f t="shared" si="3348"/>
        <v/>
      </c>
      <c r="EF267" s="43" t="str">
        <f t="shared" si="3349"/>
        <v/>
      </c>
      <c r="EG267" s="43" t="str">
        <f t="shared" si="3350"/>
        <v/>
      </c>
      <c r="EH267" s="43" t="str">
        <f t="shared" si="3351"/>
        <v/>
      </c>
      <c r="EI267" s="43" t="str">
        <f t="shared" si="3352"/>
        <v/>
      </c>
      <c r="EJ267" s="43" t="str">
        <f t="shared" si="3353"/>
        <v/>
      </c>
      <c r="EK267" s="43" t="str">
        <f t="shared" si="3354"/>
        <v/>
      </c>
      <c r="EL267" s="43" t="str">
        <f t="shared" si="3355"/>
        <v/>
      </c>
      <c r="EM267" s="43" t="str">
        <f t="shared" si="3356"/>
        <v/>
      </c>
      <c r="EN267" s="43" t="str">
        <f t="shared" si="3357"/>
        <v/>
      </c>
      <c r="EO267" s="43" t="str">
        <f t="shared" si="3358"/>
        <v/>
      </c>
      <c r="EP267" s="43" t="str">
        <f t="shared" si="3359"/>
        <v/>
      </c>
      <c r="EQ267" s="43" t="str">
        <f t="shared" si="3360"/>
        <v/>
      </c>
      <c r="ER267" s="43" t="str">
        <f t="shared" si="3361"/>
        <v/>
      </c>
      <c r="ES267" s="43" t="str">
        <f t="shared" si="3362"/>
        <v/>
      </c>
      <c r="ET267" s="43" t="str">
        <f t="shared" si="3363"/>
        <v/>
      </c>
      <c r="EU267" s="43" t="str">
        <f t="shared" si="3364"/>
        <v/>
      </c>
      <c r="EV267" s="43" t="str">
        <f t="shared" si="3365"/>
        <v/>
      </c>
      <c r="EW267" s="43" t="str">
        <f t="shared" si="3366"/>
        <v/>
      </c>
      <c r="EX267" s="43" t="str">
        <f t="shared" si="3367"/>
        <v/>
      </c>
      <c r="EY267" s="43" t="str">
        <f t="shared" si="3368"/>
        <v/>
      </c>
      <c r="EZ267" s="43" t="str">
        <f t="shared" si="3369"/>
        <v/>
      </c>
      <c r="FA267" s="43" t="str">
        <f t="shared" si="3370"/>
        <v/>
      </c>
      <c r="FB267" s="43" t="str">
        <f t="shared" si="3371"/>
        <v/>
      </c>
      <c r="FC267" s="43" t="str">
        <f t="shared" si="3372"/>
        <v/>
      </c>
      <c r="FD267" s="43" t="str">
        <f t="shared" si="3373"/>
        <v/>
      </c>
      <c r="FE267" s="43" t="str">
        <f t="shared" si="3374"/>
        <v/>
      </c>
      <c r="FF267" s="43" t="str">
        <f t="shared" si="3375"/>
        <v/>
      </c>
      <c r="FG267" s="43" t="str">
        <f t="shared" si="3376"/>
        <v/>
      </c>
      <c r="FH267" s="43" t="str">
        <f t="shared" si="3377"/>
        <v/>
      </c>
      <c r="FI267" s="43" t="str">
        <f t="shared" si="3378"/>
        <v/>
      </c>
      <c r="FJ267" s="43" t="str">
        <f t="shared" si="3379"/>
        <v/>
      </c>
      <c r="FK267" s="43" t="str">
        <f t="shared" si="3380"/>
        <v/>
      </c>
      <c r="FL267" s="43" t="str">
        <f t="shared" si="3381"/>
        <v/>
      </c>
      <c r="FM267" s="43" t="str">
        <f t="shared" si="3382"/>
        <v/>
      </c>
      <c r="FN267" s="43" t="str">
        <f t="shared" si="3383"/>
        <v/>
      </c>
      <c r="FO267" s="43" t="str">
        <f t="shared" si="3384"/>
        <v/>
      </c>
      <c r="FP267" s="43" t="str">
        <f t="shared" si="3385"/>
        <v/>
      </c>
      <c r="FQ267" s="43" t="str">
        <f t="shared" si="3386"/>
        <v/>
      </c>
      <c r="FR267" s="43" t="str">
        <f t="shared" si="3387"/>
        <v/>
      </c>
      <c r="FS267" s="43" t="str">
        <f t="shared" si="3388"/>
        <v/>
      </c>
    </row>
    <row r="268" spans="92:175">
      <c r="CN268" s="12" t="str">
        <f t="shared" si="3313"/>
        <v>InitUnitState('',,,,,,,,,,)</v>
      </c>
      <c r="CO268" s="12" t="str">
        <f t="shared" si="3314"/>
        <v>InitUnitNormal('',,,,,,,,,,)</v>
      </c>
      <c r="CP268" s="12" t="str">
        <f t="shared" si="3315"/>
        <v>InitUnitMagic('',,,,,,,,,,)</v>
      </c>
      <c r="CQ268" s="12" t="str">
        <f t="shared" si="3316"/>
        <v>InitUnitAdd('',,,,,,,,,,)</v>
      </c>
      <c r="CR268" s="12" t="str">
        <f t="shared" si="3317"/>
        <v>InitEquipData('',,"",,,,,'','','','','','',"")</v>
      </c>
      <c r="CU268" s="5" t="str">
        <f t="shared" si="3318"/>
        <v>|n</v>
      </c>
      <c r="CW268" s="6"/>
      <c r="CX268" s="6"/>
      <c r="CY268" s="6"/>
      <c r="CZ268" s="6"/>
      <c r="DA268" s="6"/>
      <c r="DB268" s="43" t="str">
        <f t="shared" si="3319"/>
        <v/>
      </c>
      <c r="DC268" s="43" t="str">
        <f t="shared" si="3320"/>
        <v/>
      </c>
      <c r="DD268" s="43" t="str">
        <f t="shared" si="3321"/>
        <v/>
      </c>
      <c r="DE268" s="43" t="str">
        <f t="shared" si="3322"/>
        <v/>
      </c>
      <c r="DF268" s="43" t="str">
        <f t="shared" si="3323"/>
        <v/>
      </c>
      <c r="DG268" s="43" t="str">
        <f t="shared" si="3324"/>
        <v/>
      </c>
      <c r="DH268" s="43" t="str">
        <f t="shared" si="3325"/>
        <v/>
      </c>
      <c r="DI268" s="43" t="str">
        <f t="shared" si="3326"/>
        <v/>
      </c>
      <c r="DJ268" s="43" t="str">
        <f t="shared" si="3327"/>
        <v/>
      </c>
      <c r="DK268" s="43" t="str">
        <f t="shared" si="3328"/>
        <v/>
      </c>
      <c r="DL268" s="43" t="str">
        <f t="shared" si="3329"/>
        <v/>
      </c>
      <c r="DM268" s="43" t="str">
        <f t="shared" si="3330"/>
        <v/>
      </c>
      <c r="DN268" s="43" t="str">
        <f t="shared" si="3331"/>
        <v/>
      </c>
      <c r="DO268" s="43" t="str">
        <f t="shared" si="3332"/>
        <v/>
      </c>
      <c r="DP268" s="43" t="str">
        <f t="shared" si="3333"/>
        <v/>
      </c>
      <c r="DQ268" s="43" t="str">
        <f t="shared" si="3334"/>
        <v/>
      </c>
      <c r="DR268" s="43" t="str">
        <f t="shared" si="3335"/>
        <v/>
      </c>
      <c r="DS268" s="43" t="str">
        <f t="shared" si="3336"/>
        <v/>
      </c>
      <c r="DT268" s="43" t="str">
        <f t="shared" si="3337"/>
        <v/>
      </c>
      <c r="DU268" s="43" t="str">
        <f t="shared" si="3338"/>
        <v/>
      </c>
      <c r="DV268" s="43" t="str">
        <f t="shared" si="3339"/>
        <v/>
      </c>
      <c r="DW268" s="43" t="str">
        <f t="shared" si="3340"/>
        <v/>
      </c>
      <c r="DX268" s="43" t="str">
        <f t="shared" si="3341"/>
        <v/>
      </c>
      <c r="DY268" s="43" t="str">
        <f t="shared" si="3342"/>
        <v/>
      </c>
      <c r="DZ268" s="43" t="str">
        <f t="shared" si="3343"/>
        <v/>
      </c>
      <c r="EA268" s="43" t="str">
        <f t="shared" si="3344"/>
        <v/>
      </c>
      <c r="EB268" s="43" t="str">
        <f t="shared" si="3345"/>
        <v/>
      </c>
      <c r="EC268" s="43" t="str">
        <f t="shared" si="3346"/>
        <v/>
      </c>
      <c r="ED268" s="43" t="str">
        <f t="shared" si="3347"/>
        <v/>
      </c>
      <c r="EE268" s="43" t="str">
        <f t="shared" si="3348"/>
        <v/>
      </c>
      <c r="EF268" s="43" t="str">
        <f t="shared" si="3349"/>
        <v/>
      </c>
      <c r="EG268" s="43" t="str">
        <f t="shared" si="3350"/>
        <v/>
      </c>
      <c r="EH268" s="43" t="str">
        <f t="shared" si="3351"/>
        <v/>
      </c>
      <c r="EI268" s="43" t="str">
        <f t="shared" si="3352"/>
        <v/>
      </c>
      <c r="EJ268" s="43" t="str">
        <f t="shared" si="3353"/>
        <v/>
      </c>
      <c r="EK268" s="43" t="str">
        <f t="shared" si="3354"/>
        <v/>
      </c>
      <c r="EL268" s="43" t="str">
        <f t="shared" si="3355"/>
        <v/>
      </c>
      <c r="EM268" s="43" t="str">
        <f t="shared" si="3356"/>
        <v/>
      </c>
      <c r="EN268" s="43" t="str">
        <f t="shared" si="3357"/>
        <v/>
      </c>
      <c r="EO268" s="43" t="str">
        <f t="shared" si="3358"/>
        <v/>
      </c>
      <c r="EP268" s="43" t="str">
        <f t="shared" si="3359"/>
        <v/>
      </c>
      <c r="EQ268" s="43" t="str">
        <f t="shared" si="3360"/>
        <v/>
      </c>
      <c r="ER268" s="43" t="str">
        <f t="shared" si="3361"/>
        <v/>
      </c>
      <c r="ES268" s="43" t="str">
        <f t="shared" si="3362"/>
        <v/>
      </c>
      <c r="ET268" s="43" t="str">
        <f t="shared" si="3363"/>
        <v/>
      </c>
      <c r="EU268" s="43" t="str">
        <f t="shared" si="3364"/>
        <v/>
      </c>
      <c r="EV268" s="43" t="str">
        <f t="shared" si="3365"/>
        <v/>
      </c>
      <c r="EW268" s="43" t="str">
        <f t="shared" si="3366"/>
        <v/>
      </c>
      <c r="EX268" s="43" t="str">
        <f t="shared" si="3367"/>
        <v/>
      </c>
      <c r="EY268" s="43" t="str">
        <f t="shared" si="3368"/>
        <v/>
      </c>
      <c r="EZ268" s="43" t="str">
        <f t="shared" si="3369"/>
        <v/>
      </c>
      <c r="FA268" s="43" t="str">
        <f t="shared" si="3370"/>
        <v/>
      </c>
      <c r="FB268" s="43" t="str">
        <f t="shared" si="3371"/>
        <v/>
      </c>
      <c r="FC268" s="43" t="str">
        <f t="shared" si="3372"/>
        <v/>
      </c>
      <c r="FD268" s="43" t="str">
        <f t="shared" si="3373"/>
        <v/>
      </c>
      <c r="FE268" s="43" t="str">
        <f t="shared" si="3374"/>
        <v/>
      </c>
      <c r="FF268" s="43" t="str">
        <f t="shared" si="3375"/>
        <v/>
      </c>
      <c r="FG268" s="43" t="str">
        <f t="shared" si="3376"/>
        <v/>
      </c>
      <c r="FH268" s="43" t="str">
        <f t="shared" si="3377"/>
        <v/>
      </c>
      <c r="FI268" s="43" t="str">
        <f t="shared" si="3378"/>
        <v/>
      </c>
      <c r="FJ268" s="43" t="str">
        <f t="shared" si="3379"/>
        <v/>
      </c>
      <c r="FK268" s="43" t="str">
        <f t="shared" si="3380"/>
        <v/>
      </c>
      <c r="FL268" s="43" t="str">
        <f t="shared" si="3381"/>
        <v/>
      </c>
      <c r="FM268" s="43" t="str">
        <f t="shared" si="3382"/>
        <v/>
      </c>
      <c r="FN268" s="43" t="str">
        <f t="shared" si="3383"/>
        <v/>
      </c>
      <c r="FO268" s="43" t="str">
        <f t="shared" si="3384"/>
        <v/>
      </c>
      <c r="FP268" s="43" t="str">
        <f t="shared" si="3385"/>
        <v/>
      </c>
      <c r="FQ268" s="43" t="str">
        <f t="shared" si="3386"/>
        <v/>
      </c>
      <c r="FR268" s="43" t="str">
        <f t="shared" si="3387"/>
        <v/>
      </c>
      <c r="FS268" s="43" t="str">
        <f t="shared" si="3388"/>
        <v/>
      </c>
    </row>
    <row r="269" spans="92:175">
      <c r="CN269" s="12" t="str">
        <f t="shared" si="3313"/>
        <v>InitUnitState('',,,,,,,,,,)</v>
      </c>
      <c r="CO269" s="12" t="str">
        <f t="shared" si="3314"/>
        <v>InitUnitNormal('',,,,,,,,,,)</v>
      </c>
      <c r="CP269" s="12" t="str">
        <f t="shared" si="3315"/>
        <v>InitUnitMagic('',,,,,,,,,,)</v>
      </c>
      <c r="CQ269" s="12" t="str">
        <f t="shared" si="3316"/>
        <v>InitUnitAdd('',,,,,,,,,,)</v>
      </c>
      <c r="CR269" s="12" t="str">
        <f t="shared" si="3317"/>
        <v>InitEquipData('',,"",,,,,'','','','','','',"")</v>
      </c>
      <c r="CU269" s="5" t="str">
        <f t="shared" si="3318"/>
        <v>|n</v>
      </c>
      <c r="CW269" s="6"/>
      <c r="CX269" s="6"/>
      <c r="CY269" s="6"/>
      <c r="CZ269" s="6"/>
      <c r="DA269" s="6"/>
      <c r="DB269" s="43" t="str">
        <f t="shared" si="3319"/>
        <v/>
      </c>
      <c r="DC269" s="43" t="str">
        <f t="shared" si="3320"/>
        <v/>
      </c>
      <c r="DD269" s="43" t="str">
        <f t="shared" si="3321"/>
        <v/>
      </c>
      <c r="DE269" s="43" t="str">
        <f t="shared" si="3322"/>
        <v/>
      </c>
      <c r="DF269" s="43" t="str">
        <f t="shared" si="3323"/>
        <v/>
      </c>
      <c r="DG269" s="43" t="str">
        <f t="shared" si="3324"/>
        <v/>
      </c>
      <c r="DH269" s="43" t="str">
        <f t="shared" si="3325"/>
        <v/>
      </c>
      <c r="DI269" s="43" t="str">
        <f t="shared" si="3326"/>
        <v/>
      </c>
      <c r="DJ269" s="43" t="str">
        <f t="shared" si="3327"/>
        <v/>
      </c>
      <c r="DK269" s="43" t="str">
        <f t="shared" si="3328"/>
        <v/>
      </c>
      <c r="DL269" s="43" t="str">
        <f t="shared" si="3329"/>
        <v/>
      </c>
      <c r="DM269" s="43" t="str">
        <f t="shared" si="3330"/>
        <v/>
      </c>
      <c r="DN269" s="43" t="str">
        <f t="shared" si="3331"/>
        <v/>
      </c>
      <c r="DO269" s="43" t="str">
        <f t="shared" si="3332"/>
        <v/>
      </c>
      <c r="DP269" s="43" t="str">
        <f t="shared" si="3333"/>
        <v/>
      </c>
      <c r="DQ269" s="43" t="str">
        <f t="shared" si="3334"/>
        <v/>
      </c>
      <c r="DR269" s="43" t="str">
        <f t="shared" si="3335"/>
        <v/>
      </c>
      <c r="DS269" s="43" t="str">
        <f t="shared" si="3336"/>
        <v/>
      </c>
      <c r="DT269" s="43" t="str">
        <f t="shared" si="3337"/>
        <v/>
      </c>
      <c r="DU269" s="43" t="str">
        <f t="shared" si="3338"/>
        <v/>
      </c>
      <c r="DV269" s="43" t="str">
        <f t="shared" si="3339"/>
        <v/>
      </c>
      <c r="DW269" s="43" t="str">
        <f t="shared" si="3340"/>
        <v/>
      </c>
      <c r="DX269" s="43" t="str">
        <f t="shared" si="3341"/>
        <v/>
      </c>
      <c r="DY269" s="43" t="str">
        <f t="shared" si="3342"/>
        <v/>
      </c>
      <c r="DZ269" s="43" t="str">
        <f t="shared" si="3343"/>
        <v/>
      </c>
      <c r="EA269" s="43" t="str">
        <f t="shared" si="3344"/>
        <v/>
      </c>
      <c r="EB269" s="43" t="str">
        <f t="shared" si="3345"/>
        <v/>
      </c>
      <c r="EC269" s="43" t="str">
        <f t="shared" si="3346"/>
        <v/>
      </c>
      <c r="ED269" s="43" t="str">
        <f t="shared" si="3347"/>
        <v/>
      </c>
      <c r="EE269" s="43" t="str">
        <f t="shared" si="3348"/>
        <v/>
      </c>
      <c r="EF269" s="43" t="str">
        <f t="shared" si="3349"/>
        <v/>
      </c>
      <c r="EG269" s="43" t="str">
        <f t="shared" si="3350"/>
        <v/>
      </c>
      <c r="EH269" s="43" t="str">
        <f t="shared" si="3351"/>
        <v/>
      </c>
      <c r="EI269" s="43" t="str">
        <f t="shared" si="3352"/>
        <v/>
      </c>
      <c r="EJ269" s="43" t="str">
        <f t="shared" si="3353"/>
        <v/>
      </c>
      <c r="EK269" s="43" t="str">
        <f t="shared" si="3354"/>
        <v/>
      </c>
      <c r="EL269" s="43" t="str">
        <f t="shared" si="3355"/>
        <v/>
      </c>
      <c r="EM269" s="43" t="str">
        <f t="shared" si="3356"/>
        <v/>
      </c>
      <c r="EN269" s="43" t="str">
        <f t="shared" si="3357"/>
        <v/>
      </c>
      <c r="EO269" s="43" t="str">
        <f t="shared" si="3358"/>
        <v/>
      </c>
      <c r="EP269" s="43" t="str">
        <f t="shared" si="3359"/>
        <v/>
      </c>
      <c r="EQ269" s="43" t="str">
        <f t="shared" si="3360"/>
        <v/>
      </c>
      <c r="ER269" s="43" t="str">
        <f t="shared" si="3361"/>
        <v/>
      </c>
      <c r="ES269" s="43" t="str">
        <f t="shared" si="3362"/>
        <v/>
      </c>
      <c r="ET269" s="43" t="str">
        <f t="shared" si="3363"/>
        <v/>
      </c>
      <c r="EU269" s="43" t="str">
        <f t="shared" si="3364"/>
        <v/>
      </c>
      <c r="EV269" s="43" t="str">
        <f t="shared" si="3365"/>
        <v/>
      </c>
      <c r="EW269" s="43" t="str">
        <f t="shared" si="3366"/>
        <v/>
      </c>
      <c r="EX269" s="43" t="str">
        <f t="shared" si="3367"/>
        <v/>
      </c>
      <c r="EY269" s="43" t="str">
        <f t="shared" si="3368"/>
        <v/>
      </c>
      <c r="EZ269" s="43" t="str">
        <f t="shared" si="3369"/>
        <v/>
      </c>
      <c r="FA269" s="43" t="str">
        <f t="shared" si="3370"/>
        <v/>
      </c>
      <c r="FB269" s="43" t="str">
        <f t="shared" si="3371"/>
        <v/>
      </c>
      <c r="FC269" s="43" t="str">
        <f t="shared" si="3372"/>
        <v/>
      </c>
      <c r="FD269" s="43" t="str">
        <f t="shared" si="3373"/>
        <v/>
      </c>
      <c r="FE269" s="43" t="str">
        <f t="shared" si="3374"/>
        <v/>
      </c>
      <c r="FF269" s="43" t="str">
        <f t="shared" si="3375"/>
        <v/>
      </c>
      <c r="FG269" s="43" t="str">
        <f t="shared" si="3376"/>
        <v/>
      </c>
      <c r="FH269" s="43" t="str">
        <f t="shared" si="3377"/>
        <v/>
      </c>
      <c r="FI269" s="43" t="str">
        <f t="shared" si="3378"/>
        <v/>
      </c>
      <c r="FJ269" s="43" t="str">
        <f t="shared" si="3379"/>
        <v/>
      </c>
      <c r="FK269" s="43" t="str">
        <f t="shared" si="3380"/>
        <v/>
      </c>
      <c r="FL269" s="43" t="str">
        <f t="shared" si="3381"/>
        <v/>
      </c>
      <c r="FM269" s="43" t="str">
        <f t="shared" si="3382"/>
        <v/>
      </c>
      <c r="FN269" s="43" t="str">
        <f t="shared" si="3383"/>
        <v/>
      </c>
      <c r="FO269" s="43" t="str">
        <f t="shared" si="3384"/>
        <v/>
      </c>
      <c r="FP269" s="43" t="str">
        <f t="shared" si="3385"/>
        <v/>
      </c>
      <c r="FQ269" s="43" t="str">
        <f t="shared" si="3386"/>
        <v/>
      </c>
      <c r="FR269" s="43" t="str">
        <f t="shared" si="3387"/>
        <v/>
      </c>
      <c r="FS269" s="43" t="str">
        <f t="shared" si="3388"/>
        <v/>
      </c>
    </row>
    <row r="270" spans="92:175">
      <c r="CN270" s="12" t="str">
        <f t="shared" si="3313"/>
        <v>InitUnitState('',,,,,,,,,,)</v>
      </c>
      <c r="CO270" s="12" t="str">
        <f t="shared" si="3314"/>
        <v>InitUnitNormal('',,,,,,,,,,)</v>
      </c>
      <c r="CP270" s="12" t="str">
        <f t="shared" si="3315"/>
        <v>InitUnitMagic('',,,,,,,,,,)</v>
      </c>
      <c r="CQ270" s="12" t="str">
        <f t="shared" si="3316"/>
        <v>InitUnitAdd('',,,,,,,,,,)</v>
      </c>
      <c r="CR270" s="12" t="str">
        <f t="shared" si="3317"/>
        <v>InitEquipData('',,"",,,,,'','','','','','',"")</v>
      </c>
      <c r="CU270" s="5" t="str">
        <f t="shared" si="3318"/>
        <v>|n</v>
      </c>
      <c r="CW270" s="6"/>
      <c r="CX270" s="6"/>
      <c r="CY270" s="6"/>
      <c r="CZ270" s="6"/>
      <c r="DA270" s="6"/>
      <c r="DB270" s="43" t="str">
        <f t="shared" si="3319"/>
        <v/>
      </c>
      <c r="DC270" s="43" t="str">
        <f t="shared" si="3320"/>
        <v/>
      </c>
      <c r="DD270" s="43" t="str">
        <f t="shared" si="3321"/>
        <v/>
      </c>
      <c r="DE270" s="43" t="str">
        <f t="shared" si="3322"/>
        <v/>
      </c>
      <c r="DF270" s="43" t="str">
        <f t="shared" si="3323"/>
        <v/>
      </c>
      <c r="DG270" s="43" t="str">
        <f t="shared" si="3324"/>
        <v/>
      </c>
      <c r="DH270" s="43" t="str">
        <f t="shared" si="3325"/>
        <v/>
      </c>
      <c r="DI270" s="43" t="str">
        <f t="shared" si="3326"/>
        <v/>
      </c>
      <c r="DJ270" s="43" t="str">
        <f t="shared" si="3327"/>
        <v/>
      </c>
      <c r="DK270" s="43" t="str">
        <f t="shared" si="3328"/>
        <v/>
      </c>
      <c r="DL270" s="43" t="str">
        <f t="shared" si="3329"/>
        <v/>
      </c>
      <c r="DM270" s="43" t="str">
        <f t="shared" si="3330"/>
        <v/>
      </c>
      <c r="DN270" s="43" t="str">
        <f t="shared" si="3331"/>
        <v/>
      </c>
      <c r="DO270" s="43" t="str">
        <f t="shared" si="3332"/>
        <v/>
      </c>
      <c r="DP270" s="43" t="str">
        <f t="shared" si="3333"/>
        <v/>
      </c>
      <c r="DQ270" s="43" t="str">
        <f t="shared" si="3334"/>
        <v/>
      </c>
      <c r="DR270" s="43" t="str">
        <f t="shared" si="3335"/>
        <v/>
      </c>
      <c r="DS270" s="43" t="str">
        <f t="shared" si="3336"/>
        <v/>
      </c>
      <c r="DT270" s="43" t="str">
        <f t="shared" si="3337"/>
        <v/>
      </c>
      <c r="DU270" s="43" t="str">
        <f t="shared" si="3338"/>
        <v/>
      </c>
      <c r="DV270" s="43" t="str">
        <f t="shared" si="3339"/>
        <v/>
      </c>
      <c r="DW270" s="43" t="str">
        <f t="shared" si="3340"/>
        <v/>
      </c>
      <c r="DX270" s="43" t="str">
        <f t="shared" si="3341"/>
        <v/>
      </c>
      <c r="DY270" s="43" t="str">
        <f t="shared" si="3342"/>
        <v/>
      </c>
      <c r="DZ270" s="43" t="str">
        <f t="shared" si="3343"/>
        <v/>
      </c>
      <c r="EA270" s="43" t="str">
        <f t="shared" si="3344"/>
        <v/>
      </c>
      <c r="EB270" s="43" t="str">
        <f t="shared" si="3345"/>
        <v/>
      </c>
      <c r="EC270" s="43" t="str">
        <f t="shared" si="3346"/>
        <v/>
      </c>
      <c r="ED270" s="43" t="str">
        <f t="shared" si="3347"/>
        <v/>
      </c>
      <c r="EE270" s="43" t="str">
        <f t="shared" si="3348"/>
        <v/>
      </c>
      <c r="EF270" s="43" t="str">
        <f t="shared" si="3349"/>
        <v/>
      </c>
      <c r="EG270" s="43" t="str">
        <f t="shared" si="3350"/>
        <v/>
      </c>
      <c r="EH270" s="43" t="str">
        <f t="shared" si="3351"/>
        <v/>
      </c>
      <c r="EI270" s="43" t="str">
        <f t="shared" si="3352"/>
        <v/>
      </c>
      <c r="EJ270" s="43" t="str">
        <f t="shared" si="3353"/>
        <v/>
      </c>
      <c r="EK270" s="43" t="str">
        <f t="shared" si="3354"/>
        <v/>
      </c>
      <c r="EL270" s="43" t="str">
        <f t="shared" si="3355"/>
        <v/>
      </c>
      <c r="EM270" s="43" t="str">
        <f t="shared" si="3356"/>
        <v/>
      </c>
      <c r="EN270" s="43" t="str">
        <f t="shared" si="3357"/>
        <v/>
      </c>
      <c r="EO270" s="43" t="str">
        <f t="shared" si="3358"/>
        <v/>
      </c>
      <c r="EP270" s="43" t="str">
        <f t="shared" si="3359"/>
        <v/>
      </c>
      <c r="EQ270" s="43" t="str">
        <f t="shared" si="3360"/>
        <v/>
      </c>
      <c r="ER270" s="43" t="str">
        <f t="shared" si="3361"/>
        <v/>
      </c>
      <c r="ES270" s="43" t="str">
        <f t="shared" si="3362"/>
        <v/>
      </c>
      <c r="ET270" s="43" t="str">
        <f t="shared" si="3363"/>
        <v/>
      </c>
      <c r="EU270" s="43" t="str">
        <f t="shared" si="3364"/>
        <v/>
      </c>
      <c r="EV270" s="43" t="str">
        <f t="shared" si="3365"/>
        <v/>
      </c>
      <c r="EW270" s="43" t="str">
        <f t="shared" si="3366"/>
        <v/>
      </c>
      <c r="EX270" s="43" t="str">
        <f t="shared" si="3367"/>
        <v/>
      </c>
      <c r="EY270" s="43" t="str">
        <f t="shared" si="3368"/>
        <v/>
      </c>
      <c r="EZ270" s="43" t="str">
        <f t="shared" si="3369"/>
        <v/>
      </c>
      <c r="FA270" s="43" t="str">
        <f t="shared" si="3370"/>
        <v/>
      </c>
      <c r="FB270" s="43" t="str">
        <f t="shared" si="3371"/>
        <v/>
      </c>
      <c r="FC270" s="43" t="str">
        <f t="shared" si="3372"/>
        <v/>
      </c>
      <c r="FD270" s="43" t="str">
        <f t="shared" si="3373"/>
        <v/>
      </c>
      <c r="FE270" s="43" t="str">
        <f t="shared" si="3374"/>
        <v/>
      </c>
      <c r="FF270" s="43" t="str">
        <f t="shared" si="3375"/>
        <v/>
      </c>
      <c r="FG270" s="43" t="str">
        <f t="shared" si="3376"/>
        <v/>
      </c>
      <c r="FH270" s="43" t="str">
        <f t="shared" si="3377"/>
        <v/>
      </c>
      <c r="FI270" s="43" t="str">
        <f t="shared" si="3378"/>
        <v/>
      </c>
      <c r="FJ270" s="43" t="str">
        <f t="shared" si="3379"/>
        <v/>
      </c>
      <c r="FK270" s="43" t="str">
        <f t="shared" si="3380"/>
        <v/>
      </c>
      <c r="FL270" s="43" t="str">
        <f t="shared" si="3381"/>
        <v/>
      </c>
      <c r="FM270" s="43" t="str">
        <f t="shared" si="3382"/>
        <v/>
      </c>
      <c r="FN270" s="43" t="str">
        <f t="shared" si="3383"/>
        <v/>
      </c>
      <c r="FO270" s="43" t="str">
        <f t="shared" si="3384"/>
        <v/>
      </c>
      <c r="FP270" s="43" t="str">
        <f t="shared" si="3385"/>
        <v/>
      </c>
      <c r="FQ270" s="43" t="str">
        <f t="shared" si="3386"/>
        <v/>
      </c>
      <c r="FR270" s="43" t="str">
        <f t="shared" si="3387"/>
        <v/>
      </c>
      <c r="FS270" s="43" t="str">
        <f t="shared" si="3388"/>
        <v/>
      </c>
    </row>
    <row r="271" spans="92:175">
      <c r="CN271" s="12" t="str">
        <f t="shared" si="3313"/>
        <v>InitUnitState('',,,,,,,,,,)</v>
      </c>
      <c r="CO271" s="12" t="str">
        <f t="shared" si="3314"/>
        <v>InitUnitNormal('',,,,,,,,,,)</v>
      </c>
      <c r="CP271" s="12" t="str">
        <f t="shared" si="3315"/>
        <v>InitUnitMagic('',,,,,,,,,,)</v>
      </c>
      <c r="CQ271" s="12" t="str">
        <f t="shared" si="3316"/>
        <v>InitUnitAdd('',,,,,,,,,,)</v>
      </c>
      <c r="CR271" s="12" t="str">
        <f t="shared" si="3317"/>
        <v>InitEquipData('',,"",,,,,'','','','','','',"")</v>
      </c>
      <c r="CU271" s="5" t="str">
        <f t="shared" si="3318"/>
        <v>|n</v>
      </c>
      <c r="CW271" s="6"/>
      <c r="CX271" s="6"/>
      <c r="CY271" s="6"/>
      <c r="CZ271" s="6"/>
      <c r="DA271" s="6"/>
      <c r="DB271" s="43" t="str">
        <f t="shared" si="3319"/>
        <v/>
      </c>
      <c r="DC271" s="43" t="str">
        <f t="shared" si="3320"/>
        <v/>
      </c>
      <c r="DD271" s="43" t="str">
        <f t="shared" si="3321"/>
        <v/>
      </c>
      <c r="DE271" s="43" t="str">
        <f t="shared" si="3322"/>
        <v/>
      </c>
      <c r="DF271" s="43" t="str">
        <f t="shared" si="3323"/>
        <v/>
      </c>
      <c r="DG271" s="43" t="str">
        <f t="shared" si="3324"/>
        <v/>
      </c>
      <c r="DH271" s="43" t="str">
        <f t="shared" si="3325"/>
        <v/>
      </c>
      <c r="DI271" s="43" t="str">
        <f t="shared" si="3326"/>
        <v/>
      </c>
      <c r="DJ271" s="43" t="str">
        <f t="shared" si="3327"/>
        <v/>
      </c>
      <c r="DK271" s="43" t="str">
        <f t="shared" si="3328"/>
        <v/>
      </c>
      <c r="DL271" s="43" t="str">
        <f t="shared" si="3329"/>
        <v/>
      </c>
      <c r="DM271" s="43" t="str">
        <f t="shared" si="3330"/>
        <v/>
      </c>
      <c r="DN271" s="43" t="str">
        <f t="shared" si="3331"/>
        <v/>
      </c>
      <c r="DO271" s="43" t="str">
        <f t="shared" si="3332"/>
        <v/>
      </c>
      <c r="DP271" s="43" t="str">
        <f t="shared" si="3333"/>
        <v/>
      </c>
      <c r="DQ271" s="43" t="str">
        <f t="shared" si="3334"/>
        <v/>
      </c>
      <c r="DR271" s="43" t="str">
        <f t="shared" si="3335"/>
        <v/>
      </c>
      <c r="DS271" s="43" t="str">
        <f t="shared" si="3336"/>
        <v/>
      </c>
      <c r="DT271" s="43" t="str">
        <f t="shared" si="3337"/>
        <v/>
      </c>
      <c r="DU271" s="43" t="str">
        <f t="shared" si="3338"/>
        <v/>
      </c>
      <c r="DV271" s="43" t="str">
        <f t="shared" si="3339"/>
        <v/>
      </c>
      <c r="DW271" s="43" t="str">
        <f t="shared" si="3340"/>
        <v/>
      </c>
      <c r="DX271" s="43" t="str">
        <f t="shared" si="3341"/>
        <v/>
      </c>
      <c r="DY271" s="43" t="str">
        <f t="shared" si="3342"/>
        <v/>
      </c>
      <c r="DZ271" s="43" t="str">
        <f t="shared" si="3343"/>
        <v/>
      </c>
      <c r="EA271" s="43" t="str">
        <f t="shared" si="3344"/>
        <v/>
      </c>
      <c r="EB271" s="43" t="str">
        <f t="shared" si="3345"/>
        <v/>
      </c>
      <c r="EC271" s="43" t="str">
        <f t="shared" si="3346"/>
        <v/>
      </c>
      <c r="ED271" s="43" t="str">
        <f t="shared" si="3347"/>
        <v/>
      </c>
      <c r="EE271" s="43" t="str">
        <f t="shared" si="3348"/>
        <v/>
      </c>
      <c r="EF271" s="43" t="str">
        <f t="shared" si="3349"/>
        <v/>
      </c>
      <c r="EG271" s="43" t="str">
        <f t="shared" si="3350"/>
        <v/>
      </c>
      <c r="EH271" s="43" t="str">
        <f t="shared" si="3351"/>
        <v/>
      </c>
      <c r="EI271" s="43" t="str">
        <f t="shared" si="3352"/>
        <v/>
      </c>
      <c r="EJ271" s="43" t="str">
        <f t="shared" si="3353"/>
        <v/>
      </c>
      <c r="EK271" s="43" t="str">
        <f t="shared" si="3354"/>
        <v/>
      </c>
      <c r="EL271" s="43" t="str">
        <f t="shared" si="3355"/>
        <v/>
      </c>
      <c r="EM271" s="43" t="str">
        <f t="shared" si="3356"/>
        <v/>
      </c>
      <c r="EN271" s="43" t="str">
        <f t="shared" si="3357"/>
        <v/>
      </c>
      <c r="EO271" s="43" t="str">
        <f t="shared" si="3358"/>
        <v/>
      </c>
      <c r="EP271" s="43" t="str">
        <f t="shared" si="3359"/>
        <v/>
      </c>
      <c r="EQ271" s="43" t="str">
        <f t="shared" si="3360"/>
        <v/>
      </c>
      <c r="ER271" s="43" t="str">
        <f t="shared" si="3361"/>
        <v/>
      </c>
      <c r="ES271" s="43" t="str">
        <f t="shared" si="3362"/>
        <v/>
      </c>
      <c r="ET271" s="43" t="str">
        <f t="shared" si="3363"/>
        <v/>
      </c>
      <c r="EU271" s="43" t="str">
        <f t="shared" si="3364"/>
        <v/>
      </c>
      <c r="EV271" s="43" t="str">
        <f t="shared" si="3365"/>
        <v/>
      </c>
      <c r="EW271" s="43" t="str">
        <f t="shared" si="3366"/>
        <v/>
      </c>
      <c r="EX271" s="43" t="str">
        <f t="shared" si="3367"/>
        <v/>
      </c>
      <c r="EY271" s="43" t="str">
        <f t="shared" si="3368"/>
        <v/>
      </c>
      <c r="EZ271" s="43" t="str">
        <f t="shared" si="3369"/>
        <v/>
      </c>
      <c r="FA271" s="43" t="str">
        <f t="shared" si="3370"/>
        <v/>
      </c>
      <c r="FB271" s="43" t="str">
        <f t="shared" si="3371"/>
        <v/>
      </c>
      <c r="FC271" s="43" t="str">
        <f t="shared" si="3372"/>
        <v/>
      </c>
      <c r="FD271" s="43" t="str">
        <f t="shared" si="3373"/>
        <v/>
      </c>
      <c r="FE271" s="43" t="str">
        <f t="shared" si="3374"/>
        <v/>
      </c>
      <c r="FF271" s="43" t="str">
        <f t="shared" si="3375"/>
        <v/>
      </c>
      <c r="FG271" s="43" t="str">
        <f t="shared" si="3376"/>
        <v/>
      </c>
      <c r="FH271" s="43" t="str">
        <f t="shared" si="3377"/>
        <v/>
      </c>
      <c r="FI271" s="43" t="str">
        <f t="shared" si="3378"/>
        <v/>
      </c>
      <c r="FJ271" s="43" t="str">
        <f t="shared" si="3379"/>
        <v/>
      </c>
      <c r="FK271" s="43" t="str">
        <f t="shared" si="3380"/>
        <v/>
      </c>
      <c r="FL271" s="43" t="str">
        <f t="shared" si="3381"/>
        <v/>
      </c>
      <c r="FM271" s="43" t="str">
        <f t="shared" si="3382"/>
        <v/>
      </c>
      <c r="FN271" s="43" t="str">
        <f t="shared" si="3383"/>
        <v/>
      </c>
      <c r="FO271" s="43" t="str">
        <f t="shared" si="3384"/>
        <v/>
      </c>
      <c r="FP271" s="43" t="str">
        <f t="shared" si="3385"/>
        <v/>
      </c>
      <c r="FQ271" s="43" t="str">
        <f t="shared" si="3386"/>
        <v/>
      </c>
      <c r="FR271" s="43" t="str">
        <f t="shared" si="3387"/>
        <v/>
      </c>
      <c r="FS271" s="43" t="str">
        <f t="shared" si="3388"/>
        <v/>
      </c>
    </row>
    <row r="272" spans="92:175">
      <c r="CN272" s="12" t="str">
        <f t="shared" si="3313"/>
        <v>InitUnitState('',,,,,,,,,,)</v>
      </c>
      <c r="CO272" s="12" t="str">
        <f t="shared" si="3314"/>
        <v>InitUnitNormal('',,,,,,,,,,)</v>
      </c>
      <c r="CP272" s="12" t="str">
        <f t="shared" si="3315"/>
        <v>InitUnitMagic('',,,,,,,,,,)</v>
      </c>
      <c r="CQ272" s="12" t="str">
        <f t="shared" si="3316"/>
        <v>InitUnitAdd('',,,,,,,,,,)</v>
      </c>
      <c r="CR272" s="12" t="str">
        <f t="shared" si="3317"/>
        <v>InitEquipData('',,"",,,,,'','','','','','',"")</v>
      </c>
      <c r="CU272" s="5" t="str">
        <f t="shared" si="3318"/>
        <v>|n</v>
      </c>
      <c r="CW272" s="6"/>
      <c r="CX272" s="6"/>
      <c r="CY272" s="6"/>
      <c r="CZ272" s="6"/>
      <c r="DA272" s="6"/>
      <c r="DB272" s="43" t="str">
        <f t="shared" si="3319"/>
        <v/>
      </c>
      <c r="DC272" s="43" t="str">
        <f t="shared" si="3320"/>
        <v/>
      </c>
      <c r="DD272" s="43" t="str">
        <f t="shared" si="3321"/>
        <v/>
      </c>
      <c r="DE272" s="43" t="str">
        <f t="shared" si="3322"/>
        <v/>
      </c>
      <c r="DF272" s="43" t="str">
        <f t="shared" si="3323"/>
        <v/>
      </c>
      <c r="DG272" s="43" t="str">
        <f t="shared" si="3324"/>
        <v/>
      </c>
      <c r="DH272" s="43" t="str">
        <f t="shared" si="3325"/>
        <v/>
      </c>
      <c r="DI272" s="43" t="str">
        <f t="shared" si="3326"/>
        <v/>
      </c>
      <c r="DJ272" s="43" t="str">
        <f t="shared" si="3327"/>
        <v/>
      </c>
      <c r="DK272" s="43" t="str">
        <f t="shared" si="3328"/>
        <v/>
      </c>
      <c r="DL272" s="43" t="str">
        <f t="shared" si="3329"/>
        <v/>
      </c>
      <c r="DM272" s="43" t="str">
        <f t="shared" si="3330"/>
        <v/>
      </c>
      <c r="DN272" s="43" t="str">
        <f t="shared" si="3331"/>
        <v/>
      </c>
      <c r="DO272" s="43" t="str">
        <f t="shared" si="3332"/>
        <v/>
      </c>
      <c r="DP272" s="43" t="str">
        <f t="shared" si="3333"/>
        <v/>
      </c>
      <c r="DQ272" s="43" t="str">
        <f t="shared" si="3334"/>
        <v/>
      </c>
      <c r="DR272" s="43" t="str">
        <f t="shared" si="3335"/>
        <v/>
      </c>
      <c r="DS272" s="43" t="str">
        <f t="shared" si="3336"/>
        <v/>
      </c>
      <c r="DT272" s="43" t="str">
        <f t="shared" si="3337"/>
        <v/>
      </c>
      <c r="DU272" s="43" t="str">
        <f t="shared" si="3338"/>
        <v/>
      </c>
      <c r="DV272" s="43" t="str">
        <f t="shared" si="3339"/>
        <v/>
      </c>
      <c r="DW272" s="43" t="str">
        <f t="shared" si="3340"/>
        <v/>
      </c>
      <c r="DX272" s="43" t="str">
        <f t="shared" si="3341"/>
        <v/>
      </c>
      <c r="DY272" s="43" t="str">
        <f t="shared" si="3342"/>
        <v/>
      </c>
      <c r="DZ272" s="43" t="str">
        <f t="shared" si="3343"/>
        <v/>
      </c>
      <c r="EA272" s="43" t="str">
        <f t="shared" si="3344"/>
        <v/>
      </c>
      <c r="EB272" s="43" t="str">
        <f t="shared" si="3345"/>
        <v/>
      </c>
      <c r="EC272" s="43" t="str">
        <f t="shared" si="3346"/>
        <v/>
      </c>
      <c r="ED272" s="43" t="str">
        <f t="shared" si="3347"/>
        <v/>
      </c>
      <c r="EE272" s="43" t="str">
        <f t="shared" si="3348"/>
        <v/>
      </c>
      <c r="EF272" s="43" t="str">
        <f t="shared" si="3349"/>
        <v/>
      </c>
      <c r="EG272" s="43" t="str">
        <f t="shared" si="3350"/>
        <v/>
      </c>
      <c r="EH272" s="43" t="str">
        <f t="shared" si="3351"/>
        <v/>
      </c>
      <c r="EI272" s="43" t="str">
        <f t="shared" si="3352"/>
        <v/>
      </c>
      <c r="EJ272" s="43" t="str">
        <f t="shared" si="3353"/>
        <v/>
      </c>
      <c r="EK272" s="43" t="str">
        <f t="shared" si="3354"/>
        <v/>
      </c>
      <c r="EL272" s="43" t="str">
        <f t="shared" si="3355"/>
        <v/>
      </c>
      <c r="EM272" s="43" t="str">
        <f t="shared" si="3356"/>
        <v/>
      </c>
      <c r="EN272" s="43" t="str">
        <f t="shared" si="3357"/>
        <v/>
      </c>
      <c r="EO272" s="43" t="str">
        <f t="shared" si="3358"/>
        <v/>
      </c>
      <c r="EP272" s="43" t="str">
        <f t="shared" si="3359"/>
        <v/>
      </c>
      <c r="EQ272" s="43" t="str">
        <f t="shared" si="3360"/>
        <v/>
      </c>
      <c r="ER272" s="43" t="str">
        <f t="shared" si="3361"/>
        <v/>
      </c>
      <c r="ES272" s="43" t="str">
        <f t="shared" si="3362"/>
        <v/>
      </c>
      <c r="ET272" s="43" t="str">
        <f t="shared" si="3363"/>
        <v/>
      </c>
      <c r="EU272" s="43" t="str">
        <f t="shared" si="3364"/>
        <v/>
      </c>
      <c r="EV272" s="43" t="str">
        <f t="shared" si="3365"/>
        <v/>
      </c>
      <c r="EW272" s="43" t="str">
        <f t="shared" si="3366"/>
        <v/>
      </c>
      <c r="EX272" s="43" t="str">
        <f t="shared" si="3367"/>
        <v/>
      </c>
      <c r="EY272" s="43" t="str">
        <f t="shared" si="3368"/>
        <v/>
      </c>
      <c r="EZ272" s="43" t="str">
        <f t="shared" si="3369"/>
        <v/>
      </c>
      <c r="FA272" s="43" t="str">
        <f t="shared" si="3370"/>
        <v/>
      </c>
      <c r="FB272" s="43" t="str">
        <f t="shared" si="3371"/>
        <v/>
      </c>
      <c r="FC272" s="43" t="str">
        <f t="shared" si="3372"/>
        <v/>
      </c>
      <c r="FD272" s="43" t="str">
        <f t="shared" si="3373"/>
        <v/>
      </c>
      <c r="FE272" s="43" t="str">
        <f t="shared" si="3374"/>
        <v/>
      </c>
      <c r="FF272" s="43" t="str">
        <f t="shared" si="3375"/>
        <v/>
      </c>
      <c r="FG272" s="43" t="str">
        <f t="shared" si="3376"/>
        <v/>
      </c>
      <c r="FH272" s="43" t="str">
        <f t="shared" si="3377"/>
        <v/>
      </c>
      <c r="FI272" s="43" t="str">
        <f t="shared" si="3378"/>
        <v/>
      </c>
      <c r="FJ272" s="43" t="str">
        <f t="shared" si="3379"/>
        <v/>
      </c>
      <c r="FK272" s="43" t="str">
        <f t="shared" si="3380"/>
        <v/>
      </c>
      <c r="FL272" s="43" t="str">
        <f t="shared" si="3381"/>
        <v/>
      </c>
      <c r="FM272" s="43" t="str">
        <f t="shared" si="3382"/>
        <v/>
      </c>
      <c r="FN272" s="43" t="str">
        <f t="shared" si="3383"/>
        <v/>
      </c>
      <c r="FO272" s="43" t="str">
        <f t="shared" si="3384"/>
        <v/>
      </c>
      <c r="FP272" s="43" t="str">
        <f t="shared" si="3385"/>
        <v/>
      </c>
      <c r="FQ272" s="43" t="str">
        <f t="shared" si="3386"/>
        <v/>
      </c>
      <c r="FR272" s="43" t="str">
        <f t="shared" si="3387"/>
        <v/>
      </c>
      <c r="FS272" s="43" t="str">
        <f t="shared" si="3388"/>
        <v/>
      </c>
    </row>
    <row r="273" spans="92:175">
      <c r="CN273" s="12" t="str">
        <f t="shared" si="3313"/>
        <v>InitUnitState('',,,,,,,,,,)</v>
      </c>
      <c r="CO273" s="12" t="str">
        <f t="shared" si="3314"/>
        <v>InitUnitNormal('',,,,,,,,,,)</v>
      </c>
      <c r="CP273" s="12" t="str">
        <f t="shared" si="3315"/>
        <v>InitUnitMagic('',,,,,,,,,,)</v>
      </c>
      <c r="CQ273" s="12" t="str">
        <f t="shared" si="3316"/>
        <v>InitUnitAdd('',,,,,,,,,,)</v>
      </c>
      <c r="CR273" s="12" t="str">
        <f t="shared" si="3317"/>
        <v>InitEquipData('',,"",,,,,'','','','','','',"")</v>
      </c>
      <c r="CU273" s="5" t="str">
        <f t="shared" si="3318"/>
        <v>|n</v>
      </c>
      <c r="CW273" s="6"/>
      <c r="CX273" s="6"/>
      <c r="CY273" s="6"/>
      <c r="CZ273" s="6"/>
      <c r="DA273" s="6"/>
      <c r="DB273" s="43" t="str">
        <f t="shared" si="3319"/>
        <v/>
      </c>
      <c r="DC273" s="43" t="str">
        <f t="shared" si="3320"/>
        <v/>
      </c>
      <c r="DD273" s="43" t="str">
        <f t="shared" si="3321"/>
        <v/>
      </c>
      <c r="DE273" s="43" t="str">
        <f t="shared" si="3322"/>
        <v/>
      </c>
      <c r="DF273" s="43" t="str">
        <f t="shared" si="3323"/>
        <v/>
      </c>
      <c r="DG273" s="43" t="str">
        <f t="shared" si="3324"/>
        <v/>
      </c>
      <c r="DH273" s="43" t="str">
        <f t="shared" si="3325"/>
        <v/>
      </c>
      <c r="DI273" s="43" t="str">
        <f t="shared" si="3326"/>
        <v/>
      </c>
      <c r="DJ273" s="43" t="str">
        <f t="shared" si="3327"/>
        <v/>
      </c>
      <c r="DK273" s="43" t="str">
        <f t="shared" si="3328"/>
        <v/>
      </c>
      <c r="DL273" s="43" t="str">
        <f t="shared" si="3329"/>
        <v/>
      </c>
      <c r="DM273" s="43" t="str">
        <f t="shared" si="3330"/>
        <v/>
      </c>
      <c r="DN273" s="43" t="str">
        <f t="shared" si="3331"/>
        <v/>
      </c>
      <c r="DO273" s="43" t="str">
        <f t="shared" si="3332"/>
        <v/>
      </c>
      <c r="DP273" s="43" t="str">
        <f t="shared" si="3333"/>
        <v/>
      </c>
      <c r="DQ273" s="43" t="str">
        <f t="shared" si="3334"/>
        <v/>
      </c>
      <c r="DR273" s="43" t="str">
        <f t="shared" si="3335"/>
        <v/>
      </c>
      <c r="DS273" s="43" t="str">
        <f t="shared" si="3336"/>
        <v/>
      </c>
      <c r="DT273" s="43" t="str">
        <f t="shared" si="3337"/>
        <v/>
      </c>
      <c r="DU273" s="43" t="str">
        <f t="shared" si="3338"/>
        <v/>
      </c>
      <c r="DV273" s="43" t="str">
        <f t="shared" si="3339"/>
        <v/>
      </c>
      <c r="DW273" s="43" t="str">
        <f t="shared" si="3340"/>
        <v/>
      </c>
      <c r="DX273" s="43" t="str">
        <f t="shared" si="3341"/>
        <v/>
      </c>
      <c r="DY273" s="43" t="str">
        <f t="shared" si="3342"/>
        <v/>
      </c>
      <c r="DZ273" s="43" t="str">
        <f t="shared" si="3343"/>
        <v/>
      </c>
      <c r="EA273" s="43" t="str">
        <f t="shared" si="3344"/>
        <v/>
      </c>
      <c r="EB273" s="43" t="str">
        <f t="shared" si="3345"/>
        <v/>
      </c>
      <c r="EC273" s="43" t="str">
        <f t="shared" si="3346"/>
        <v/>
      </c>
      <c r="ED273" s="43" t="str">
        <f t="shared" si="3347"/>
        <v/>
      </c>
      <c r="EE273" s="43" t="str">
        <f t="shared" si="3348"/>
        <v/>
      </c>
      <c r="EF273" s="43" t="str">
        <f t="shared" si="3349"/>
        <v/>
      </c>
      <c r="EG273" s="43" t="str">
        <f t="shared" si="3350"/>
        <v/>
      </c>
      <c r="EH273" s="43" t="str">
        <f t="shared" si="3351"/>
        <v/>
      </c>
      <c r="EI273" s="43" t="str">
        <f t="shared" si="3352"/>
        <v/>
      </c>
      <c r="EJ273" s="43" t="str">
        <f t="shared" si="3353"/>
        <v/>
      </c>
      <c r="EK273" s="43" t="str">
        <f t="shared" si="3354"/>
        <v/>
      </c>
      <c r="EL273" s="43" t="str">
        <f t="shared" si="3355"/>
        <v/>
      </c>
      <c r="EM273" s="43" t="str">
        <f t="shared" si="3356"/>
        <v/>
      </c>
      <c r="EN273" s="43" t="str">
        <f t="shared" si="3357"/>
        <v/>
      </c>
      <c r="EO273" s="43" t="str">
        <f t="shared" si="3358"/>
        <v/>
      </c>
      <c r="EP273" s="43" t="str">
        <f t="shared" si="3359"/>
        <v/>
      </c>
      <c r="EQ273" s="43" t="str">
        <f t="shared" si="3360"/>
        <v/>
      </c>
      <c r="ER273" s="43" t="str">
        <f t="shared" si="3361"/>
        <v/>
      </c>
      <c r="ES273" s="43" t="str">
        <f t="shared" si="3362"/>
        <v/>
      </c>
      <c r="ET273" s="43" t="str">
        <f t="shared" si="3363"/>
        <v/>
      </c>
      <c r="EU273" s="43" t="str">
        <f t="shared" si="3364"/>
        <v/>
      </c>
      <c r="EV273" s="43" t="str">
        <f t="shared" si="3365"/>
        <v/>
      </c>
      <c r="EW273" s="43" t="str">
        <f t="shared" si="3366"/>
        <v/>
      </c>
      <c r="EX273" s="43" t="str">
        <f t="shared" si="3367"/>
        <v/>
      </c>
      <c r="EY273" s="43" t="str">
        <f t="shared" si="3368"/>
        <v/>
      </c>
      <c r="EZ273" s="43" t="str">
        <f t="shared" si="3369"/>
        <v/>
      </c>
      <c r="FA273" s="43" t="str">
        <f t="shared" si="3370"/>
        <v/>
      </c>
      <c r="FB273" s="43" t="str">
        <f t="shared" si="3371"/>
        <v/>
      </c>
      <c r="FC273" s="43" t="str">
        <f t="shared" si="3372"/>
        <v/>
      </c>
      <c r="FD273" s="43" t="str">
        <f t="shared" si="3373"/>
        <v/>
      </c>
      <c r="FE273" s="43" t="str">
        <f t="shared" si="3374"/>
        <v/>
      </c>
      <c r="FF273" s="43" t="str">
        <f t="shared" si="3375"/>
        <v/>
      </c>
      <c r="FG273" s="43" t="str">
        <f t="shared" si="3376"/>
        <v/>
      </c>
      <c r="FH273" s="43" t="str">
        <f t="shared" si="3377"/>
        <v/>
      </c>
      <c r="FI273" s="43" t="str">
        <f t="shared" si="3378"/>
        <v/>
      </c>
      <c r="FJ273" s="43" t="str">
        <f t="shared" si="3379"/>
        <v/>
      </c>
      <c r="FK273" s="43" t="str">
        <f t="shared" si="3380"/>
        <v/>
      </c>
      <c r="FL273" s="43" t="str">
        <f t="shared" si="3381"/>
        <v/>
      </c>
      <c r="FM273" s="43" t="str">
        <f t="shared" si="3382"/>
        <v/>
      </c>
      <c r="FN273" s="43" t="str">
        <f t="shared" si="3383"/>
        <v/>
      </c>
      <c r="FO273" s="43" t="str">
        <f t="shared" si="3384"/>
        <v/>
      </c>
      <c r="FP273" s="43" t="str">
        <f t="shared" si="3385"/>
        <v/>
      </c>
      <c r="FQ273" s="43" t="str">
        <f t="shared" si="3386"/>
        <v/>
      </c>
      <c r="FR273" s="43" t="str">
        <f t="shared" si="3387"/>
        <v/>
      </c>
      <c r="FS273" s="43" t="str">
        <f t="shared" si="3388"/>
        <v/>
      </c>
    </row>
    <row r="274" spans="92:175">
      <c r="CN274" s="12" t="str">
        <f t="shared" si="3313"/>
        <v>InitUnitState('',,,,,,,,,,)</v>
      </c>
      <c r="CO274" s="12" t="str">
        <f t="shared" si="3314"/>
        <v>InitUnitNormal('',,,,,,,,,,)</v>
      </c>
      <c r="CP274" s="12" t="str">
        <f t="shared" si="3315"/>
        <v>InitUnitMagic('',,,,,,,,,,)</v>
      </c>
      <c r="CQ274" s="12" t="str">
        <f t="shared" si="3316"/>
        <v>InitUnitAdd('',,,,,,,,,,)</v>
      </c>
      <c r="CR274" s="12" t="str">
        <f t="shared" si="3317"/>
        <v>InitEquipData('',,"",,,,,'','','','','','',"")</v>
      </c>
      <c r="CU274" s="5" t="str">
        <f t="shared" si="3318"/>
        <v>|n</v>
      </c>
      <c r="CW274" s="6"/>
      <c r="CX274" s="6"/>
      <c r="CY274" s="6"/>
      <c r="CZ274" s="6"/>
      <c r="DA274" s="6"/>
      <c r="DB274" s="43" t="str">
        <f t="shared" si="3319"/>
        <v/>
      </c>
      <c r="DC274" s="43" t="str">
        <f t="shared" si="3320"/>
        <v/>
      </c>
      <c r="DD274" s="43" t="str">
        <f t="shared" si="3321"/>
        <v/>
      </c>
      <c r="DE274" s="43" t="str">
        <f t="shared" si="3322"/>
        <v/>
      </c>
      <c r="DF274" s="43" t="str">
        <f t="shared" si="3323"/>
        <v/>
      </c>
      <c r="DG274" s="43" t="str">
        <f t="shared" si="3324"/>
        <v/>
      </c>
      <c r="DH274" s="43" t="str">
        <f t="shared" si="3325"/>
        <v/>
      </c>
      <c r="DI274" s="43" t="str">
        <f t="shared" si="3326"/>
        <v/>
      </c>
      <c r="DJ274" s="43" t="str">
        <f t="shared" si="3327"/>
        <v/>
      </c>
      <c r="DK274" s="43" t="str">
        <f t="shared" si="3328"/>
        <v/>
      </c>
      <c r="DL274" s="43" t="str">
        <f t="shared" si="3329"/>
        <v/>
      </c>
      <c r="DM274" s="43" t="str">
        <f t="shared" si="3330"/>
        <v/>
      </c>
      <c r="DN274" s="43" t="str">
        <f t="shared" si="3331"/>
        <v/>
      </c>
      <c r="DO274" s="43" t="str">
        <f t="shared" si="3332"/>
        <v/>
      </c>
      <c r="DP274" s="43" t="str">
        <f t="shared" si="3333"/>
        <v/>
      </c>
      <c r="DQ274" s="43" t="str">
        <f t="shared" si="3334"/>
        <v/>
      </c>
      <c r="DR274" s="43" t="str">
        <f t="shared" si="3335"/>
        <v/>
      </c>
      <c r="DS274" s="43" t="str">
        <f t="shared" si="3336"/>
        <v/>
      </c>
      <c r="DT274" s="43" t="str">
        <f t="shared" si="3337"/>
        <v/>
      </c>
      <c r="DU274" s="43" t="str">
        <f t="shared" si="3338"/>
        <v/>
      </c>
      <c r="DV274" s="43" t="str">
        <f t="shared" si="3339"/>
        <v/>
      </c>
      <c r="DW274" s="43" t="str">
        <f t="shared" si="3340"/>
        <v/>
      </c>
      <c r="DX274" s="43" t="str">
        <f t="shared" si="3341"/>
        <v/>
      </c>
      <c r="DY274" s="43" t="str">
        <f t="shared" si="3342"/>
        <v/>
      </c>
      <c r="DZ274" s="43" t="str">
        <f t="shared" si="3343"/>
        <v/>
      </c>
      <c r="EA274" s="43" t="str">
        <f t="shared" si="3344"/>
        <v/>
      </c>
      <c r="EB274" s="43" t="str">
        <f t="shared" si="3345"/>
        <v/>
      </c>
      <c r="EC274" s="43" t="str">
        <f t="shared" si="3346"/>
        <v/>
      </c>
      <c r="ED274" s="43" t="str">
        <f t="shared" si="3347"/>
        <v/>
      </c>
      <c r="EE274" s="43" t="str">
        <f t="shared" si="3348"/>
        <v/>
      </c>
      <c r="EF274" s="43" t="str">
        <f t="shared" si="3349"/>
        <v/>
      </c>
      <c r="EG274" s="43" t="str">
        <f t="shared" si="3350"/>
        <v/>
      </c>
      <c r="EH274" s="43" t="str">
        <f t="shared" si="3351"/>
        <v/>
      </c>
      <c r="EI274" s="43" t="str">
        <f t="shared" si="3352"/>
        <v/>
      </c>
      <c r="EJ274" s="43" t="str">
        <f t="shared" si="3353"/>
        <v/>
      </c>
      <c r="EK274" s="43" t="str">
        <f t="shared" si="3354"/>
        <v/>
      </c>
      <c r="EL274" s="43" t="str">
        <f t="shared" si="3355"/>
        <v/>
      </c>
      <c r="EM274" s="43" t="str">
        <f t="shared" si="3356"/>
        <v/>
      </c>
      <c r="EN274" s="43" t="str">
        <f t="shared" si="3357"/>
        <v/>
      </c>
      <c r="EO274" s="43" t="str">
        <f t="shared" si="3358"/>
        <v/>
      </c>
      <c r="EP274" s="43" t="str">
        <f t="shared" si="3359"/>
        <v/>
      </c>
      <c r="EQ274" s="43" t="str">
        <f t="shared" si="3360"/>
        <v/>
      </c>
      <c r="ER274" s="43" t="str">
        <f t="shared" si="3361"/>
        <v/>
      </c>
      <c r="ES274" s="43" t="str">
        <f t="shared" si="3362"/>
        <v/>
      </c>
      <c r="ET274" s="43" t="str">
        <f t="shared" si="3363"/>
        <v/>
      </c>
      <c r="EU274" s="43" t="str">
        <f t="shared" si="3364"/>
        <v/>
      </c>
      <c r="EV274" s="43" t="str">
        <f t="shared" si="3365"/>
        <v/>
      </c>
      <c r="EW274" s="43" t="str">
        <f t="shared" si="3366"/>
        <v/>
      </c>
      <c r="EX274" s="43" t="str">
        <f t="shared" si="3367"/>
        <v/>
      </c>
      <c r="EY274" s="43" t="str">
        <f t="shared" si="3368"/>
        <v/>
      </c>
      <c r="EZ274" s="43" t="str">
        <f t="shared" si="3369"/>
        <v/>
      </c>
      <c r="FA274" s="43" t="str">
        <f t="shared" si="3370"/>
        <v/>
      </c>
      <c r="FB274" s="43" t="str">
        <f t="shared" si="3371"/>
        <v/>
      </c>
      <c r="FC274" s="43" t="str">
        <f t="shared" si="3372"/>
        <v/>
      </c>
      <c r="FD274" s="43" t="str">
        <f t="shared" si="3373"/>
        <v/>
      </c>
      <c r="FE274" s="43" t="str">
        <f t="shared" si="3374"/>
        <v/>
      </c>
      <c r="FF274" s="43" t="str">
        <f t="shared" si="3375"/>
        <v/>
      </c>
      <c r="FG274" s="43" t="str">
        <f t="shared" si="3376"/>
        <v/>
      </c>
      <c r="FH274" s="43" t="str">
        <f t="shared" si="3377"/>
        <v/>
      </c>
      <c r="FI274" s="43" t="str">
        <f t="shared" si="3378"/>
        <v/>
      </c>
      <c r="FJ274" s="43" t="str">
        <f t="shared" si="3379"/>
        <v/>
      </c>
      <c r="FK274" s="43" t="str">
        <f t="shared" si="3380"/>
        <v/>
      </c>
      <c r="FL274" s="43" t="str">
        <f t="shared" si="3381"/>
        <v/>
      </c>
      <c r="FM274" s="43" t="str">
        <f t="shared" si="3382"/>
        <v/>
      </c>
      <c r="FN274" s="43" t="str">
        <f t="shared" si="3383"/>
        <v/>
      </c>
      <c r="FO274" s="43" t="str">
        <f t="shared" si="3384"/>
        <v/>
      </c>
      <c r="FP274" s="43" t="str">
        <f t="shared" si="3385"/>
        <v/>
      </c>
      <c r="FQ274" s="43" t="str">
        <f t="shared" si="3386"/>
        <v/>
      </c>
      <c r="FR274" s="43" t="str">
        <f t="shared" si="3387"/>
        <v/>
      </c>
      <c r="FS274" s="43" t="str">
        <f t="shared" si="3388"/>
        <v/>
      </c>
    </row>
    <row r="275" spans="92:175">
      <c r="CN275" s="12" t="str">
        <f t="shared" si="3313"/>
        <v>InitUnitState('',,,,,,,,,,)</v>
      </c>
      <c r="CO275" s="12" t="str">
        <f t="shared" si="3314"/>
        <v>InitUnitNormal('',,,,,,,,,,)</v>
      </c>
      <c r="CP275" s="12" t="str">
        <f t="shared" si="3315"/>
        <v>InitUnitMagic('',,,,,,,,,,)</v>
      </c>
      <c r="CQ275" s="12" t="str">
        <f t="shared" si="3316"/>
        <v>InitUnitAdd('',,,,,,,,,,)</v>
      </c>
      <c r="CR275" s="12" t="str">
        <f t="shared" si="3317"/>
        <v>InitEquipData('',,"",,,,,'','','','','','',"")</v>
      </c>
      <c r="CU275" s="5" t="str">
        <f t="shared" si="3318"/>
        <v>|n</v>
      </c>
      <c r="CW275" s="6"/>
      <c r="CX275" s="6"/>
      <c r="CY275" s="6"/>
      <c r="CZ275" s="6"/>
      <c r="DA275" s="6"/>
      <c r="DB275" s="43" t="str">
        <f t="shared" si="3319"/>
        <v/>
      </c>
      <c r="DC275" s="43" t="str">
        <f t="shared" si="3320"/>
        <v/>
      </c>
      <c r="DD275" s="43" t="str">
        <f t="shared" si="3321"/>
        <v/>
      </c>
      <c r="DE275" s="43" t="str">
        <f t="shared" si="3322"/>
        <v/>
      </c>
      <c r="DF275" s="43" t="str">
        <f t="shared" si="3323"/>
        <v/>
      </c>
      <c r="DG275" s="43" t="str">
        <f t="shared" si="3324"/>
        <v/>
      </c>
      <c r="DH275" s="43" t="str">
        <f t="shared" si="3325"/>
        <v/>
      </c>
      <c r="DI275" s="43" t="str">
        <f t="shared" si="3326"/>
        <v/>
      </c>
      <c r="DJ275" s="43" t="str">
        <f t="shared" si="3327"/>
        <v/>
      </c>
      <c r="DK275" s="43" t="str">
        <f t="shared" si="3328"/>
        <v/>
      </c>
      <c r="DL275" s="43" t="str">
        <f t="shared" si="3329"/>
        <v/>
      </c>
      <c r="DM275" s="43" t="str">
        <f t="shared" si="3330"/>
        <v/>
      </c>
      <c r="DN275" s="43" t="str">
        <f t="shared" si="3331"/>
        <v/>
      </c>
      <c r="DO275" s="43" t="str">
        <f t="shared" si="3332"/>
        <v/>
      </c>
      <c r="DP275" s="43" t="str">
        <f t="shared" si="3333"/>
        <v/>
      </c>
      <c r="DQ275" s="43" t="str">
        <f t="shared" si="3334"/>
        <v/>
      </c>
      <c r="DR275" s="43" t="str">
        <f t="shared" si="3335"/>
        <v/>
      </c>
      <c r="DS275" s="43" t="str">
        <f t="shared" si="3336"/>
        <v/>
      </c>
      <c r="DT275" s="43" t="str">
        <f t="shared" si="3337"/>
        <v/>
      </c>
      <c r="DU275" s="43" t="str">
        <f t="shared" si="3338"/>
        <v/>
      </c>
      <c r="DV275" s="43" t="str">
        <f t="shared" si="3339"/>
        <v/>
      </c>
      <c r="DW275" s="43" t="str">
        <f t="shared" si="3340"/>
        <v/>
      </c>
      <c r="DX275" s="43" t="str">
        <f t="shared" si="3341"/>
        <v/>
      </c>
      <c r="DY275" s="43" t="str">
        <f t="shared" si="3342"/>
        <v/>
      </c>
      <c r="DZ275" s="43" t="str">
        <f t="shared" si="3343"/>
        <v/>
      </c>
      <c r="EA275" s="43" t="str">
        <f t="shared" si="3344"/>
        <v/>
      </c>
      <c r="EB275" s="43" t="str">
        <f t="shared" si="3345"/>
        <v/>
      </c>
      <c r="EC275" s="43" t="str">
        <f t="shared" si="3346"/>
        <v/>
      </c>
      <c r="ED275" s="43" t="str">
        <f t="shared" si="3347"/>
        <v/>
      </c>
      <c r="EE275" s="43" t="str">
        <f t="shared" si="3348"/>
        <v/>
      </c>
      <c r="EF275" s="43" t="str">
        <f t="shared" si="3349"/>
        <v/>
      </c>
      <c r="EG275" s="43" t="str">
        <f t="shared" si="3350"/>
        <v/>
      </c>
      <c r="EH275" s="43" t="str">
        <f t="shared" si="3351"/>
        <v/>
      </c>
      <c r="EI275" s="43" t="str">
        <f t="shared" si="3352"/>
        <v/>
      </c>
      <c r="EJ275" s="43" t="str">
        <f t="shared" si="3353"/>
        <v/>
      </c>
      <c r="EK275" s="43" t="str">
        <f t="shared" si="3354"/>
        <v/>
      </c>
      <c r="EL275" s="43" t="str">
        <f t="shared" si="3355"/>
        <v/>
      </c>
      <c r="EM275" s="43" t="str">
        <f t="shared" si="3356"/>
        <v/>
      </c>
      <c r="EN275" s="43" t="str">
        <f t="shared" si="3357"/>
        <v/>
      </c>
      <c r="EO275" s="43" t="str">
        <f t="shared" si="3358"/>
        <v/>
      </c>
      <c r="EP275" s="43" t="str">
        <f t="shared" si="3359"/>
        <v/>
      </c>
      <c r="EQ275" s="43" t="str">
        <f t="shared" si="3360"/>
        <v/>
      </c>
      <c r="ER275" s="43" t="str">
        <f t="shared" si="3361"/>
        <v/>
      </c>
      <c r="ES275" s="43" t="str">
        <f t="shared" si="3362"/>
        <v/>
      </c>
      <c r="ET275" s="43" t="str">
        <f t="shared" si="3363"/>
        <v/>
      </c>
      <c r="EU275" s="43" t="str">
        <f t="shared" si="3364"/>
        <v/>
      </c>
      <c r="EV275" s="43" t="str">
        <f t="shared" si="3365"/>
        <v/>
      </c>
      <c r="EW275" s="43" t="str">
        <f t="shared" si="3366"/>
        <v/>
      </c>
      <c r="EX275" s="43" t="str">
        <f t="shared" si="3367"/>
        <v/>
      </c>
      <c r="EY275" s="43" t="str">
        <f t="shared" si="3368"/>
        <v/>
      </c>
      <c r="EZ275" s="43" t="str">
        <f t="shared" si="3369"/>
        <v/>
      </c>
      <c r="FA275" s="43" t="str">
        <f t="shared" si="3370"/>
        <v/>
      </c>
      <c r="FB275" s="43" t="str">
        <f t="shared" si="3371"/>
        <v/>
      </c>
      <c r="FC275" s="43" t="str">
        <f t="shared" si="3372"/>
        <v/>
      </c>
      <c r="FD275" s="43" t="str">
        <f t="shared" si="3373"/>
        <v/>
      </c>
      <c r="FE275" s="43" t="str">
        <f t="shared" si="3374"/>
        <v/>
      </c>
      <c r="FF275" s="43" t="str">
        <f t="shared" si="3375"/>
        <v/>
      </c>
      <c r="FG275" s="43" t="str">
        <f t="shared" si="3376"/>
        <v/>
      </c>
      <c r="FH275" s="43" t="str">
        <f t="shared" si="3377"/>
        <v/>
      </c>
      <c r="FI275" s="43" t="str">
        <f t="shared" si="3378"/>
        <v/>
      </c>
      <c r="FJ275" s="43" t="str">
        <f t="shared" si="3379"/>
        <v/>
      </c>
      <c r="FK275" s="43" t="str">
        <f t="shared" si="3380"/>
        <v/>
      </c>
      <c r="FL275" s="43" t="str">
        <f t="shared" si="3381"/>
        <v/>
      </c>
      <c r="FM275" s="43" t="str">
        <f t="shared" si="3382"/>
        <v/>
      </c>
      <c r="FN275" s="43" t="str">
        <f t="shared" si="3383"/>
        <v/>
      </c>
      <c r="FO275" s="43" t="str">
        <f t="shared" si="3384"/>
        <v/>
      </c>
      <c r="FP275" s="43" t="str">
        <f t="shared" si="3385"/>
        <v/>
      </c>
      <c r="FQ275" s="43" t="str">
        <f t="shared" si="3386"/>
        <v/>
      </c>
      <c r="FR275" s="43" t="str">
        <f t="shared" si="3387"/>
        <v/>
      </c>
      <c r="FS275" s="43" t="str">
        <f t="shared" si="3388"/>
        <v/>
      </c>
    </row>
    <row r="276" spans="92:175">
      <c r="CN276" s="12" t="str">
        <f t="shared" si="3313"/>
        <v>InitUnitState('',,,,,,,,,,)</v>
      </c>
      <c r="CO276" s="12" t="str">
        <f t="shared" si="3314"/>
        <v>InitUnitNormal('',,,,,,,,,,)</v>
      </c>
      <c r="CP276" s="12" t="str">
        <f t="shared" si="3315"/>
        <v>InitUnitMagic('',,,,,,,,,,)</v>
      </c>
      <c r="CQ276" s="12" t="str">
        <f t="shared" si="3316"/>
        <v>InitUnitAdd('',,,,,,,,,,)</v>
      </c>
      <c r="CR276" s="12" t="str">
        <f t="shared" si="3317"/>
        <v>InitEquipData('',,"",,,,,'','','','','','',"")</v>
      </c>
      <c r="CU276" s="5" t="str">
        <f t="shared" si="3318"/>
        <v>|n</v>
      </c>
      <c r="CW276" s="6"/>
      <c r="CX276" s="6"/>
      <c r="CY276" s="6"/>
      <c r="CZ276" s="6"/>
      <c r="DA276" s="6"/>
      <c r="DB276" s="43" t="str">
        <f t="shared" si="3319"/>
        <v/>
      </c>
      <c r="DC276" s="43" t="str">
        <f t="shared" si="3320"/>
        <v/>
      </c>
      <c r="DD276" s="43" t="str">
        <f t="shared" si="3321"/>
        <v/>
      </c>
      <c r="DE276" s="43" t="str">
        <f t="shared" si="3322"/>
        <v/>
      </c>
      <c r="DF276" s="43" t="str">
        <f t="shared" si="3323"/>
        <v/>
      </c>
      <c r="DG276" s="43" t="str">
        <f t="shared" si="3324"/>
        <v/>
      </c>
      <c r="DH276" s="43" t="str">
        <f t="shared" si="3325"/>
        <v/>
      </c>
      <c r="DI276" s="43" t="str">
        <f t="shared" si="3326"/>
        <v/>
      </c>
      <c r="DJ276" s="43" t="str">
        <f t="shared" si="3327"/>
        <v/>
      </c>
      <c r="DK276" s="43" t="str">
        <f t="shared" si="3328"/>
        <v/>
      </c>
      <c r="DL276" s="43" t="str">
        <f t="shared" si="3329"/>
        <v/>
      </c>
      <c r="DM276" s="43" t="str">
        <f t="shared" si="3330"/>
        <v/>
      </c>
      <c r="DN276" s="43" t="str">
        <f t="shared" si="3331"/>
        <v/>
      </c>
      <c r="DO276" s="43" t="str">
        <f t="shared" si="3332"/>
        <v/>
      </c>
      <c r="DP276" s="43" t="str">
        <f t="shared" si="3333"/>
        <v/>
      </c>
      <c r="DQ276" s="43" t="str">
        <f t="shared" si="3334"/>
        <v/>
      </c>
      <c r="DR276" s="43" t="str">
        <f t="shared" si="3335"/>
        <v/>
      </c>
      <c r="DS276" s="43" t="str">
        <f t="shared" si="3336"/>
        <v/>
      </c>
      <c r="DT276" s="43" t="str">
        <f t="shared" si="3337"/>
        <v/>
      </c>
      <c r="DU276" s="43" t="str">
        <f t="shared" si="3338"/>
        <v/>
      </c>
      <c r="DV276" s="43" t="str">
        <f t="shared" si="3339"/>
        <v/>
      </c>
      <c r="DW276" s="43" t="str">
        <f t="shared" si="3340"/>
        <v/>
      </c>
      <c r="DX276" s="43" t="str">
        <f t="shared" si="3341"/>
        <v/>
      </c>
      <c r="DY276" s="43" t="str">
        <f t="shared" si="3342"/>
        <v/>
      </c>
      <c r="DZ276" s="43" t="str">
        <f t="shared" si="3343"/>
        <v/>
      </c>
      <c r="EA276" s="43" t="str">
        <f t="shared" si="3344"/>
        <v/>
      </c>
      <c r="EB276" s="43" t="str">
        <f t="shared" si="3345"/>
        <v/>
      </c>
      <c r="EC276" s="43" t="str">
        <f t="shared" si="3346"/>
        <v/>
      </c>
      <c r="ED276" s="43" t="str">
        <f t="shared" si="3347"/>
        <v/>
      </c>
      <c r="EE276" s="43" t="str">
        <f t="shared" si="3348"/>
        <v/>
      </c>
      <c r="EF276" s="43" t="str">
        <f t="shared" si="3349"/>
        <v/>
      </c>
      <c r="EG276" s="43" t="str">
        <f t="shared" si="3350"/>
        <v/>
      </c>
      <c r="EH276" s="43" t="str">
        <f t="shared" si="3351"/>
        <v/>
      </c>
      <c r="EI276" s="43" t="str">
        <f t="shared" si="3352"/>
        <v/>
      </c>
      <c r="EJ276" s="43" t="str">
        <f t="shared" si="3353"/>
        <v/>
      </c>
      <c r="EK276" s="43" t="str">
        <f t="shared" si="3354"/>
        <v/>
      </c>
      <c r="EL276" s="43" t="str">
        <f t="shared" si="3355"/>
        <v/>
      </c>
      <c r="EM276" s="43" t="str">
        <f t="shared" si="3356"/>
        <v/>
      </c>
      <c r="EN276" s="43" t="str">
        <f t="shared" si="3357"/>
        <v/>
      </c>
      <c r="EO276" s="43" t="str">
        <f t="shared" si="3358"/>
        <v/>
      </c>
      <c r="EP276" s="43" t="str">
        <f t="shared" si="3359"/>
        <v/>
      </c>
      <c r="EQ276" s="43" t="str">
        <f t="shared" si="3360"/>
        <v/>
      </c>
      <c r="ER276" s="43" t="str">
        <f t="shared" si="3361"/>
        <v/>
      </c>
      <c r="ES276" s="43" t="str">
        <f t="shared" si="3362"/>
        <v/>
      </c>
      <c r="ET276" s="43" t="str">
        <f t="shared" si="3363"/>
        <v/>
      </c>
      <c r="EU276" s="43" t="str">
        <f t="shared" si="3364"/>
        <v/>
      </c>
      <c r="EV276" s="43" t="str">
        <f t="shared" si="3365"/>
        <v/>
      </c>
      <c r="EW276" s="43" t="str">
        <f t="shared" si="3366"/>
        <v/>
      </c>
      <c r="EX276" s="43" t="str">
        <f t="shared" si="3367"/>
        <v/>
      </c>
      <c r="EY276" s="43" t="str">
        <f t="shared" si="3368"/>
        <v/>
      </c>
      <c r="EZ276" s="43" t="str">
        <f t="shared" si="3369"/>
        <v/>
      </c>
      <c r="FA276" s="43" t="str">
        <f t="shared" si="3370"/>
        <v/>
      </c>
      <c r="FB276" s="43" t="str">
        <f t="shared" si="3371"/>
        <v/>
      </c>
      <c r="FC276" s="43" t="str">
        <f t="shared" si="3372"/>
        <v/>
      </c>
      <c r="FD276" s="43" t="str">
        <f t="shared" si="3373"/>
        <v/>
      </c>
      <c r="FE276" s="43" t="str">
        <f t="shared" si="3374"/>
        <v/>
      </c>
      <c r="FF276" s="43" t="str">
        <f t="shared" si="3375"/>
        <v/>
      </c>
      <c r="FG276" s="43" t="str">
        <f t="shared" si="3376"/>
        <v/>
      </c>
      <c r="FH276" s="43" t="str">
        <f t="shared" si="3377"/>
        <v/>
      </c>
      <c r="FI276" s="43" t="str">
        <f t="shared" si="3378"/>
        <v/>
      </c>
      <c r="FJ276" s="43" t="str">
        <f t="shared" si="3379"/>
        <v/>
      </c>
      <c r="FK276" s="43" t="str">
        <f t="shared" si="3380"/>
        <v/>
      </c>
      <c r="FL276" s="43" t="str">
        <f t="shared" si="3381"/>
        <v/>
      </c>
      <c r="FM276" s="43" t="str">
        <f t="shared" si="3382"/>
        <v/>
      </c>
      <c r="FN276" s="43" t="str">
        <f t="shared" si="3383"/>
        <v/>
      </c>
      <c r="FO276" s="43" t="str">
        <f t="shared" si="3384"/>
        <v/>
      </c>
      <c r="FP276" s="43" t="str">
        <f t="shared" si="3385"/>
        <v/>
      </c>
      <c r="FQ276" s="43" t="str">
        <f t="shared" si="3386"/>
        <v/>
      </c>
      <c r="FR276" s="43" t="str">
        <f t="shared" si="3387"/>
        <v/>
      </c>
      <c r="FS276" s="43" t="str">
        <f t="shared" si="3388"/>
        <v/>
      </c>
    </row>
    <row r="277" spans="92:175">
      <c r="CN277" s="12" t="str">
        <f t="shared" si="3313"/>
        <v>InitUnitState('',,,,,,,,,,)</v>
      </c>
      <c r="CO277" s="12" t="str">
        <f t="shared" si="3314"/>
        <v>InitUnitNormal('',,,,,,,,,,)</v>
      </c>
      <c r="CP277" s="12" t="str">
        <f t="shared" si="3315"/>
        <v>InitUnitMagic('',,,,,,,,,,)</v>
      </c>
      <c r="CQ277" s="12" t="str">
        <f t="shared" si="3316"/>
        <v>InitUnitAdd('',,,,,,,,,,)</v>
      </c>
      <c r="CR277" s="12" t="str">
        <f t="shared" si="3317"/>
        <v>InitEquipData('',,"",,,,,'','','','','','',"")</v>
      </c>
      <c r="CU277" s="5" t="str">
        <f t="shared" si="3318"/>
        <v>|n</v>
      </c>
      <c r="CW277" s="6"/>
      <c r="CX277" s="6"/>
      <c r="CY277" s="6"/>
      <c r="CZ277" s="6"/>
      <c r="DA277" s="6"/>
      <c r="DB277" s="43" t="str">
        <f t="shared" si="3319"/>
        <v/>
      </c>
      <c r="DC277" s="43" t="str">
        <f t="shared" si="3320"/>
        <v/>
      </c>
      <c r="DD277" s="43" t="str">
        <f t="shared" si="3321"/>
        <v/>
      </c>
      <c r="DE277" s="43" t="str">
        <f t="shared" si="3322"/>
        <v/>
      </c>
      <c r="DF277" s="43" t="str">
        <f t="shared" si="3323"/>
        <v/>
      </c>
      <c r="DG277" s="43" t="str">
        <f t="shared" si="3324"/>
        <v/>
      </c>
      <c r="DH277" s="43" t="str">
        <f t="shared" si="3325"/>
        <v/>
      </c>
      <c r="DI277" s="43" t="str">
        <f t="shared" si="3326"/>
        <v/>
      </c>
      <c r="DJ277" s="43" t="str">
        <f t="shared" si="3327"/>
        <v/>
      </c>
      <c r="DK277" s="43" t="str">
        <f t="shared" si="3328"/>
        <v/>
      </c>
      <c r="DL277" s="43" t="str">
        <f t="shared" si="3329"/>
        <v/>
      </c>
      <c r="DM277" s="43" t="str">
        <f t="shared" si="3330"/>
        <v/>
      </c>
      <c r="DN277" s="43" t="str">
        <f t="shared" si="3331"/>
        <v/>
      </c>
      <c r="DO277" s="43" t="str">
        <f t="shared" si="3332"/>
        <v/>
      </c>
      <c r="DP277" s="43" t="str">
        <f t="shared" si="3333"/>
        <v/>
      </c>
      <c r="DQ277" s="43" t="str">
        <f t="shared" si="3334"/>
        <v/>
      </c>
      <c r="DR277" s="43" t="str">
        <f t="shared" si="3335"/>
        <v/>
      </c>
      <c r="DS277" s="43" t="str">
        <f t="shared" si="3336"/>
        <v/>
      </c>
      <c r="DT277" s="43" t="str">
        <f t="shared" si="3337"/>
        <v/>
      </c>
      <c r="DU277" s="43" t="str">
        <f t="shared" si="3338"/>
        <v/>
      </c>
      <c r="DV277" s="43" t="str">
        <f t="shared" si="3339"/>
        <v/>
      </c>
      <c r="DW277" s="43" t="str">
        <f t="shared" si="3340"/>
        <v/>
      </c>
      <c r="DX277" s="43" t="str">
        <f t="shared" si="3341"/>
        <v/>
      </c>
      <c r="DY277" s="43" t="str">
        <f t="shared" si="3342"/>
        <v/>
      </c>
      <c r="DZ277" s="43" t="str">
        <f t="shared" si="3343"/>
        <v/>
      </c>
      <c r="EA277" s="43" t="str">
        <f t="shared" si="3344"/>
        <v/>
      </c>
      <c r="EB277" s="43" t="str">
        <f t="shared" si="3345"/>
        <v/>
      </c>
      <c r="EC277" s="43" t="str">
        <f t="shared" si="3346"/>
        <v/>
      </c>
      <c r="ED277" s="43" t="str">
        <f t="shared" si="3347"/>
        <v/>
      </c>
      <c r="EE277" s="43" t="str">
        <f t="shared" si="3348"/>
        <v/>
      </c>
      <c r="EF277" s="43" t="str">
        <f t="shared" si="3349"/>
        <v/>
      </c>
      <c r="EG277" s="43" t="str">
        <f t="shared" si="3350"/>
        <v/>
      </c>
      <c r="EH277" s="43" t="str">
        <f t="shared" si="3351"/>
        <v/>
      </c>
      <c r="EI277" s="43" t="str">
        <f t="shared" si="3352"/>
        <v/>
      </c>
      <c r="EJ277" s="43" t="str">
        <f t="shared" si="3353"/>
        <v/>
      </c>
      <c r="EK277" s="43" t="str">
        <f t="shared" si="3354"/>
        <v/>
      </c>
      <c r="EL277" s="43" t="str">
        <f t="shared" si="3355"/>
        <v/>
      </c>
      <c r="EM277" s="43" t="str">
        <f t="shared" si="3356"/>
        <v/>
      </c>
      <c r="EN277" s="43" t="str">
        <f t="shared" si="3357"/>
        <v/>
      </c>
      <c r="EO277" s="43" t="str">
        <f t="shared" si="3358"/>
        <v/>
      </c>
      <c r="EP277" s="43" t="str">
        <f t="shared" si="3359"/>
        <v/>
      </c>
      <c r="EQ277" s="43" t="str">
        <f t="shared" si="3360"/>
        <v/>
      </c>
      <c r="ER277" s="43" t="str">
        <f t="shared" si="3361"/>
        <v/>
      </c>
      <c r="ES277" s="43" t="str">
        <f t="shared" si="3362"/>
        <v/>
      </c>
      <c r="ET277" s="43" t="str">
        <f t="shared" si="3363"/>
        <v/>
      </c>
      <c r="EU277" s="43" t="str">
        <f t="shared" si="3364"/>
        <v/>
      </c>
      <c r="EV277" s="43" t="str">
        <f t="shared" si="3365"/>
        <v/>
      </c>
      <c r="EW277" s="43" t="str">
        <f t="shared" si="3366"/>
        <v/>
      </c>
      <c r="EX277" s="43" t="str">
        <f t="shared" si="3367"/>
        <v/>
      </c>
      <c r="EY277" s="43" t="str">
        <f t="shared" si="3368"/>
        <v/>
      </c>
      <c r="EZ277" s="43" t="str">
        <f t="shared" si="3369"/>
        <v/>
      </c>
      <c r="FA277" s="43" t="str">
        <f t="shared" si="3370"/>
        <v/>
      </c>
      <c r="FB277" s="43" t="str">
        <f t="shared" si="3371"/>
        <v/>
      </c>
      <c r="FC277" s="43" t="str">
        <f t="shared" si="3372"/>
        <v/>
      </c>
      <c r="FD277" s="43" t="str">
        <f t="shared" si="3373"/>
        <v/>
      </c>
      <c r="FE277" s="43" t="str">
        <f t="shared" si="3374"/>
        <v/>
      </c>
      <c r="FF277" s="43" t="str">
        <f t="shared" si="3375"/>
        <v/>
      </c>
      <c r="FG277" s="43" t="str">
        <f t="shared" si="3376"/>
        <v/>
      </c>
      <c r="FH277" s="43" t="str">
        <f t="shared" si="3377"/>
        <v/>
      </c>
      <c r="FI277" s="43" t="str">
        <f t="shared" si="3378"/>
        <v/>
      </c>
      <c r="FJ277" s="43" t="str">
        <f t="shared" si="3379"/>
        <v/>
      </c>
      <c r="FK277" s="43" t="str">
        <f t="shared" si="3380"/>
        <v/>
      </c>
      <c r="FL277" s="43" t="str">
        <f t="shared" si="3381"/>
        <v/>
      </c>
      <c r="FM277" s="43" t="str">
        <f t="shared" si="3382"/>
        <v/>
      </c>
      <c r="FN277" s="43" t="str">
        <f t="shared" si="3383"/>
        <v/>
      </c>
      <c r="FO277" s="43" t="str">
        <f t="shared" si="3384"/>
        <v/>
      </c>
      <c r="FP277" s="43" t="str">
        <f t="shared" si="3385"/>
        <v/>
      </c>
      <c r="FQ277" s="43" t="str">
        <f t="shared" si="3386"/>
        <v/>
      </c>
      <c r="FR277" s="43" t="str">
        <f t="shared" si="3387"/>
        <v/>
      </c>
      <c r="FS277" s="43" t="str">
        <f t="shared" si="3388"/>
        <v/>
      </c>
    </row>
    <row r="278" spans="92:175">
      <c r="CN278" s="12" t="str">
        <f t="shared" si="3313"/>
        <v>InitUnitState('',,,,,,,,,,)</v>
      </c>
      <c r="CO278" s="12" t="str">
        <f t="shared" si="3314"/>
        <v>InitUnitNormal('',,,,,,,,,,)</v>
      </c>
      <c r="CP278" s="12" t="str">
        <f t="shared" si="3315"/>
        <v>InitUnitMagic('',,,,,,,,,,)</v>
      </c>
      <c r="CQ278" s="12" t="str">
        <f t="shared" si="3316"/>
        <v>InitUnitAdd('',,,,,,,,,,)</v>
      </c>
      <c r="CR278" s="12" t="str">
        <f t="shared" si="3317"/>
        <v>InitEquipData('',,"",,,,,'','','','','','',"")</v>
      </c>
      <c r="CU278" s="5" t="str">
        <f t="shared" ref="CU278:CU316" si="3389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W278" s="6"/>
      <c r="CX278" s="6"/>
      <c r="CY278" s="6"/>
      <c r="CZ278" s="6"/>
      <c r="DA278" s="6"/>
      <c r="DB278" s="43" t="str">
        <f t="shared" si="3319"/>
        <v/>
      </c>
      <c r="DC278" s="43" t="str">
        <f t="shared" si="3320"/>
        <v/>
      </c>
      <c r="DD278" s="43" t="str">
        <f t="shared" si="3321"/>
        <v/>
      </c>
      <c r="DE278" s="43" t="str">
        <f t="shared" si="3322"/>
        <v/>
      </c>
      <c r="DF278" s="43" t="str">
        <f t="shared" si="3323"/>
        <v/>
      </c>
      <c r="DG278" s="43" t="str">
        <f t="shared" si="3324"/>
        <v/>
      </c>
      <c r="DH278" s="43" t="str">
        <f t="shared" si="3325"/>
        <v/>
      </c>
      <c r="DI278" s="43" t="str">
        <f t="shared" si="3326"/>
        <v/>
      </c>
      <c r="DJ278" s="43" t="str">
        <f t="shared" si="3327"/>
        <v/>
      </c>
      <c r="DK278" s="43" t="str">
        <f t="shared" si="3328"/>
        <v/>
      </c>
      <c r="DL278" s="43" t="str">
        <f t="shared" si="3329"/>
        <v/>
      </c>
      <c r="DM278" s="43" t="str">
        <f t="shared" si="3330"/>
        <v/>
      </c>
      <c r="DN278" s="43" t="str">
        <f t="shared" si="3331"/>
        <v/>
      </c>
      <c r="DO278" s="43" t="str">
        <f t="shared" si="3332"/>
        <v/>
      </c>
      <c r="DP278" s="43" t="str">
        <f t="shared" si="3333"/>
        <v/>
      </c>
      <c r="DQ278" s="43" t="str">
        <f t="shared" si="3334"/>
        <v/>
      </c>
      <c r="DR278" s="43" t="str">
        <f t="shared" si="3335"/>
        <v/>
      </c>
      <c r="DS278" s="43" t="str">
        <f t="shared" si="3336"/>
        <v/>
      </c>
      <c r="DT278" s="43" t="str">
        <f t="shared" si="3337"/>
        <v/>
      </c>
      <c r="DU278" s="43" t="str">
        <f t="shared" si="3338"/>
        <v/>
      </c>
      <c r="DV278" s="43" t="str">
        <f t="shared" si="3339"/>
        <v/>
      </c>
      <c r="DW278" s="43" t="str">
        <f t="shared" si="3340"/>
        <v/>
      </c>
      <c r="DX278" s="43" t="str">
        <f t="shared" si="3341"/>
        <v/>
      </c>
      <c r="DY278" s="43" t="str">
        <f t="shared" si="3342"/>
        <v/>
      </c>
      <c r="DZ278" s="43" t="str">
        <f t="shared" si="3343"/>
        <v/>
      </c>
      <c r="EA278" s="43" t="str">
        <f t="shared" si="3344"/>
        <v/>
      </c>
      <c r="EB278" s="43" t="str">
        <f t="shared" si="3345"/>
        <v/>
      </c>
      <c r="EC278" s="43" t="str">
        <f t="shared" si="3346"/>
        <v/>
      </c>
      <c r="ED278" s="43" t="str">
        <f t="shared" si="3347"/>
        <v/>
      </c>
      <c r="EE278" s="43" t="str">
        <f t="shared" si="3348"/>
        <v/>
      </c>
      <c r="EF278" s="43" t="str">
        <f t="shared" si="3349"/>
        <v/>
      </c>
      <c r="EG278" s="43" t="str">
        <f t="shared" si="3350"/>
        <v/>
      </c>
      <c r="EH278" s="43" t="str">
        <f t="shared" si="3351"/>
        <v/>
      </c>
      <c r="EI278" s="43" t="str">
        <f t="shared" si="3352"/>
        <v/>
      </c>
      <c r="EJ278" s="43" t="str">
        <f t="shared" si="3353"/>
        <v/>
      </c>
      <c r="EK278" s="43" t="str">
        <f t="shared" si="3354"/>
        <v/>
      </c>
      <c r="EL278" s="43" t="str">
        <f t="shared" si="3355"/>
        <v/>
      </c>
      <c r="EM278" s="43" t="str">
        <f t="shared" si="3356"/>
        <v/>
      </c>
      <c r="EN278" s="43" t="str">
        <f t="shared" si="3357"/>
        <v/>
      </c>
      <c r="EO278" s="43" t="str">
        <f t="shared" si="3358"/>
        <v/>
      </c>
      <c r="EP278" s="43" t="str">
        <f t="shared" si="3359"/>
        <v/>
      </c>
      <c r="EQ278" s="43" t="str">
        <f t="shared" si="3360"/>
        <v/>
      </c>
      <c r="ER278" s="43" t="str">
        <f t="shared" si="3361"/>
        <v/>
      </c>
      <c r="ES278" s="43" t="str">
        <f t="shared" si="3362"/>
        <v/>
      </c>
      <c r="ET278" s="43" t="str">
        <f t="shared" si="3363"/>
        <v/>
      </c>
      <c r="EU278" s="43" t="str">
        <f t="shared" si="3364"/>
        <v/>
      </c>
      <c r="EV278" s="43" t="str">
        <f t="shared" si="3365"/>
        <v/>
      </c>
      <c r="EW278" s="43" t="str">
        <f t="shared" si="3366"/>
        <v/>
      </c>
      <c r="EX278" s="43" t="str">
        <f t="shared" si="3367"/>
        <v/>
      </c>
      <c r="EY278" s="43" t="str">
        <f t="shared" si="3368"/>
        <v/>
      </c>
      <c r="EZ278" s="43" t="str">
        <f t="shared" si="3369"/>
        <v/>
      </c>
      <c r="FA278" s="43" t="str">
        <f t="shared" si="3370"/>
        <v/>
      </c>
      <c r="FB278" s="43" t="str">
        <f t="shared" si="3371"/>
        <v/>
      </c>
      <c r="FC278" s="43" t="str">
        <f t="shared" si="3372"/>
        <v/>
      </c>
      <c r="FD278" s="43" t="str">
        <f t="shared" si="3373"/>
        <v/>
      </c>
      <c r="FE278" s="43" t="str">
        <f t="shared" si="3374"/>
        <v/>
      </c>
      <c r="FF278" s="43" t="str">
        <f t="shared" si="3375"/>
        <v/>
      </c>
      <c r="FG278" s="43" t="str">
        <f t="shared" si="3376"/>
        <v/>
      </c>
      <c r="FH278" s="43" t="str">
        <f t="shared" si="3377"/>
        <v/>
      </c>
      <c r="FI278" s="43" t="str">
        <f t="shared" si="3378"/>
        <v/>
      </c>
      <c r="FJ278" s="43" t="str">
        <f t="shared" si="3379"/>
        <v/>
      </c>
      <c r="FK278" s="43" t="str">
        <f t="shared" si="3380"/>
        <v/>
      </c>
      <c r="FL278" s="43" t="str">
        <f t="shared" si="3381"/>
        <v/>
      </c>
      <c r="FM278" s="43" t="str">
        <f t="shared" si="3382"/>
        <v/>
      </c>
      <c r="FN278" s="43" t="str">
        <f t="shared" si="3383"/>
        <v/>
      </c>
      <c r="FO278" s="43" t="str">
        <f t="shared" si="3384"/>
        <v/>
      </c>
      <c r="FP278" s="43" t="str">
        <f t="shared" si="3385"/>
        <v/>
      </c>
      <c r="FQ278" s="43" t="str">
        <f t="shared" si="3386"/>
        <v/>
      </c>
      <c r="FR278" s="43" t="str">
        <f t="shared" si="3387"/>
        <v/>
      </c>
      <c r="FS278" s="43" t="str">
        <f t="shared" si="3388"/>
        <v/>
      </c>
    </row>
    <row r="279" spans="92:175">
      <c r="CN279" s="12" t="str">
        <f t="shared" si="3313"/>
        <v>InitUnitState('',,,,,,,,,,)</v>
      </c>
      <c r="CO279" s="12" t="str">
        <f t="shared" si="3314"/>
        <v>InitUnitNormal('',,,,,,,,,,)</v>
      </c>
      <c r="CP279" s="12" t="str">
        <f t="shared" si="3315"/>
        <v>InitUnitMagic('',,,,,,,,,,)</v>
      </c>
      <c r="CQ279" s="12" t="str">
        <f t="shared" si="3316"/>
        <v>InitUnitAdd('',,,,,,,,,,)</v>
      </c>
      <c r="CR279" s="12" t="str">
        <f t="shared" si="3317"/>
        <v>InitEquipData('',,"",,,,,'','','','','','',"")</v>
      </c>
      <c r="CU279" s="5" t="str">
        <f t="shared" si="3389"/>
        <v>|n</v>
      </c>
      <c r="CW279" s="6"/>
      <c r="CX279" s="6"/>
      <c r="CY279" s="6"/>
      <c r="CZ279" s="6"/>
      <c r="DA279" s="6"/>
      <c r="DB279" s="43" t="str">
        <f t="shared" si="3319"/>
        <v/>
      </c>
      <c r="DC279" s="43" t="str">
        <f t="shared" si="3320"/>
        <v/>
      </c>
      <c r="DD279" s="43" t="str">
        <f t="shared" si="3321"/>
        <v/>
      </c>
      <c r="DE279" s="43" t="str">
        <f t="shared" si="3322"/>
        <v/>
      </c>
      <c r="DF279" s="43" t="str">
        <f t="shared" si="3323"/>
        <v/>
      </c>
      <c r="DG279" s="43" t="str">
        <f t="shared" si="3324"/>
        <v/>
      </c>
      <c r="DH279" s="43" t="str">
        <f t="shared" si="3325"/>
        <v/>
      </c>
      <c r="DI279" s="43" t="str">
        <f t="shared" si="3326"/>
        <v/>
      </c>
      <c r="DJ279" s="43" t="str">
        <f t="shared" si="3327"/>
        <v/>
      </c>
      <c r="DK279" s="43" t="str">
        <f t="shared" si="3328"/>
        <v/>
      </c>
      <c r="DL279" s="43" t="str">
        <f t="shared" si="3329"/>
        <v/>
      </c>
      <c r="DM279" s="43" t="str">
        <f t="shared" si="3330"/>
        <v/>
      </c>
      <c r="DN279" s="43" t="str">
        <f t="shared" si="3331"/>
        <v/>
      </c>
      <c r="DO279" s="43" t="str">
        <f t="shared" si="3332"/>
        <v/>
      </c>
      <c r="DP279" s="43" t="str">
        <f t="shared" si="3333"/>
        <v/>
      </c>
      <c r="DQ279" s="43" t="str">
        <f t="shared" si="3334"/>
        <v/>
      </c>
      <c r="DR279" s="43" t="str">
        <f t="shared" si="3335"/>
        <v/>
      </c>
      <c r="DS279" s="43" t="str">
        <f t="shared" si="3336"/>
        <v/>
      </c>
      <c r="DT279" s="43" t="str">
        <f t="shared" si="3337"/>
        <v/>
      </c>
      <c r="DU279" s="43" t="str">
        <f t="shared" si="3338"/>
        <v/>
      </c>
      <c r="DV279" s="43" t="str">
        <f t="shared" si="3339"/>
        <v/>
      </c>
      <c r="DW279" s="43" t="str">
        <f t="shared" si="3340"/>
        <v/>
      </c>
      <c r="DX279" s="43" t="str">
        <f t="shared" si="3341"/>
        <v/>
      </c>
      <c r="DY279" s="43" t="str">
        <f t="shared" si="3342"/>
        <v/>
      </c>
      <c r="DZ279" s="43" t="str">
        <f t="shared" si="3343"/>
        <v/>
      </c>
      <c r="EA279" s="43" t="str">
        <f t="shared" si="3344"/>
        <v/>
      </c>
      <c r="EB279" s="43" t="str">
        <f t="shared" si="3345"/>
        <v/>
      </c>
      <c r="EC279" s="43" t="str">
        <f t="shared" si="3346"/>
        <v/>
      </c>
      <c r="ED279" s="43" t="str">
        <f t="shared" si="3347"/>
        <v/>
      </c>
      <c r="EE279" s="43" t="str">
        <f t="shared" si="3348"/>
        <v/>
      </c>
      <c r="EF279" s="43" t="str">
        <f t="shared" si="3349"/>
        <v/>
      </c>
      <c r="EG279" s="43" t="str">
        <f t="shared" si="3350"/>
        <v/>
      </c>
      <c r="EH279" s="43" t="str">
        <f t="shared" si="3351"/>
        <v/>
      </c>
      <c r="EI279" s="43" t="str">
        <f t="shared" si="3352"/>
        <v/>
      </c>
      <c r="EJ279" s="43" t="str">
        <f t="shared" si="3353"/>
        <v/>
      </c>
      <c r="EK279" s="43" t="str">
        <f t="shared" si="3354"/>
        <v/>
      </c>
      <c r="EL279" s="43" t="str">
        <f t="shared" si="3355"/>
        <v/>
      </c>
      <c r="EM279" s="43" t="str">
        <f t="shared" si="3356"/>
        <v/>
      </c>
      <c r="EN279" s="43" t="str">
        <f t="shared" si="3357"/>
        <v/>
      </c>
      <c r="EO279" s="43" t="str">
        <f t="shared" si="3358"/>
        <v/>
      </c>
      <c r="EP279" s="43" t="str">
        <f t="shared" si="3359"/>
        <v/>
      </c>
      <c r="EQ279" s="43" t="str">
        <f t="shared" si="3360"/>
        <v/>
      </c>
      <c r="ER279" s="43" t="str">
        <f t="shared" si="3361"/>
        <v/>
      </c>
      <c r="ES279" s="43" t="str">
        <f t="shared" si="3362"/>
        <v/>
      </c>
      <c r="ET279" s="43" t="str">
        <f t="shared" si="3363"/>
        <v/>
      </c>
      <c r="EU279" s="43" t="str">
        <f t="shared" si="3364"/>
        <v/>
      </c>
      <c r="EV279" s="43" t="str">
        <f t="shared" si="3365"/>
        <v/>
      </c>
      <c r="EW279" s="43" t="str">
        <f t="shared" si="3366"/>
        <v/>
      </c>
      <c r="EX279" s="43" t="str">
        <f t="shared" si="3367"/>
        <v/>
      </c>
      <c r="EY279" s="43" t="str">
        <f t="shared" si="3368"/>
        <v/>
      </c>
      <c r="EZ279" s="43" t="str">
        <f t="shared" si="3369"/>
        <v/>
      </c>
      <c r="FA279" s="43" t="str">
        <f t="shared" si="3370"/>
        <v/>
      </c>
      <c r="FB279" s="43" t="str">
        <f t="shared" si="3371"/>
        <v/>
      </c>
      <c r="FC279" s="43" t="str">
        <f t="shared" si="3372"/>
        <v/>
      </c>
      <c r="FD279" s="43" t="str">
        <f t="shared" si="3373"/>
        <v/>
      </c>
      <c r="FE279" s="43" t="str">
        <f t="shared" si="3374"/>
        <v/>
      </c>
      <c r="FF279" s="43" t="str">
        <f t="shared" si="3375"/>
        <v/>
      </c>
      <c r="FG279" s="43" t="str">
        <f t="shared" si="3376"/>
        <v/>
      </c>
      <c r="FH279" s="43" t="str">
        <f t="shared" si="3377"/>
        <v/>
      </c>
      <c r="FI279" s="43" t="str">
        <f t="shared" si="3378"/>
        <v/>
      </c>
      <c r="FJ279" s="43" t="str">
        <f t="shared" si="3379"/>
        <v/>
      </c>
      <c r="FK279" s="43" t="str">
        <f t="shared" si="3380"/>
        <v/>
      </c>
      <c r="FL279" s="43" t="str">
        <f t="shared" si="3381"/>
        <v/>
      </c>
      <c r="FM279" s="43" t="str">
        <f t="shared" si="3382"/>
        <v/>
      </c>
      <c r="FN279" s="43" t="str">
        <f t="shared" si="3383"/>
        <v/>
      </c>
      <c r="FO279" s="43" t="str">
        <f t="shared" si="3384"/>
        <v/>
      </c>
      <c r="FP279" s="43" t="str">
        <f t="shared" si="3385"/>
        <v/>
      </c>
      <c r="FQ279" s="43" t="str">
        <f t="shared" si="3386"/>
        <v/>
      </c>
      <c r="FR279" s="43" t="str">
        <f t="shared" si="3387"/>
        <v/>
      </c>
      <c r="FS279" s="43" t="str">
        <f t="shared" si="3388"/>
        <v/>
      </c>
    </row>
    <row r="280" spans="92:175">
      <c r="CN280" s="12" t="str">
        <f t="shared" si="3313"/>
        <v>InitUnitState('',,,,,,,,,,)</v>
      </c>
      <c r="CO280" s="12" t="str">
        <f t="shared" si="3314"/>
        <v>InitUnitNormal('',,,,,,,,,,)</v>
      </c>
      <c r="CP280" s="12" t="str">
        <f t="shared" si="3315"/>
        <v>InitUnitMagic('',,,,,,,,,,)</v>
      </c>
      <c r="CQ280" s="12" t="str">
        <f t="shared" si="3316"/>
        <v>InitUnitAdd('',,,,,,,,,,)</v>
      </c>
      <c r="CR280" s="12" t="str">
        <f t="shared" si="3317"/>
        <v>InitEquipData('',,"",,,,,'','','','','','',"")</v>
      </c>
      <c r="CU280" s="5" t="str">
        <f t="shared" si="3389"/>
        <v>|n</v>
      </c>
      <c r="CW280" s="6"/>
      <c r="CX280" s="6"/>
      <c r="CY280" s="6"/>
      <c r="CZ280" s="6"/>
      <c r="DA280" s="6"/>
      <c r="DB280" s="43" t="str">
        <f t="shared" si="3319"/>
        <v/>
      </c>
      <c r="DC280" s="43" t="str">
        <f t="shared" si="3320"/>
        <v/>
      </c>
      <c r="DD280" s="43" t="str">
        <f t="shared" si="3321"/>
        <v/>
      </c>
      <c r="DE280" s="43" t="str">
        <f t="shared" si="3322"/>
        <v/>
      </c>
      <c r="DF280" s="43" t="str">
        <f t="shared" si="3323"/>
        <v/>
      </c>
      <c r="DG280" s="43" t="str">
        <f t="shared" si="3324"/>
        <v/>
      </c>
      <c r="DH280" s="43" t="str">
        <f t="shared" si="3325"/>
        <v/>
      </c>
      <c r="DI280" s="43" t="str">
        <f t="shared" si="3326"/>
        <v/>
      </c>
      <c r="DJ280" s="43" t="str">
        <f t="shared" si="3327"/>
        <v/>
      </c>
      <c r="DK280" s="43" t="str">
        <f t="shared" si="3328"/>
        <v/>
      </c>
      <c r="DL280" s="43" t="str">
        <f t="shared" si="3329"/>
        <v/>
      </c>
      <c r="DM280" s="43" t="str">
        <f t="shared" si="3330"/>
        <v/>
      </c>
      <c r="DN280" s="43" t="str">
        <f t="shared" si="3331"/>
        <v/>
      </c>
      <c r="DO280" s="43" t="str">
        <f t="shared" si="3332"/>
        <v/>
      </c>
      <c r="DP280" s="43" t="str">
        <f t="shared" si="3333"/>
        <v/>
      </c>
      <c r="DQ280" s="43" t="str">
        <f t="shared" si="3334"/>
        <v/>
      </c>
      <c r="DR280" s="43" t="str">
        <f t="shared" si="3335"/>
        <v/>
      </c>
      <c r="DS280" s="43" t="str">
        <f t="shared" si="3336"/>
        <v/>
      </c>
      <c r="DT280" s="43" t="str">
        <f t="shared" si="3337"/>
        <v/>
      </c>
      <c r="DU280" s="43" t="str">
        <f t="shared" si="3338"/>
        <v/>
      </c>
      <c r="DV280" s="43" t="str">
        <f t="shared" si="3339"/>
        <v/>
      </c>
      <c r="DW280" s="43" t="str">
        <f t="shared" si="3340"/>
        <v/>
      </c>
      <c r="DX280" s="43" t="str">
        <f t="shared" si="3341"/>
        <v/>
      </c>
      <c r="DY280" s="43" t="str">
        <f t="shared" si="3342"/>
        <v/>
      </c>
      <c r="DZ280" s="43" t="str">
        <f t="shared" si="3343"/>
        <v/>
      </c>
      <c r="EA280" s="43" t="str">
        <f t="shared" si="3344"/>
        <v/>
      </c>
      <c r="EB280" s="43" t="str">
        <f t="shared" si="3345"/>
        <v/>
      </c>
      <c r="EC280" s="43" t="str">
        <f t="shared" si="3346"/>
        <v/>
      </c>
      <c r="ED280" s="43" t="str">
        <f t="shared" si="3347"/>
        <v/>
      </c>
      <c r="EE280" s="43" t="str">
        <f t="shared" si="3348"/>
        <v/>
      </c>
      <c r="EF280" s="43" t="str">
        <f t="shared" si="3349"/>
        <v/>
      </c>
      <c r="EG280" s="43" t="str">
        <f t="shared" si="3350"/>
        <v/>
      </c>
      <c r="EH280" s="43" t="str">
        <f t="shared" si="3351"/>
        <v/>
      </c>
      <c r="EI280" s="43" t="str">
        <f t="shared" si="3352"/>
        <v/>
      </c>
      <c r="EJ280" s="43" t="str">
        <f t="shared" si="3353"/>
        <v/>
      </c>
      <c r="EK280" s="43" t="str">
        <f t="shared" si="3354"/>
        <v/>
      </c>
      <c r="EL280" s="43" t="str">
        <f t="shared" si="3355"/>
        <v/>
      </c>
      <c r="EM280" s="43" t="str">
        <f t="shared" si="3356"/>
        <v/>
      </c>
      <c r="EN280" s="43" t="str">
        <f t="shared" si="3357"/>
        <v/>
      </c>
      <c r="EO280" s="43" t="str">
        <f t="shared" si="3358"/>
        <v/>
      </c>
      <c r="EP280" s="43" t="str">
        <f t="shared" si="3359"/>
        <v/>
      </c>
      <c r="EQ280" s="43" t="str">
        <f t="shared" si="3360"/>
        <v/>
      </c>
      <c r="ER280" s="43" t="str">
        <f t="shared" si="3361"/>
        <v/>
      </c>
      <c r="ES280" s="43" t="str">
        <f t="shared" si="3362"/>
        <v/>
      </c>
      <c r="ET280" s="43" t="str">
        <f t="shared" si="3363"/>
        <v/>
      </c>
      <c r="EU280" s="43" t="str">
        <f t="shared" si="3364"/>
        <v/>
      </c>
      <c r="EV280" s="43" t="str">
        <f t="shared" si="3365"/>
        <v/>
      </c>
      <c r="EW280" s="43" t="str">
        <f t="shared" si="3366"/>
        <v/>
      </c>
      <c r="EX280" s="43" t="str">
        <f t="shared" si="3367"/>
        <v/>
      </c>
      <c r="EY280" s="43" t="str">
        <f t="shared" si="3368"/>
        <v/>
      </c>
      <c r="EZ280" s="43" t="str">
        <f t="shared" si="3369"/>
        <v/>
      </c>
      <c r="FA280" s="43" t="str">
        <f t="shared" si="3370"/>
        <v/>
      </c>
      <c r="FB280" s="43" t="str">
        <f t="shared" si="3371"/>
        <v/>
      </c>
      <c r="FC280" s="43" t="str">
        <f t="shared" si="3372"/>
        <v/>
      </c>
      <c r="FD280" s="43" t="str">
        <f t="shared" si="3373"/>
        <v/>
      </c>
      <c r="FE280" s="43" t="str">
        <f t="shared" si="3374"/>
        <v/>
      </c>
      <c r="FF280" s="43" t="str">
        <f t="shared" si="3375"/>
        <v/>
      </c>
      <c r="FG280" s="43" t="str">
        <f t="shared" si="3376"/>
        <v/>
      </c>
      <c r="FH280" s="43" t="str">
        <f t="shared" si="3377"/>
        <v/>
      </c>
      <c r="FI280" s="43" t="str">
        <f t="shared" si="3378"/>
        <v/>
      </c>
      <c r="FJ280" s="43" t="str">
        <f t="shared" si="3379"/>
        <v/>
      </c>
      <c r="FK280" s="43" t="str">
        <f t="shared" si="3380"/>
        <v/>
      </c>
      <c r="FL280" s="43" t="str">
        <f t="shared" si="3381"/>
        <v/>
      </c>
      <c r="FM280" s="43" t="str">
        <f t="shared" si="3382"/>
        <v/>
      </c>
      <c r="FN280" s="43" t="str">
        <f t="shared" si="3383"/>
        <v/>
      </c>
      <c r="FO280" s="43" t="str">
        <f t="shared" si="3384"/>
        <v/>
      </c>
      <c r="FP280" s="43" t="str">
        <f t="shared" si="3385"/>
        <v/>
      </c>
      <c r="FQ280" s="43" t="str">
        <f t="shared" si="3386"/>
        <v/>
      </c>
      <c r="FR280" s="43" t="str">
        <f t="shared" si="3387"/>
        <v/>
      </c>
      <c r="FS280" s="43" t="str">
        <f t="shared" si="3388"/>
        <v/>
      </c>
    </row>
    <row r="281" spans="92:175">
      <c r="CN281" s="12" t="str">
        <f t="shared" si="3313"/>
        <v>InitUnitState('',,,,,,,,,,)</v>
      </c>
      <c r="CO281" s="12" t="str">
        <f t="shared" si="3314"/>
        <v>InitUnitNormal('',,,,,,,,,,)</v>
      </c>
      <c r="CP281" s="12" t="str">
        <f t="shared" si="3315"/>
        <v>InitUnitMagic('',,,,,,,,,,)</v>
      </c>
      <c r="CQ281" s="12" t="str">
        <f t="shared" si="3316"/>
        <v>InitUnitAdd('',,,,,,,,,,)</v>
      </c>
      <c r="CR281" s="12" t="str">
        <f t="shared" si="3317"/>
        <v>InitEquipData('',,"",,,,,'','','','','','',"")</v>
      </c>
      <c r="CU281" s="5" t="str">
        <f t="shared" si="3389"/>
        <v>|n</v>
      </c>
      <c r="CW281" s="6"/>
      <c r="CX281" s="6"/>
      <c r="CY281" s="6"/>
      <c r="CZ281" s="6"/>
      <c r="DA281" s="6"/>
      <c r="DB281" s="43" t="str">
        <f t="shared" si="3319"/>
        <v/>
      </c>
      <c r="DC281" s="43" t="str">
        <f t="shared" si="3320"/>
        <v/>
      </c>
      <c r="DD281" s="43" t="str">
        <f t="shared" si="3321"/>
        <v/>
      </c>
      <c r="DE281" s="43" t="str">
        <f t="shared" si="3322"/>
        <v/>
      </c>
      <c r="DF281" s="43" t="str">
        <f t="shared" si="3323"/>
        <v/>
      </c>
      <c r="DG281" s="43" t="str">
        <f t="shared" si="3324"/>
        <v/>
      </c>
      <c r="DH281" s="43" t="str">
        <f t="shared" si="3325"/>
        <v/>
      </c>
      <c r="DI281" s="43" t="str">
        <f t="shared" si="3326"/>
        <v/>
      </c>
      <c r="DJ281" s="43" t="str">
        <f t="shared" si="3327"/>
        <v/>
      </c>
      <c r="DK281" s="43" t="str">
        <f t="shared" si="3328"/>
        <v/>
      </c>
      <c r="DL281" s="43" t="str">
        <f t="shared" si="3329"/>
        <v/>
      </c>
      <c r="DM281" s="43" t="str">
        <f t="shared" si="3330"/>
        <v/>
      </c>
      <c r="DN281" s="43" t="str">
        <f t="shared" si="3331"/>
        <v/>
      </c>
      <c r="DO281" s="43" t="str">
        <f t="shared" si="3332"/>
        <v/>
      </c>
      <c r="DP281" s="43" t="str">
        <f t="shared" si="3333"/>
        <v/>
      </c>
      <c r="DQ281" s="43" t="str">
        <f t="shared" si="3334"/>
        <v/>
      </c>
      <c r="DR281" s="43" t="str">
        <f t="shared" si="3335"/>
        <v/>
      </c>
      <c r="DS281" s="43" t="str">
        <f t="shared" si="3336"/>
        <v/>
      </c>
      <c r="DT281" s="43" t="str">
        <f t="shared" si="3337"/>
        <v/>
      </c>
      <c r="DU281" s="43" t="str">
        <f t="shared" si="3338"/>
        <v/>
      </c>
      <c r="DV281" s="43" t="str">
        <f t="shared" si="3339"/>
        <v/>
      </c>
      <c r="DW281" s="43" t="str">
        <f t="shared" si="3340"/>
        <v/>
      </c>
      <c r="DX281" s="43" t="str">
        <f t="shared" si="3341"/>
        <v/>
      </c>
      <c r="DY281" s="43" t="str">
        <f t="shared" si="3342"/>
        <v/>
      </c>
      <c r="DZ281" s="43" t="str">
        <f t="shared" si="3343"/>
        <v/>
      </c>
      <c r="EA281" s="43" t="str">
        <f t="shared" si="3344"/>
        <v/>
      </c>
      <c r="EB281" s="43" t="str">
        <f t="shared" si="3345"/>
        <v/>
      </c>
      <c r="EC281" s="43" t="str">
        <f t="shared" si="3346"/>
        <v/>
      </c>
      <c r="ED281" s="43" t="str">
        <f t="shared" si="3347"/>
        <v/>
      </c>
      <c r="EE281" s="43" t="str">
        <f t="shared" si="3348"/>
        <v/>
      </c>
      <c r="EF281" s="43" t="str">
        <f t="shared" si="3349"/>
        <v/>
      </c>
      <c r="EG281" s="43" t="str">
        <f t="shared" si="3350"/>
        <v/>
      </c>
      <c r="EH281" s="43" t="str">
        <f t="shared" si="3351"/>
        <v/>
      </c>
      <c r="EI281" s="43" t="str">
        <f t="shared" si="3352"/>
        <v/>
      </c>
      <c r="EJ281" s="43" t="str">
        <f t="shared" si="3353"/>
        <v/>
      </c>
      <c r="EK281" s="43" t="str">
        <f t="shared" si="3354"/>
        <v/>
      </c>
      <c r="EL281" s="43" t="str">
        <f t="shared" si="3355"/>
        <v/>
      </c>
      <c r="EM281" s="43" t="str">
        <f t="shared" si="3356"/>
        <v/>
      </c>
      <c r="EN281" s="43" t="str">
        <f t="shared" si="3357"/>
        <v/>
      </c>
      <c r="EO281" s="43" t="str">
        <f t="shared" si="3358"/>
        <v/>
      </c>
      <c r="EP281" s="43" t="str">
        <f t="shared" si="3359"/>
        <v/>
      </c>
      <c r="EQ281" s="43" t="str">
        <f t="shared" si="3360"/>
        <v/>
      </c>
      <c r="ER281" s="43" t="str">
        <f t="shared" si="3361"/>
        <v/>
      </c>
      <c r="ES281" s="43" t="str">
        <f t="shared" si="3362"/>
        <v/>
      </c>
      <c r="ET281" s="43" t="str">
        <f t="shared" si="3363"/>
        <v/>
      </c>
      <c r="EU281" s="43" t="str">
        <f t="shared" si="3364"/>
        <v/>
      </c>
      <c r="EV281" s="43" t="str">
        <f t="shared" si="3365"/>
        <v/>
      </c>
      <c r="EW281" s="43" t="str">
        <f t="shared" si="3366"/>
        <v/>
      </c>
      <c r="EX281" s="43" t="str">
        <f t="shared" si="3367"/>
        <v/>
      </c>
      <c r="EY281" s="43" t="str">
        <f t="shared" si="3368"/>
        <v/>
      </c>
      <c r="EZ281" s="43" t="str">
        <f t="shared" si="3369"/>
        <v/>
      </c>
      <c r="FA281" s="43" t="str">
        <f t="shared" si="3370"/>
        <v/>
      </c>
      <c r="FB281" s="43" t="str">
        <f t="shared" si="3371"/>
        <v/>
      </c>
      <c r="FC281" s="43" t="str">
        <f t="shared" si="3372"/>
        <v/>
      </c>
      <c r="FD281" s="43" t="str">
        <f t="shared" si="3373"/>
        <v/>
      </c>
      <c r="FE281" s="43" t="str">
        <f t="shared" si="3374"/>
        <v/>
      </c>
      <c r="FF281" s="43" t="str">
        <f t="shared" si="3375"/>
        <v/>
      </c>
      <c r="FG281" s="43" t="str">
        <f t="shared" si="3376"/>
        <v/>
      </c>
      <c r="FH281" s="43" t="str">
        <f t="shared" si="3377"/>
        <v/>
      </c>
      <c r="FI281" s="43" t="str">
        <f t="shared" si="3378"/>
        <v/>
      </c>
      <c r="FJ281" s="43" t="str">
        <f t="shared" si="3379"/>
        <v/>
      </c>
      <c r="FK281" s="43" t="str">
        <f t="shared" si="3380"/>
        <v/>
      </c>
      <c r="FL281" s="43" t="str">
        <f t="shared" si="3381"/>
        <v/>
      </c>
      <c r="FM281" s="43" t="str">
        <f t="shared" si="3382"/>
        <v/>
      </c>
      <c r="FN281" s="43" t="str">
        <f t="shared" si="3383"/>
        <v/>
      </c>
      <c r="FO281" s="43" t="str">
        <f t="shared" si="3384"/>
        <v/>
      </c>
      <c r="FP281" s="43" t="str">
        <f t="shared" si="3385"/>
        <v/>
      </c>
      <c r="FQ281" s="43" t="str">
        <f t="shared" si="3386"/>
        <v/>
      </c>
      <c r="FR281" s="43" t="str">
        <f t="shared" si="3387"/>
        <v/>
      </c>
      <c r="FS281" s="43" t="str">
        <f t="shared" si="3388"/>
        <v/>
      </c>
    </row>
    <row r="282" spans="92:175">
      <c r="CN282" s="12" t="str">
        <f t="shared" si="3313"/>
        <v>InitUnitState('',,,,,,,,,,)</v>
      </c>
      <c r="CO282" s="12" t="str">
        <f t="shared" si="3314"/>
        <v>InitUnitNormal('',,,,,,,,,,)</v>
      </c>
      <c r="CP282" s="12" t="str">
        <f t="shared" si="3315"/>
        <v>InitUnitMagic('',,,,,,,,,,)</v>
      </c>
      <c r="CQ282" s="12" t="str">
        <f t="shared" si="3316"/>
        <v>InitUnitAdd('',,,,,,,,,,)</v>
      </c>
      <c r="CR282" s="12" t="str">
        <f t="shared" si="3317"/>
        <v>InitEquipData('',,"",,,,,'','','','','','',"")</v>
      </c>
      <c r="CU282" s="5" t="str">
        <f t="shared" si="3389"/>
        <v>|n</v>
      </c>
      <c r="CW282" s="6"/>
      <c r="CX282" s="6"/>
      <c r="CY282" s="6"/>
      <c r="CZ282" s="6"/>
      <c r="DA282" s="6"/>
      <c r="DB282" s="43" t="str">
        <f t="shared" si="3319"/>
        <v/>
      </c>
      <c r="DC282" s="43" t="str">
        <f t="shared" si="3320"/>
        <v/>
      </c>
      <c r="DD282" s="43" t="str">
        <f t="shared" si="3321"/>
        <v/>
      </c>
      <c r="DE282" s="43" t="str">
        <f t="shared" si="3322"/>
        <v/>
      </c>
      <c r="DF282" s="43" t="str">
        <f t="shared" si="3323"/>
        <v/>
      </c>
      <c r="DG282" s="43" t="str">
        <f t="shared" si="3324"/>
        <v/>
      </c>
      <c r="DH282" s="43" t="str">
        <f t="shared" si="3325"/>
        <v/>
      </c>
      <c r="DI282" s="43" t="str">
        <f t="shared" si="3326"/>
        <v/>
      </c>
      <c r="DJ282" s="43" t="str">
        <f t="shared" si="3327"/>
        <v/>
      </c>
      <c r="DK282" s="43" t="str">
        <f t="shared" si="3328"/>
        <v/>
      </c>
      <c r="DL282" s="43" t="str">
        <f t="shared" si="3329"/>
        <v/>
      </c>
      <c r="DM282" s="43" t="str">
        <f t="shared" si="3330"/>
        <v/>
      </c>
      <c r="DN282" s="43" t="str">
        <f t="shared" si="3331"/>
        <v/>
      </c>
      <c r="DO282" s="43" t="str">
        <f t="shared" si="3332"/>
        <v/>
      </c>
      <c r="DP282" s="43" t="str">
        <f t="shared" si="3333"/>
        <v/>
      </c>
      <c r="DQ282" s="43" t="str">
        <f t="shared" si="3334"/>
        <v/>
      </c>
      <c r="DR282" s="43" t="str">
        <f t="shared" si="3335"/>
        <v/>
      </c>
      <c r="DS282" s="43" t="str">
        <f t="shared" si="3336"/>
        <v/>
      </c>
      <c r="DT282" s="43" t="str">
        <f t="shared" si="3337"/>
        <v/>
      </c>
      <c r="DU282" s="43" t="str">
        <f t="shared" si="3338"/>
        <v/>
      </c>
      <c r="DV282" s="43" t="str">
        <f t="shared" si="3339"/>
        <v/>
      </c>
      <c r="DW282" s="43" t="str">
        <f t="shared" si="3340"/>
        <v/>
      </c>
      <c r="DX282" s="43" t="str">
        <f t="shared" si="3341"/>
        <v/>
      </c>
      <c r="DY282" s="43" t="str">
        <f t="shared" si="3342"/>
        <v/>
      </c>
      <c r="DZ282" s="43" t="str">
        <f t="shared" si="3343"/>
        <v/>
      </c>
      <c r="EA282" s="43" t="str">
        <f t="shared" si="3344"/>
        <v/>
      </c>
      <c r="EB282" s="43" t="str">
        <f t="shared" si="3345"/>
        <v/>
      </c>
      <c r="EC282" s="43" t="str">
        <f t="shared" si="3346"/>
        <v/>
      </c>
      <c r="ED282" s="43" t="str">
        <f t="shared" si="3347"/>
        <v/>
      </c>
      <c r="EE282" s="43" t="str">
        <f t="shared" si="3348"/>
        <v/>
      </c>
      <c r="EF282" s="43" t="str">
        <f t="shared" si="3349"/>
        <v/>
      </c>
      <c r="EG282" s="43" t="str">
        <f t="shared" si="3350"/>
        <v/>
      </c>
      <c r="EH282" s="43" t="str">
        <f t="shared" si="3351"/>
        <v/>
      </c>
      <c r="EI282" s="43" t="str">
        <f t="shared" si="3352"/>
        <v/>
      </c>
      <c r="EJ282" s="43" t="str">
        <f t="shared" si="3353"/>
        <v/>
      </c>
      <c r="EK282" s="43" t="str">
        <f t="shared" si="3354"/>
        <v/>
      </c>
      <c r="EL282" s="43" t="str">
        <f t="shared" si="3355"/>
        <v/>
      </c>
      <c r="EM282" s="43" t="str">
        <f t="shared" si="3356"/>
        <v/>
      </c>
      <c r="EN282" s="43" t="str">
        <f t="shared" si="3357"/>
        <v/>
      </c>
      <c r="EO282" s="43" t="str">
        <f t="shared" si="3358"/>
        <v/>
      </c>
      <c r="EP282" s="43" t="str">
        <f t="shared" si="3359"/>
        <v/>
      </c>
      <c r="EQ282" s="43" t="str">
        <f t="shared" si="3360"/>
        <v/>
      </c>
      <c r="ER282" s="43" t="str">
        <f t="shared" si="3361"/>
        <v/>
      </c>
      <c r="ES282" s="43" t="str">
        <f t="shared" si="3362"/>
        <v/>
      </c>
      <c r="ET282" s="43" t="str">
        <f t="shared" si="3363"/>
        <v/>
      </c>
      <c r="EU282" s="43" t="str">
        <f t="shared" si="3364"/>
        <v/>
      </c>
      <c r="EV282" s="43" t="str">
        <f t="shared" si="3365"/>
        <v/>
      </c>
      <c r="EW282" s="43" t="str">
        <f t="shared" si="3366"/>
        <v/>
      </c>
      <c r="EX282" s="43" t="str">
        <f t="shared" si="3367"/>
        <v/>
      </c>
      <c r="EY282" s="43" t="str">
        <f t="shared" si="3368"/>
        <v/>
      </c>
      <c r="EZ282" s="43" t="str">
        <f t="shared" si="3369"/>
        <v/>
      </c>
      <c r="FA282" s="43" t="str">
        <f t="shared" si="3370"/>
        <v/>
      </c>
      <c r="FB282" s="43" t="str">
        <f t="shared" si="3371"/>
        <v/>
      </c>
      <c r="FC282" s="43" t="str">
        <f t="shared" si="3372"/>
        <v/>
      </c>
      <c r="FD282" s="43" t="str">
        <f t="shared" si="3373"/>
        <v/>
      </c>
      <c r="FE282" s="43" t="str">
        <f t="shared" si="3374"/>
        <v/>
      </c>
      <c r="FF282" s="43" t="str">
        <f t="shared" si="3375"/>
        <v/>
      </c>
      <c r="FG282" s="43" t="str">
        <f t="shared" si="3376"/>
        <v/>
      </c>
      <c r="FH282" s="43" t="str">
        <f t="shared" si="3377"/>
        <v/>
      </c>
      <c r="FI282" s="43" t="str">
        <f t="shared" si="3378"/>
        <v/>
      </c>
      <c r="FJ282" s="43" t="str">
        <f t="shared" si="3379"/>
        <v/>
      </c>
      <c r="FK282" s="43" t="str">
        <f t="shared" si="3380"/>
        <v/>
      </c>
      <c r="FL282" s="43" t="str">
        <f t="shared" si="3381"/>
        <v/>
      </c>
      <c r="FM282" s="43" t="str">
        <f t="shared" si="3382"/>
        <v/>
      </c>
      <c r="FN282" s="43" t="str">
        <f t="shared" si="3383"/>
        <v/>
      </c>
      <c r="FO282" s="43" t="str">
        <f t="shared" si="3384"/>
        <v/>
      </c>
      <c r="FP282" s="43" t="str">
        <f t="shared" si="3385"/>
        <v/>
      </c>
      <c r="FQ282" s="43" t="str">
        <f t="shared" si="3386"/>
        <v/>
      </c>
      <c r="FR282" s="43" t="str">
        <f t="shared" si="3387"/>
        <v/>
      </c>
      <c r="FS282" s="43" t="str">
        <f t="shared" si="3388"/>
        <v/>
      </c>
    </row>
    <row r="283" spans="92:175">
      <c r="CN283" s="12" t="str">
        <f t="shared" si="3313"/>
        <v>InitUnitState('',,,,,,,,,,)</v>
      </c>
      <c r="CO283" s="12" t="str">
        <f t="shared" si="3314"/>
        <v>InitUnitNormal('',,,,,,,,,,)</v>
      </c>
      <c r="CP283" s="12" t="str">
        <f t="shared" si="3315"/>
        <v>InitUnitMagic('',,,,,,,,,,)</v>
      </c>
      <c r="CQ283" s="12" t="str">
        <f t="shared" si="3316"/>
        <v>InitUnitAdd('',,,,,,,,,,)</v>
      </c>
      <c r="CR283" s="12" t="str">
        <f t="shared" si="3317"/>
        <v>InitEquipData('',,"",,,,,'','','','','','',"")</v>
      </c>
      <c r="CU283" s="5" t="str">
        <f t="shared" si="3389"/>
        <v>|n</v>
      </c>
      <c r="CW283" s="6"/>
      <c r="CX283" s="6"/>
      <c r="CY283" s="6"/>
      <c r="CZ283" s="6"/>
      <c r="DA283" s="6"/>
      <c r="DB283" s="43" t="str">
        <f t="shared" si="3319"/>
        <v/>
      </c>
      <c r="DC283" s="43" t="str">
        <f t="shared" si="3320"/>
        <v/>
      </c>
      <c r="DD283" s="43" t="str">
        <f t="shared" si="3321"/>
        <v/>
      </c>
      <c r="DE283" s="43" t="str">
        <f t="shared" si="3322"/>
        <v/>
      </c>
      <c r="DF283" s="43" t="str">
        <f t="shared" si="3323"/>
        <v/>
      </c>
      <c r="DG283" s="43" t="str">
        <f t="shared" si="3324"/>
        <v/>
      </c>
      <c r="DH283" s="43" t="str">
        <f t="shared" si="3325"/>
        <v/>
      </c>
      <c r="DI283" s="43" t="str">
        <f t="shared" si="3326"/>
        <v/>
      </c>
      <c r="DJ283" s="43" t="str">
        <f t="shared" si="3327"/>
        <v/>
      </c>
      <c r="DK283" s="43" t="str">
        <f t="shared" si="3328"/>
        <v/>
      </c>
      <c r="DL283" s="43" t="str">
        <f t="shared" si="3329"/>
        <v/>
      </c>
      <c r="DM283" s="43" t="str">
        <f t="shared" si="3330"/>
        <v/>
      </c>
      <c r="DN283" s="43" t="str">
        <f t="shared" si="3331"/>
        <v/>
      </c>
      <c r="DO283" s="43" t="str">
        <f t="shared" si="3332"/>
        <v/>
      </c>
      <c r="DP283" s="43" t="str">
        <f t="shared" si="3333"/>
        <v/>
      </c>
      <c r="DQ283" s="43" t="str">
        <f t="shared" si="3334"/>
        <v/>
      </c>
      <c r="DR283" s="43" t="str">
        <f t="shared" si="3335"/>
        <v/>
      </c>
      <c r="DS283" s="43" t="str">
        <f t="shared" si="3336"/>
        <v/>
      </c>
      <c r="DT283" s="43" t="str">
        <f t="shared" si="3337"/>
        <v/>
      </c>
      <c r="DU283" s="43" t="str">
        <f t="shared" si="3338"/>
        <v/>
      </c>
      <c r="DV283" s="43" t="str">
        <f t="shared" si="3339"/>
        <v/>
      </c>
      <c r="DW283" s="43" t="str">
        <f t="shared" si="3340"/>
        <v/>
      </c>
      <c r="DX283" s="43" t="str">
        <f t="shared" si="3341"/>
        <v/>
      </c>
      <c r="DY283" s="43" t="str">
        <f t="shared" si="3342"/>
        <v/>
      </c>
      <c r="DZ283" s="43" t="str">
        <f t="shared" si="3343"/>
        <v/>
      </c>
      <c r="EA283" s="43" t="str">
        <f t="shared" si="3344"/>
        <v/>
      </c>
      <c r="EB283" s="43" t="str">
        <f t="shared" si="3345"/>
        <v/>
      </c>
      <c r="EC283" s="43" t="str">
        <f t="shared" si="3346"/>
        <v/>
      </c>
      <c r="ED283" s="43" t="str">
        <f t="shared" si="3347"/>
        <v/>
      </c>
      <c r="EE283" s="43" t="str">
        <f t="shared" si="3348"/>
        <v/>
      </c>
      <c r="EF283" s="43" t="str">
        <f t="shared" si="3349"/>
        <v/>
      </c>
      <c r="EG283" s="43" t="str">
        <f t="shared" si="3350"/>
        <v/>
      </c>
      <c r="EH283" s="43" t="str">
        <f t="shared" si="3351"/>
        <v/>
      </c>
      <c r="EI283" s="43" t="str">
        <f t="shared" si="3352"/>
        <v/>
      </c>
      <c r="EJ283" s="43" t="str">
        <f t="shared" si="3353"/>
        <v/>
      </c>
      <c r="EK283" s="43" t="str">
        <f t="shared" si="3354"/>
        <v/>
      </c>
      <c r="EL283" s="43" t="str">
        <f t="shared" si="3355"/>
        <v/>
      </c>
      <c r="EM283" s="43" t="str">
        <f t="shared" si="3356"/>
        <v/>
      </c>
      <c r="EN283" s="43" t="str">
        <f t="shared" si="3357"/>
        <v/>
      </c>
      <c r="EO283" s="43" t="str">
        <f t="shared" si="3358"/>
        <v/>
      </c>
      <c r="EP283" s="43" t="str">
        <f t="shared" si="3359"/>
        <v/>
      </c>
      <c r="EQ283" s="43" t="str">
        <f t="shared" si="3360"/>
        <v/>
      </c>
      <c r="ER283" s="43" t="str">
        <f t="shared" si="3361"/>
        <v/>
      </c>
      <c r="ES283" s="43" t="str">
        <f t="shared" si="3362"/>
        <v/>
      </c>
      <c r="ET283" s="43" t="str">
        <f t="shared" si="3363"/>
        <v/>
      </c>
      <c r="EU283" s="43" t="str">
        <f t="shared" si="3364"/>
        <v/>
      </c>
      <c r="EV283" s="43" t="str">
        <f t="shared" si="3365"/>
        <v/>
      </c>
      <c r="EW283" s="43" t="str">
        <f t="shared" si="3366"/>
        <v/>
      </c>
      <c r="EX283" s="43" t="str">
        <f t="shared" si="3367"/>
        <v/>
      </c>
      <c r="EY283" s="43" t="str">
        <f t="shared" si="3368"/>
        <v/>
      </c>
      <c r="EZ283" s="43" t="str">
        <f t="shared" si="3369"/>
        <v/>
      </c>
      <c r="FA283" s="43" t="str">
        <f t="shared" si="3370"/>
        <v/>
      </c>
      <c r="FB283" s="43" t="str">
        <f t="shared" si="3371"/>
        <v/>
      </c>
      <c r="FC283" s="43" t="str">
        <f t="shared" si="3372"/>
        <v/>
      </c>
      <c r="FD283" s="43" t="str">
        <f t="shared" si="3373"/>
        <v/>
      </c>
      <c r="FE283" s="43" t="str">
        <f t="shared" si="3374"/>
        <v/>
      </c>
      <c r="FF283" s="43" t="str">
        <f t="shared" si="3375"/>
        <v/>
      </c>
      <c r="FG283" s="43" t="str">
        <f t="shared" si="3376"/>
        <v/>
      </c>
      <c r="FH283" s="43" t="str">
        <f t="shared" si="3377"/>
        <v/>
      </c>
      <c r="FI283" s="43" t="str">
        <f t="shared" si="3378"/>
        <v/>
      </c>
      <c r="FJ283" s="43" t="str">
        <f t="shared" si="3379"/>
        <v/>
      </c>
      <c r="FK283" s="43" t="str">
        <f t="shared" si="3380"/>
        <v/>
      </c>
      <c r="FL283" s="43" t="str">
        <f t="shared" si="3381"/>
        <v/>
      </c>
      <c r="FM283" s="43" t="str">
        <f t="shared" si="3382"/>
        <v/>
      </c>
      <c r="FN283" s="43" t="str">
        <f t="shared" si="3383"/>
        <v/>
      </c>
      <c r="FO283" s="43" t="str">
        <f t="shared" si="3384"/>
        <v/>
      </c>
      <c r="FP283" s="43" t="str">
        <f t="shared" si="3385"/>
        <v/>
      </c>
      <c r="FQ283" s="43" t="str">
        <f t="shared" si="3386"/>
        <v/>
      </c>
      <c r="FR283" s="43" t="str">
        <f t="shared" si="3387"/>
        <v/>
      </c>
      <c r="FS283" s="43" t="str">
        <f t="shared" si="3388"/>
        <v/>
      </c>
    </row>
    <row r="284" spans="92:175">
      <c r="CN284" s="12" t="str">
        <f t="shared" si="3313"/>
        <v>InitUnitState('',,,,,,,,,,)</v>
      </c>
      <c r="CO284" s="12" t="str">
        <f t="shared" si="3314"/>
        <v>InitUnitNormal('',,,,,,,,,,)</v>
      </c>
      <c r="CP284" s="12" t="str">
        <f t="shared" si="3315"/>
        <v>InitUnitMagic('',,,,,,,,,,)</v>
      </c>
      <c r="CQ284" s="12" t="str">
        <f t="shared" si="3316"/>
        <v>InitUnitAdd('',,,,,,,,,,)</v>
      </c>
      <c r="CR284" s="12" t="str">
        <f t="shared" si="3317"/>
        <v>InitEquipData('',,"",,,,,'','','','','','',"")</v>
      </c>
      <c r="CU284" s="5" t="str">
        <f t="shared" si="3389"/>
        <v>|n</v>
      </c>
      <c r="CW284" s="6"/>
      <c r="CX284" s="6"/>
      <c r="CY284" s="6"/>
      <c r="CZ284" s="6"/>
      <c r="DA284" s="6"/>
      <c r="DB284" s="43" t="str">
        <f t="shared" si="3319"/>
        <v/>
      </c>
      <c r="DC284" s="43" t="str">
        <f t="shared" si="3320"/>
        <v/>
      </c>
      <c r="DD284" s="43" t="str">
        <f t="shared" si="3321"/>
        <v/>
      </c>
      <c r="DE284" s="43" t="str">
        <f t="shared" si="3322"/>
        <v/>
      </c>
      <c r="DF284" s="43" t="str">
        <f t="shared" si="3323"/>
        <v/>
      </c>
      <c r="DG284" s="43" t="str">
        <f t="shared" si="3324"/>
        <v/>
      </c>
      <c r="DH284" s="43" t="str">
        <f t="shared" si="3325"/>
        <v/>
      </c>
      <c r="DI284" s="43" t="str">
        <f t="shared" si="3326"/>
        <v/>
      </c>
      <c r="DJ284" s="43" t="str">
        <f t="shared" si="3327"/>
        <v/>
      </c>
      <c r="DK284" s="43" t="str">
        <f t="shared" si="3328"/>
        <v/>
      </c>
      <c r="DL284" s="43" t="str">
        <f t="shared" si="3329"/>
        <v/>
      </c>
      <c r="DM284" s="43" t="str">
        <f t="shared" si="3330"/>
        <v/>
      </c>
      <c r="DN284" s="43" t="str">
        <f t="shared" si="3331"/>
        <v/>
      </c>
      <c r="DO284" s="43" t="str">
        <f t="shared" si="3332"/>
        <v/>
      </c>
      <c r="DP284" s="43" t="str">
        <f t="shared" si="3333"/>
        <v/>
      </c>
      <c r="DQ284" s="43" t="str">
        <f t="shared" si="3334"/>
        <v/>
      </c>
      <c r="DR284" s="43" t="str">
        <f t="shared" si="3335"/>
        <v/>
      </c>
      <c r="DS284" s="43" t="str">
        <f t="shared" si="3336"/>
        <v/>
      </c>
      <c r="DT284" s="43" t="str">
        <f t="shared" si="3337"/>
        <v/>
      </c>
      <c r="DU284" s="43" t="str">
        <f t="shared" si="3338"/>
        <v/>
      </c>
      <c r="DV284" s="43" t="str">
        <f t="shared" si="3339"/>
        <v/>
      </c>
      <c r="DW284" s="43" t="str">
        <f t="shared" si="3340"/>
        <v/>
      </c>
      <c r="DX284" s="43" t="str">
        <f t="shared" si="3341"/>
        <v/>
      </c>
      <c r="DY284" s="43" t="str">
        <f t="shared" si="3342"/>
        <v/>
      </c>
      <c r="DZ284" s="43" t="str">
        <f t="shared" si="3343"/>
        <v/>
      </c>
      <c r="EA284" s="43" t="str">
        <f t="shared" si="3344"/>
        <v/>
      </c>
      <c r="EB284" s="43" t="str">
        <f t="shared" si="3345"/>
        <v/>
      </c>
      <c r="EC284" s="43" t="str">
        <f t="shared" si="3346"/>
        <v/>
      </c>
      <c r="ED284" s="43" t="str">
        <f t="shared" si="3347"/>
        <v/>
      </c>
      <c r="EE284" s="43" t="str">
        <f t="shared" si="3348"/>
        <v/>
      </c>
      <c r="EF284" s="43" t="str">
        <f t="shared" si="3349"/>
        <v/>
      </c>
      <c r="EG284" s="43" t="str">
        <f t="shared" si="3350"/>
        <v/>
      </c>
      <c r="EH284" s="43" t="str">
        <f t="shared" si="3351"/>
        <v/>
      </c>
      <c r="EI284" s="43" t="str">
        <f t="shared" si="3352"/>
        <v/>
      </c>
      <c r="EJ284" s="43" t="str">
        <f t="shared" si="3353"/>
        <v/>
      </c>
      <c r="EK284" s="43" t="str">
        <f t="shared" si="3354"/>
        <v/>
      </c>
      <c r="EL284" s="43" t="str">
        <f t="shared" si="3355"/>
        <v/>
      </c>
      <c r="EM284" s="43" t="str">
        <f t="shared" si="3356"/>
        <v/>
      </c>
      <c r="EN284" s="43" t="str">
        <f t="shared" si="3357"/>
        <v/>
      </c>
      <c r="EO284" s="43" t="str">
        <f t="shared" si="3358"/>
        <v/>
      </c>
      <c r="EP284" s="43" t="str">
        <f t="shared" si="3359"/>
        <v/>
      </c>
      <c r="EQ284" s="43" t="str">
        <f t="shared" si="3360"/>
        <v/>
      </c>
      <c r="ER284" s="43" t="str">
        <f t="shared" si="3361"/>
        <v/>
      </c>
      <c r="ES284" s="43" t="str">
        <f t="shared" si="3362"/>
        <v/>
      </c>
      <c r="ET284" s="43" t="str">
        <f t="shared" si="3363"/>
        <v/>
      </c>
      <c r="EU284" s="43" t="str">
        <f t="shared" si="3364"/>
        <v/>
      </c>
      <c r="EV284" s="43" t="str">
        <f t="shared" si="3365"/>
        <v/>
      </c>
      <c r="EW284" s="43" t="str">
        <f t="shared" si="3366"/>
        <v/>
      </c>
      <c r="EX284" s="43" t="str">
        <f t="shared" si="3367"/>
        <v/>
      </c>
      <c r="EY284" s="43" t="str">
        <f t="shared" si="3368"/>
        <v/>
      </c>
      <c r="EZ284" s="43" t="str">
        <f t="shared" si="3369"/>
        <v/>
      </c>
      <c r="FA284" s="43" t="str">
        <f t="shared" si="3370"/>
        <v/>
      </c>
      <c r="FB284" s="43" t="str">
        <f t="shared" si="3371"/>
        <v/>
      </c>
      <c r="FC284" s="43" t="str">
        <f t="shared" si="3372"/>
        <v/>
      </c>
      <c r="FD284" s="43" t="str">
        <f t="shared" si="3373"/>
        <v/>
      </c>
      <c r="FE284" s="43" t="str">
        <f t="shared" si="3374"/>
        <v/>
      </c>
      <c r="FF284" s="43" t="str">
        <f t="shared" si="3375"/>
        <v/>
      </c>
      <c r="FG284" s="43" t="str">
        <f t="shared" si="3376"/>
        <v/>
      </c>
      <c r="FH284" s="43" t="str">
        <f t="shared" si="3377"/>
        <v/>
      </c>
      <c r="FI284" s="43" t="str">
        <f t="shared" si="3378"/>
        <v/>
      </c>
      <c r="FJ284" s="43" t="str">
        <f t="shared" si="3379"/>
        <v/>
      </c>
      <c r="FK284" s="43" t="str">
        <f t="shared" si="3380"/>
        <v/>
      </c>
      <c r="FL284" s="43" t="str">
        <f t="shared" si="3381"/>
        <v/>
      </c>
      <c r="FM284" s="43" t="str">
        <f t="shared" si="3382"/>
        <v/>
      </c>
      <c r="FN284" s="43" t="str">
        <f t="shared" si="3383"/>
        <v/>
      </c>
      <c r="FO284" s="43" t="str">
        <f t="shared" si="3384"/>
        <v/>
      </c>
      <c r="FP284" s="43" t="str">
        <f t="shared" si="3385"/>
        <v/>
      </c>
      <c r="FQ284" s="43" t="str">
        <f t="shared" si="3386"/>
        <v/>
      </c>
      <c r="FR284" s="43" t="str">
        <f t="shared" si="3387"/>
        <v/>
      </c>
      <c r="FS284" s="43" t="str">
        <f t="shared" si="3388"/>
        <v/>
      </c>
    </row>
    <row r="285" spans="92:175">
      <c r="CN285" s="12" t="str">
        <f t="shared" si="3313"/>
        <v>InitUnitState('',,,,,,,,,,)</v>
      </c>
      <c r="CO285" s="12" t="str">
        <f t="shared" si="3314"/>
        <v>InitUnitNormal('',,,,,,,,,,)</v>
      </c>
      <c r="CP285" s="12" t="str">
        <f t="shared" si="3315"/>
        <v>InitUnitMagic('',,,,,,,,,,)</v>
      </c>
      <c r="CQ285" s="12" t="str">
        <f t="shared" si="3316"/>
        <v>InitUnitAdd('',,,,,,,,,,)</v>
      </c>
      <c r="CR285" s="12" t="str">
        <f t="shared" si="3317"/>
        <v>InitEquipData('',,"",,,,,'','','','','','',"")</v>
      </c>
      <c r="CU285" s="5" t="str">
        <f t="shared" si="3389"/>
        <v>|n</v>
      </c>
      <c r="CW285" s="6"/>
      <c r="CX285" s="6"/>
      <c r="CY285" s="6"/>
      <c r="CZ285" s="6"/>
      <c r="DA285" s="6"/>
      <c r="DB285" s="43" t="str">
        <f t="shared" si="3319"/>
        <v/>
      </c>
      <c r="DC285" s="43" t="str">
        <f t="shared" si="3320"/>
        <v/>
      </c>
      <c r="DD285" s="43" t="str">
        <f t="shared" si="3321"/>
        <v/>
      </c>
      <c r="DE285" s="43" t="str">
        <f t="shared" si="3322"/>
        <v/>
      </c>
      <c r="DF285" s="43" t="str">
        <f t="shared" si="3323"/>
        <v/>
      </c>
      <c r="DG285" s="43" t="str">
        <f t="shared" si="3324"/>
        <v/>
      </c>
      <c r="DH285" s="43" t="str">
        <f t="shared" si="3325"/>
        <v/>
      </c>
      <c r="DI285" s="43" t="str">
        <f t="shared" si="3326"/>
        <v/>
      </c>
      <c r="DJ285" s="43" t="str">
        <f t="shared" si="3327"/>
        <v/>
      </c>
      <c r="DK285" s="43" t="str">
        <f t="shared" si="3328"/>
        <v/>
      </c>
      <c r="DL285" s="43" t="str">
        <f t="shared" si="3329"/>
        <v/>
      </c>
      <c r="DM285" s="43" t="str">
        <f t="shared" si="3330"/>
        <v/>
      </c>
      <c r="DN285" s="43" t="str">
        <f t="shared" si="3331"/>
        <v/>
      </c>
      <c r="DO285" s="43" t="str">
        <f t="shared" si="3332"/>
        <v/>
      </c>
      <c r="DP285" s="43" t="str">
        <f t="shared" si="3333"/>
        <v/>
      </c>
      <c r="DQ285" s="43" t="str">
        <f t="shared" si="3334"/>
        <v/>
      </c>
      <c r="DR285" s="43" t="str">
        <f t="shared" si="3335"/>
        <v/>
      </c>
      <c r="DS285" s="43" t="str">
        <f t="shared" si="3336"/>
        <v/>
      </c>
      <c r="DT285" s="43" t="str">
        <f t="shared" si="3337"/>
        <v/>
      </c>
      <c r="DU285" s="43" t="str">
        <f t="shared" si="3338"/>
        <v/>
      </c>
      <c r="DV285" s="43" t="str">
        <f t="shared" si="3339"/>
        <v/>
      </c>
      <c r="DW285" s="43" t="str">
        <f t="shared" si="3340"/>
        <v/>
      </c>
      <c r="DX285" s="43" t="str">
        <f t="shared" si="3341"/>
        <v/>
      </c>
      <c r="DY285" s="43" t="str">
        <f t="shared" si="3342"/>
        <v/>
      </c>
      <c r="DZ285" s="43" t="str">
        <f t="shared" si="3343"/>
        <v/>
      </c>
      <c r="EA285" s="43" t="str">
        <f t="shared" si="3344"/>
        <v/>
      </c>
      <c r="EB285" s="43" t="str">
        <f t="shared" si="3345"/>
        <v/>
      </c>
      <c r="EC285" s="43" t="str">
        <f t="shared" si="3346"/>
        <v/>
      </c>
      <c r="ED285" s="43" t="str">
        <f t="shared" si="3347"/>
        <v/>
      </c>
      <c r="EE285" s="43" t="str">
        <f t="shared" si="3348"/>
        <v/>
      </c>
      <c r="EF285" s="43" t="str">
        <f t="shared" si="3349"/>
        <v/>
      </c>
      <c r="EG285" s="43" t="str">
        <f t="shared" si="3350"/>
        <v/>
      </c>
      <c r="EH285" s="43" t="str">
        <f t="shared" si="3351"/>
        <v/>
      </c>
      <c r="EI285" s="43" t="str">
        <f t="shared" si="3352"/>
        <v/>
      </c>
      <c r="EJ285" s="43" t="str">
        <f t="shared" si="3353"/>
        <v/>
      </c>
      <c r="EK285" s="43" t="str">
        <f t="shared" si="3354"/>
        <v/>
      </c>
      <c r="EL285" s="43" t="str">
        <f t="shared" si="3355"/>
        <v/>
      </c>
      <c r="EM285" s="43" t="str">
        <f t="shared" si="3356"/>
        <v/>
      </c>
      <c r="EN285" s="43" t="str">
        <f t="shared" si="3357"/>
        <v/>
      </c>
      <c r="EO285" s="43" t="str">
        <f t="shared" si="3358"/>
        <v/>
      </c>
      <c r="EP285" s="43" t="str">
        <f t="shared" si="3359"/>
        <v/>
      </c>
      <c r="EQ285" s="43" t="str">
        <f t="shared" si="3360"/>
        <v/>
      </c>
      <c r="ER285" s="43" t="str">
        <f t="shared" si="3361"/>
        <v/>
      </c>
      <c r="ES285" s="43" t="str">
        <f t="shared" si="3362"/>
        <v/>
      </c>
      <c r="ET285" s="43" t="str">
        <f t="shared" si="3363"/>
        <v/>
      </c>
      <c r="EU285" s="43" t="str">
        <f t="shared" si="3364"/>
        <v/>
      </c>
      <c r="EV285" s="43" t="str">
        <f t="shared" si="3365"/>
        <v/>
      </c>
      <c r="EW285" s="43" t="str">
        <f t="shared" si="3366"/>
        <v/>
      </c>
      <c r="EX285" s="43" t="str">
        <f t="shared" si="3367"/>
        <v/>
      </c>
      <c r="EY285" s="43" t="str">
        <f t="shared" si="3368"/>
        <v/>
      </c>
      <c r="EZ285" s="43" t="str">
        <f t="shared" si="3369"/>
        <v/>
      </c>
      <c r="FA285" s="43" t="str">
        <f t="shared" si="3370"/>
        <v/>
      </c>
      <c r="FB285" s="43" t="str">
        <f t="shared" si="3371"/>
        <v/>
      </c>
      <c r="FC285" s="43" t="str">
        <f t="shared" si="3372"/>
        <v/>
      </c>
      <c r="FD285" s="43" t="str">
        <f t="shared" si="3373"/>
        <v/>
      </c>
      <c r="FE285" s="43" t="str">
        <f t="shared" si="3374"/>
        <v/>
      </c>
      <c r="FF285" s="43" t="str">
        <f t="shared" si="3375"/>
        <v/>
      </c>
      <c r="FG285" s="43" t="str">
        <f t="shared" si="3376"/>
        <v/>
      </c>
      <c r="FH285" s="43" t="str">
        <f t="shared" si="3377"/>
        <v/>
      </c>
      <c r="FI285" s="43" t="str">
        <f t="shared" si="3378"/>
        <v/>
      </c>
      <c r="FJ285" s="43" t="str">
        <f t="shared" si="3379"/>
        <v/>
      </c>
      <c r="FK285" s="43" t="str">
        <f t="shared" si="3380"/>
        <v/>
      </c>
      <c r="FL285" s="43" t="str">
        <f t="shared" si="3381"/>
        <v/>
      </c>
      <c r="FM285" s="43" t="str">
        <f t="shared" si="3382"/>
        <v/>
      </c>
      <c r="FN285" s="43" t="str">
        <f t="shared" si="3383"/>
        <v/>
      </c>
      <c r="FO285" s="43" t="str">
        <f t="shared" si="3384"/>
        <v/>
      </c>
      <c r="FP285" s="43" t="str">
        <f t="shared" si="3385"/>
        <v/>
      </c>
      <c r="FQ285" s="43" t="str">
        <f t="shared" si="3386"/>
        <v/>
      </c>
      <c r="FR285" s="43" t="str">
        <f t="shared" si="3387"/>
        <v/>
      </c>
      <c r="FS285" s="43" t="str">
        <f t="shared" si="3388"/>
        <v/>
      </c>
    </row>
    <row r="286" spans="92:120">
      <c r="CN286" s="12" t="str">
        <f t="shared" si="3313"/>
        <v>InitUnitState('',,,,,,,,,,)</v>
      </c>
      <c r="CO286" s="12" t="str">
        <f t="shared" si="3314"/>
        <v>InitUnitNormal('',,,,,,,,,,)</v>
      </c>
      <c r="CP286" s="12" t="str">
        <f t="shared" si="3315"/>
        <v>InitUnitMagic('',,,,,,,,,,)</v>
      </c>
      <c r="CQ286" s="12" t="str">
        <f t="shared" si="3316"/>
        <v>InitUnitAdd('',,,,,,,,,,)</v>
      </c>
      <c r="CR286" s="12" t="str">
        <f t="shared" si="3317"/>
        <v>InitEquipData('',,"",,,,,'','','','','','',"")</v>
      </c>
      <c r="CU286" s="5" t="str">
        <f t="shared" si="3389"/>
        <v>|n</v>
      </c>
      <c r="DB286" s="43" t="str">
        <f>IF(V286="","","|n"&amp;#REF!&amp;"+"&amp;V286)</f>
        <v/>
      </c>
      <c r="DC286" s="43" t="str">
        <f>IF(W286="","","|n"&amp;#REF!&amp;"+"&amp;W286)</f>
        <v/>
      </c>
      <c r="DD286" s="43" t="str">
        <f>IF(X286="","","|n"&amp;#REF!&amp;"+"&amp;X286)</f>
        <v/>
      </c>
      <c r="DE286" s="43" t="str">
        <f>IF(Y286="","","|n"&amp;#REF!&amp;"+"&amp;Y286)</f>
        <v/>
      </c>
      <c r="DF286" s="43" t="str">
        <f>IF(Z286="","","|n"&amp;#REF!&amp;"+"&amp;Z286)</f>
        <v/>
      </c>
      <c r="DG286" s="43" t="str">
        <f>IF(AA286="","","|n"&amp;#REF!&amp;"+"&amp;AA286)</f>
        <v/>
      </c>
      <c r="DH286" s="43" t="str">
        <f>IF(AB286="","","|n"&amp;#REF!&amp;"+"&amp;AB286)</f>
        <v/>
      </c>
      <c r="DI286" s="43" t="str">
        <f>IF(AC286="","","|n"&amp;#REF!&amp;"+"&amp;AC286&amp;"%")</f>
        <v/>
      </c>
      <c r="DJ286" s="43" t="str">
        <f>IF(AD286="","","|n"&amp;#REF!&amp;"+"&amp;AD286)</f>
        <v/>
      </c>
      <c r="DK286" s="43" t="str">
        <f>IF(AE286="","","|n"&amp;#REF!&amp;"+"&amp;AE286)</f>
        <v/>
      </c>
      <c r="DL286" s="43" t="str">
        <f>IF(AF286="","","|n"&amp;#REF!&amp;"+"&amp;AF286)</f>
        <v/>
      </c>
      <c r="DM286" s="43" t="str">
        <f>IF(AG286="","","|n"&amp;#REF!&amp;"+"&amp;AG286&amp;"%")</f>
        <v/>
      </c>
      <c r="DN286" s="43" t="str">
        <f>IF(AH286="","","|n"&amp;#REF!&amp;"+"&amp;AH286)</f>
        <v/>
      </c>
      <c r="DO286" s="43" t="str">
        <f>IF(AI286="","","|n"&amp;#REF!&amp;"+"&amp;AI286)</f>
        <v/>
      </c>
      <c r="DP286" s="43" t="str">
        <f>IF(AJ286="","","|n"&amp;#REF!&amp;"+"&amp;AJ286)</f>
        <v/>
      </c>
    </row>
    <row r="287" spans="92:120">
      <c r="CN287" s="12" t="str">
        <f t="shared" si="3313"/>
        <v>InitUnitState('',,,,,,,,,,)</v>
      </c>
      <c r="CO287" s="12" t="str">
        <f t="shared" si="3314"/>
        <v>InitUnitNormal('',,,,,,,,,,)</v>
      </c>
      <c r="CP287" s="12" t="str">
        <f t="shared" si="3315"/>
        <v>InitUnitMagic('',,,,,,,,,,)</v>
      </c>
      <c r="CQ287" s="12" t="str">
        <f t="shared" si="3316"/>
        <v>InitUnitAdd('',,,,,,,,,,)</v>
      </c>
      <c r="CR287" s="12" t="str">
        <f t="shared" si="3317"/>
        <v>InitEquipData('',,"",,,,,'','','','','','',"")</v>
      </c>
      <c r="CU287" s="5" t="str">
        <f t="shared" si="3389"/>
        <v>|n</v>
      </c>
      <c r="DB287" s="43" t="str">
        <f>IF(V287="","","|n"&amp;#REF!&amp;"+"&amp;V287)</f>
        <v/>
      </c>
      <c r="DC287" s="43" t="str">
        <f>IF(W287="","","|n"&amp;#REF!&amp;"+"&amp;W287)</f>
        <v/>
      </c>
      <c r="DD287" s="43" t="str">
        <f>IF(X287="","","|n"&amp;#REF!&amp;"+"&amp;X287)</f>
        <v/>
      </c>
      <c r="DE287" s="43" t="str">
        <f>IF(Y287="","","|n"&amp;#REF!&amp;"+"&amp;Y287)</f>
        <v/>
      </c>
      <c r="DF287" s="43" t="str">
        <f>IF(Z287="","","|n"&amp;#REF!&amp;"+"&amp;Z287)</f>
        <v/>
      </c>
      <c r="DG287" s="43" t="str">
        <f>IF(AA287="","","|n"&amp;#REF!&amp;"+"&amp;AA287)</f>
        <v/>
      </c>
      <c r="DH287" s="43" t="str">
        <f>IF(AB287="","","|n"&amp;#REF!&amp;"+"&amp;AB287)</f>
        <v/>
      </c>
      <c r="DI287" s="43" t="str">
        <f>IF(AC287="","","|n"&amp;#REF!&amp;"+"&amp;AC287&amp;"%")</f>
        <v/>
      </c>
      <c r="DJ287" s="43" t="str">
        <f>IF(AD287="","","|n"&amp;#REF!&amp;"+"&amp;AD287)</f>
        <v/>
      </c>
      <c r="DK287" s="43" t="str">
        <f>IF(AE287="","","|n"&amp;#REF!&amp;"+"&amp;AE287)</f>
        <v/>
      </c>
      <c r="DL287" s="43" t="str">
        <f>IF(AF287="","","|n"&amp;#REF!&amp;"+"&amp;AF287)</f>
        <v/>
      </c>
      <c r="DM287" s="43" t="str">
        <f>IF(AG287="","","|n"&amp;#REF!&amp;"+"&amp;AG287&amp;"%")</f>
        <v/>
      </c>
      <c r="DN287" s="43" t="str">
        <f>IF(AH287="","","|n"&amp;#REF!&amp;"+"&amp;AH287)</f>
        <v/>
      </c>
      <c r="DO287" s="43" t="str">
        <f>IF(AI287="","","|n"&amp;#REF!&amp;"+"&amp;AI287)</f>
        <v/>
      </c>
      <c r="DP287" s="43" t="str">
        <f>IF(AJ287="","","|n"&amp;#REF!&amp;"+"&amp;AJ287)</f>
        <v/>
      </c>
    </row>
    <row r="288" spans="92:120">
      <c r="CN288" s="12" t="str">
        <f t="shared" si="3313"/>
        <v>InitUnitState('',,,,,,,,,,)</v>
      </c>
      <c r="CO288" s="12" t="str">
        <f t="shared" si="3314"/>
        <v>InitUnitNormal('',,,,,,,,,,)</v>
      </c>
      <c r="CP288" s="12" t="str">
        <f t="shared" si="3315"/>
        <v>InitUnitMagic('',,,,,,,,,,)</v>
      </c>
      <c r="CQ288" s="12" t="str">
        <f t="shared" si="3316"/>
        <v>InitUnitAdd('',,,,,,,,,,)</v>
      </c>
      <c r="CR288" s="12" t="str">
        <f t="shared" si="3317"/>
        <v>InitEquipData('',,"",,,,,'','','','','','',"")</v>
      </c>
      <c r="CU288" s="5" t="str">
        <f t="shared" si="3389"/>
        <v>|n</v>
      </c>
      <c r="DB288" s="43" t="str">
        <f>IF(V288="","","|n"&amp;#REF!&amp;"+"&amp;V288)</f>
        <v/>
      </c>
      <c r="DC288" s="43" t="str">
        <f>IF(W288="","","|n"&amp;#REF!&amp;"+"&amp;W288)</f>
        <v/>
      </c>
      <c r="DD288" s="43" t="str">
        <f>IF(X288="","","|n"&amp;#REF!&amp;"+"&amp;X288)</f>
        <v/>
      </c>
      <c r="DE288" s="43" t="str">
        <f>IF(Y288="","","|n"&amp;#REF!&amp;"+"&amp;Y288)</f>
        <v/>
      </c>
      <c r="DF288" s="43" t="str">
        <f>IF(Z288="","","|n"&amp;#REF!&amp;"+"&amp;Z288)</f>
        <v/>
      </c>
      <c r="DG288" s="43" t="str">
        <f>IF(AA288="","","|n"&amp;#REF!&amp;"+"&amp;AA288)</f>
        <v/>
      </c>
      <c r="DH288" s="43" t="str">
        <f>IF(AB288="","","|n"&amp;#REF!&amp;"+"&amp;AB288)</f>
        <v/>
      </c>
      <c r="DI288" s="43" t="str">
        <f>IF(AC288="","","|n"&amp;#REF!&amp;"+"&amp;AC288&amp;"%")</f>
        <v/>
      </c>
      <c r="DJ288" s="43" t="str">
        <f>IF(AD288="","","|n"&amp;#REF!&amp;"+"&amp;AD288)</f>
        <v/>
      </c>
      <c r="DK288" s="43" t="str">
        <f>IF(AE288="","","|n"&amp;#REF!&amp;"+"&amp;AE288)</f>
        <v/>
      </c>
      <c r="DL288" s="43" t="str">
        <f>IF(AF288="","","|n"&amp;#REF!&amp;"+"&amp;AF288)</f>
        <v/>
      </c>
      <c r="DM288" s="43" t="str">
        <f>IF(AG288="","","|n"&amp;#REF!&amp;"+"&amp;AG288&amp;"%")</f>
        <v/>
      </c>
      <c r="DN288" s="43" t="str">
        <f>IF(AH288="","","|n"&amp;#REF!&amp;"+"&amp;AH288)</f>
        <v/>
      </c>
      <c r="DO288" s="43" t="str">
        <f>IF(AI288="","","|n"&amp;#REF!&amp;"+"&amp;AI288)</f>
        <v/>
      </c>
      <c r="DP288" s="43" t="str">
        <f>IF(AJ288="","","|n"&amp;#REF!&amp;"+"&amp;AJ288)</f>
        <v/>
      </c>
    </row>
    <row r="289" spans="92:120">
      <c r="CN289" s="12" t="str">
        <f t="shared" si="3313"/>
        <v>InitUnitState('',,,,,,,,,,)</v>
      </c>
      <c r="CO289" s="12" t="str">
        <f t="shared" si="3314"/>
        <v>InitUnitNormal('',,,,,,,,,,)</v>
      </c>
      <c r="CP289" s="12" t="str">
        <f t="shared" si="3315"/>
        <v>InitUnitMagic('',,,,,,,,,,)</v>
      </c>
      <c r="CQ289" s="12" t="str">
        <f t="shared" si="3316"/>
        <v>InitUnitAdd('',,,,,,,,,,)</v>
      </c>
      <c r="CR289" s="12" t="str">
        <f t="shared" si="3317"/>
        <v>InitEquipData('',,"",,,,,'','','','','','',"")</v>
      </c>
      <c r="CU289" s="5" t="str">
        <f t="shared" si="3389"/>
        <v>|n</v>
      </c>
      <c r="DB289" s="43" t="str">
        <f>IF(V289="","","|n"&amp;#REF!&amp;"+"&amp;V289)</f>
        <v/>
      </c>
      <c r="DC289" s="43" t="str">
        <f>IF(W289="","","|n"&amp;#REF!&amp;"+"&amp;W289)</f>
        <v/>
      </c>
      <c r="DD289" s="43" t="str">
        <f>IF(X289="","","|n"&amp;#REF!&amp;"+"&amp;X289)</f>
        <v/>
      </c>
      <c r="DE289" s="43" t="str">
        <f>IF(Y289="","","|n"&amp;#REF!&amp;"+"&amp;Y289)</f>
        <v/>
      </c>
      <c r="DF289" s="43" t="str">
        <f>IF(Z289="","","|n"&amp;#REF!&amp;"+"&amp;Z289)</f>
        <v/>
      </c>
      <c r="DG289" s="43" t="str">
        <f>IF(AA289="","","|n"&amp;#REF!&amp;"+"&amp;AA289)</f>
        <v/>
      </c>
      <c r="DH289" s="43" t="str">
        <f>IF(AB289="","","|n"&amp;#REF!&amp;"+"&amp;AB289)</f>
        <v/>
      </c>
      <c r="DI289" s="43" t="str">
        <f>IF(AC289="","","|n"&amp;#REF!&amp;"+"&amp;AC289&amp;"%")</f>
        <v/>
      </c>
      <c r="DJ289" s="43" t="str">
        <f>IF(AD289="","","|n"&amp;#REF!&amp;"+"&amp;AD289)</f>
        <v/>
      </c>
      <c r="DK289" s="43" t="str">
        <f>IF(AE289="","","|n"&amp;#REF!&amp;"+"&amp;AE289)</f>
        <v/>
      </c>
      <c r="DL289" s="43" t="str">
        <f>IF(AF289="","","|n"&amp;#REF!&amp;"+"&amp;AF289)</f>
        <v/>
      </c>
      <c r="DM289" s="43" t="str">
        <f>IF(AG289="","","|n"&amp;#REF!&amp;"+"&amp;AG289&amp;"%")</f>
        <v/>
      </c>
      <c r="DN289" s="43" t="str">
        <f>IF(AH289="","","|n"&amp;#REF!&amp;"+"&amp;AH289)</f>
        <v/>
      </c>
      <c r="DO289" s="43" t="str">
        <f>IF(AI289="","","|n"&amp;#REF!&amp;"+"&amp;AI289)</f>
        <v/>
      </c>
      <c r="DP289" s="43" t="str">
        <f>IF(AJ289="","","|n"&amp;#REF!&amp;"+"&amp;AJ289)</f>
        <v/>
      </c>
    </row>
    <row r="290" spans="92:120">
      <c r="CN290" s="12" t="str">
        <f t="shared" si="3313"/>
        <v>InitUnitState('',,,,,,,,,,)</v>
      </c>
      <c r="CO290" s="12" t="str">
        <f t="shared" si="3314"/>
        <v>InitUnitNormal('',,,,,,,,,,)</v>
      </c>
      <c r="CP290" s="12" t="str">
        <f t="shared" si="3315"/>
        <v>InitUnitMagic('',,,,,,,,,,)</v>
      </c>
      <c r="CQ290" s="12" t="str">
        <f t="shared" si="3316"/>
        <v>InitUnitAdd('',,,,,,,,,,)</v>
      </c>
      <c r="CR290" s="12" t="str">
        <f t="shared" si="3317"/>
        <v>InitEquipData('',,"",,,,,'','','','','','',"")</v>
      </c>
      <c r="CU290" s="5" t="str">
        <f t="shared" si="3389"/>
        <v>|n</v>
      </c>
      <c r="DB290" s="43" t="str">
        <f>IF(V290="","","|n"&amp;#REF!&amp;"+"&amp;V290)</f>
        <v/>
      </c>
      <c r="DC290" s="43" t="str">
        <f>IF(W290="","","|n"&amp;#REF!&amp;"+"&amp;W290)</f>
        <v/>
      </c>
      <c r="DD290" s="43" t="str">
        <f>IF(X290="","","|n"&amp;#REF!&amp;"+"&amp;X290)</f>
        <v/>
      </c>
      <c r="DE290" s="43" t="str">
        <f>IF(Y290="","","|n"&amp;#REF!&amp;"+"&amp;Y290)</f>
        <v/>
      </c>
      <c r="DF290" s="43" t="str">
        <f>IF(Z290="","","|n"&amp;#REF!&amp;"+"&amp;Z290)</f>
        <v/>
      </c>
      <c r="DG290" s="43" t="str">
        <f>IF(AA290="","","|n"&amp;#REF!&amp;"+"&amp;AA290)</f>
        <v/>
      </c>
      <c r="DH290" s="43" t="str">
        <f>IF(AB290="","","|n"&amp;#REF!&amp;"+"&amp;AB290)</f>
        <v/>
      </c>
      <c r="DI290" s="43" t="str">
        <f>IF(AC290="","","|n"&amp;#REF!&amp;"+"&amp;AC290&amp;"%")</f>
        <v/>
      </c>
      <c r="DJ290" s="43" t="str">
        <f>IF(AD290="","","|n"&amp;#REF!&amp;"+"&amp;AD290)</f>
        <v/>
      </c>
      <c r="DK290" s="43" t="str">
        <f>IF(AE290="","","|n"&amp;#REF!&amp;"+"&amp;AE290)</f>
        <v/>
      </c>
      <c r="DL290" s="43" t="str">
        <f>IF(AF290="","","|n"&amp;#REF!&amp;"+"&amp;AF290)</f>
        <v/>
      </c>
      <c r="DM290" s="43" t="str">
        <f>IF(AG290="","","|n"&amp;#REF!&amp;"+"&amp;AG290&amp;"%")</f>
        <v/>
      </c>
      <c r="DN290" s="43" t="str">
        <f>IF(AH290="","","|n"&amp;#REF!&amp;"+"&amp;AH290)</f>
        <v/>
      </c>
      <c r="DO290" s="43" t="str">
        <f>IF(AI290="","","|n"&amp;#REF!&amp;"+"&amp;AI290)</f>
        <v/>
      </c>
      <c r="DP290" s="43" t="str">
        <f>IF(AJ290="","","|n"&amp;#REF!&amp;"+"&amp;AJ290)</f>
        <v/>
      </c>
    </row>
    <row r="291" spans="92:120">
      <c r="CN291" s="12" t="str">
        <f t="shared" si="3313"/>
        <v>InitUnitState('',,,,,,,,,,)</v>
      </c>
      <c r="CO291" s="12" t="str">
        <f t="shared" si="3314"/>
        <v>InitUnitNormal('',,,,,,,,,,)</v>
      </c>
      <c r="CP291" s="12" t="str">
        <f t="shared" si="3315"/>
        <v>InitUnitMagic('',,,,,,,,,,)</v>
      </c>
      <c r="CQ291" s="12" t="str">
        <f t="shared" si="3316"/>
        <v>InitUnitAdd('',,,,,,,,,,)</v>
      </c>
      <c r="CR291" s="12" t="str">
        <f t="shared" si="3317"/>
        <v>InitEquipData('',,"",,,,,'','','','','','',"")</v>
      </c>
      <c r="CU291" s="5" t="str">
        <f t="shared" si="3389"/>
        <v>|n</v>
      </c>
      <c r="DB291" s="43" t="str">
        <f>IF(V291="","","|n"&amp;#REF!&amp;"+"&amp;V291)</f>
        <v/>
      </c>
      <c r="DC291" s="43" t="str">
        <f>IF(W291="","","|n"&amp;#REF!&amp;"+"&amp;W291)</f>
        <v/>
      </c>
      <c r="DD291" s="43" t="str">
        <f>IF(X291="","","|n"&amp;#REF!&amp;"+"&amp;X291)</f>
        <v/>
      </c>
      <c r="DE291" s="43" t="str">
        <f>IF(Y291="","","|n"&amp;#REF!&amp;"+"&amp;Y291)</f>
        <v/>
      </c>
      <c r="DF291" s="43" t="str">
        <f>IF(Z291="","","|n"&amp;#REF!&amp;"+"&amp;Z291)</f>
        <v/>
      </c>
      <c r="DG291" s="43" t="str">
        <f>IF(AA291="","","|n"&amp;#REF!&amp;"+"&amp;AA291)</f>
        <v/>
      </c>
      <c r="DH291" s="43" t="str">
        <f>IF(AB291="","","|n"&amp;#REF!&amp;"+"&amp;AB291)</f>
        <v/>
      </c>
      <c r="DI291" s="43" t="str">
        <f>IF(AC291="","","|n"&amp;#REF!&amp;"+"&amp;AC291&amp;"%")</f>
        <v/>
      </c>
      <c r="DJ291" s="43" t="str">
        <f>IF(AD291="","","|n"&amp;#REF!&amp;"+"&amp;AD291)</f>
        <v/>
      </c>
      <c r="DK291" s="43" t="str">
        <f>IF(AE291="","","|n"&amp;#REF!&amp;"+"&amp;AE291)</f>
        <v/>
      </c>
      <c r="DL291" s="43" t="str">
        <f>IF(AF291="","","|n"&amp;#REF!&amp;"+"&amp;AF291)</f>
        <v/>
      </c>
      <c r="DM291" s="43" t="str">
        <f>IF(AG291="","","|n"&amp;#REF!&amp;"+"&amp;AG291&amp;"%")</f>
        <v/>
      </c>
      <c r="DN291" s="43" t="str">
        <f>IF(AH291="","","|n"&amp;#REF!&amp;"+"&amp;AH291)</f>
        <v/>
      </c>
      <c r="DO291" s="43" t="str">
        <f>IF(AI291="","","|n"&amp;#REF!&amp;"+"&amp;AI291)</f>
        <v/>
      </c>
      <c r="DP291" s="43" t="str">
        <f>IF(AJ291="","","|n"&amp;#REF!&amp;"+"&amp;AJ291)</f>
        <v/>
      </c>
    </row>
    <row r="292" spans="92:120">
      <c r="CN292" s="12" t="str">
        <f t="shared" si="3313"/>
        <v>InitUnitState('',,,,,,,,,,)</v>
      </c>
      <c r="CO292" s="12" t="str">
        <f t="shared" si="3314"/>
        <v>InitUnitNormal('',,,,,,,,,,)</v>
      </c>
      <c r="CP292" s="12" t="str">
        <f t="shared" si="3315"/>
        <v>InitUnitMagic('',,,,,,,,,,)</v>
      </c>
      <c r="CQ292" s="12" t="str">
        <f t="shared" si="3316"/>
        <v>InitUnitAdd('',,,,,,,,,,)</v>
      </c>
      <c r="CR292" s="12" t="str">
        <f t="shared" si="3317"/>
        <v>InitEquipData('',,"",,,,,'','','','','','',"")</v>
      </c>
      <c r="CU292" s="5" t="str">
        <f t="shared" si="3389"/>
        <v>|n</v>
      </c>
      <c r="DB292" s="43" t="str">
        <f>IF(V292="","","|n"&amp;#REF!&amp;"+"&amp;V292)</f>
        <v/>
      </c>
      <c r="DC292" s="43" t="str">
        <f>IF(W292="","","|n"&amp;#REF!&amp;"+"&amp;W292)</f>
        <v/>
      </c>
      <c r="DD292" s="43" t="str">
        <f>IF(X292="","","|n"&amp;#REF!&amp;"+"&amp;X292)</f>
        <v/>
      </c>
      <c r="DE292" s="43" t="str">
        <f>IF(Y292="","","|n"&amp;#REF!&amp;"+"&amp;Y292)</f>
        <v/>
      </c>
      <c r="DF292" s="43" t="str">
        <f>IF(Z292="","","|n"&amp;#REF!&amp;"+"&amp;Z292)</f>
        <v/>
      </c>
      <c r="DG292" s="43" t="str">
        <f>IF(AA292="","","|n"&amp;#REF!&amp;"+"&amp;AA292)</f>
        <v/>
      </c>
      <c r="DH292" s="43" t="str">
        <f>IF(AB292="","","|n"&amp;#REF!&amp;"+"&amp;AB292)</f>
        <v/>
      </c>
      <c r="DI292" s="43" t="str">
        <f>IF(AC292="","","|n"&amp;#REF!&amp;"+"&amp;AC292&amp;"%")</f>
        <v/>
      </c>
      <c r="DJ292" s="43" t="str">
        <f>IF(AD292="","","|n"&amp;#REF!&amp;"+"&amp;AD292)</f>
        <v/>
      </c>
      <c r="DK292" s="43" t="str">
        <f>IF(AE292="","","|n"&amp;#REF!&amp;"+"&amp;AE292)</f>
        <v/>
      </c>
      <c r="DL292" s="43" t="str">
        <f>IF(AF292="","","|n"&amp;#REF!&amp;"+"&amp;AF292)</f>
        <v/>
      </c>
      <c r="DM292" s="43" t="str">
        <f>IF(AG292="","","|n"&amp;#REF!&amp;"+"&amp;AG292&amp;"%")</f>
        <v/>
      </c>
      <c r="DN292" s="43" t="str">
        <f>IF(AH292="","","|n"&amp;#REF!&amp;"+"&amp;AH292)</f>
        <v/>
      </c>
      <c r="DO292" s="43" t="str">
        <f>IF(AI292="","","|n"&amp;#REF!&amp;"+"&amp;AI292)</f>
        <v/>
      </c>
      <c r="DP292" s="43" t="str">
        <f>IF(AJ292="","","|n"&amp;#REF!&amp;"+"&amp;AJ292)</f>
        <v/>
      </c>
    </row>
    <row r="293" spans="92:120">
      <c r="CN293" s="12" t="str">
        <f t="shared" si="3313"/>
        <v>InitUnitState('',,,,,,,,,,)</v>
      </c>
      <c r="CO293" s="12" t="str">
        <f t="shared" si="3314"/>
        <v>InitUnitNormal('',,,,,,,,,,)</v>
      </c>
      <c r="CP293" s="12" t="str">
        <f t="shared" si="3315"/>
        <v>InitUnitMagic('',,,,,,,,,,)</v>
      </c>
      <c r="CQ293" s="12" t="str">
        <f t="shared" si="3316"/>
        <v>InitUnitAdd('',,,,,,,,,,)</v>
      </c>
      <c r="CR293" s="12" t="str">
        <f t="shared" si="3317"/>
        <v>InitEquipData('',,"",,,,,'','','','','','',"")</v>
      </c>
      <c r="CU293" s="5" t="str">
        <f t="shared" si="3389"/>
        <v>|n</v>
      </c>
      <c r="DB293" s="43" t="str">
        <f>IF(V293="","","|n"&amp;#REF!&amp;"+"&amp;V293)</f>
        <v/>
      </c>
      <c r="DC293" s="43" t="str">
        <f>IF(W293="","","|n"&amp;#REF!&amp;"+"&amp;W293)</f>
        <v/>
      </c>
      <c r="DD293" s="43" t="str">
        <f>IF(X293="","","|n"&amp;#REF!&amp;"+"&amp;X293)</f>
        <v/>
      </c>
      <c r="DE293" s="43" t="str">
        <f>IF(Y293="","","|n"&amp;#REF!&amp;"+"&amp;Y293)</f>
        <v/>
      </c>
      <c r="DF293" s="43" t="str">
        <f>IF(Z293="","","|n"&amp;#REF!&amp;"+"&amp;Z293)</f>
        <v/>
      </c>
      <c r="DG293" s="43" t="str">
        <f>IF(AA293="","","|n"&amp;#REF!&amp;"+"&amp;AA293)</f>
        <v/>
      </c>
      <c r="DH293" s="43" t="str">
        <f>IF(AB293="","","|n"&amp;#REF!&amp;"+"&amp;AB293)</f>
        <v/>
      </c>
      <c r="DI293" s="43" t="str">
        <f>IF(AC293="","","|n"&amp;#REF!&amp;"+"&amp;AC293&amp;"%")</f>
        <v/>
      </c>
      <c r="DJ293" s="43" t="str">
        <f>IF(AD293="","","|n"&amp;#REF!&amp;"+"&amp;AD293)</f>
        <v/>
      </c>
      <c r="DK293" s="43" t="str">
        <f>IF(AE293="","","|n"&amp;#REF!&amp;"+"&amp;AE293)</f>
        <v/>
      </c>
      <c r="DL293" s="43" t="str">
        <f>IF(AF293="","","|n"&amp;#REF!&amp;"+"&amp;AF293)</f>
        <v/>
      </c>
      <c r="DM293" s="43" t="str">
        <f>IF(AG293="","","|n"&amp;#REF!&amp;"+"&amp;AG293&amp;"%")</f>
        <v/>
      </c>
      <c r="DN293" s="43" t="str">
        <f>IF(AH293="","","|n"&amp;#REF!&amp;"+"&amp;AH293)</f>
        <v/>
      </c>
      <c r="DO293" s="43" t="str">
        <f>IF(AI293="","","|n"&amp;#REF!&amp;"+"&amp;AI293)</f>
        <v/>
      </c>
      <c r="DP293" s="43" t="str">
        <f>IF(AJ293="","","|n"&amp;#REF!&amp;"+"&amp;AJ293)</f>
        <v/>
      </c>
    </row>
    <row r="294" spans="92:120">
      <c r="CN294" s="12" t="str">
        <f t="shared" si="3313"/>
        <v>InitUnitState('',,,,,,,,,,)</v>
      </c>
      <c r="CO294" s="12" t="str">
        <f t="shared" si="3314"/>
        <v>InitUnitNormal('',,,,,,,,,,)</v>
      </c>
      <c r="CP294" s="12" t="str">
        <f t="shared" si="3315"/>
        <v>InitUnitMagic('',,,,,,,,,,)</v>
      </c>
      <c r="CQ294" s="12" t="str">
        <f t="shared" si="3316"/>
        <v>InitUnitAdd('',,,,,,,,,,)</v>
      </c>
      <c r="CR294" s="12" t="str">
        <f t="shared" si="3317"/>
        <v>InitEquipData('',,"",,,,,'','','','','','',"")</v>
      </c>
      <c r="CU294" s="5" t="str">
        <f t="shared" si="3389"/>
        <v>|n</v>
      </c>
      <c r="DB294" s="43" t="str">
        <f>IF(V294="","","|n"&amp;#REF!&amp;"+"&amp;V294)</f>
        <v/>
      </c>
      <c r="DC294" s="43" t="str">
        <f>IF(W294="","","|n"&amp;#REF!&amp;"+"&amp;W294)</f>
        <v/>
      </c>
      <c r="DD294" s="43" t="str">
        <f>IF(X294="","","|n"&amp;#REF!&amp;"+"&amp;X294)</f>
        <v/>
      </c>
      <c r="DE294" s="43" t="str">
        <f>IF(Y294="","","|n"&amp;#REF!&amp;"+"&amp;Y294)</f>
        <v/>
      </c>
      <c r="DF294" s="43" t="str">
        <f>IF(Z294="","","|n"&amp;#REF!&amp;"+"&amp;Z294)</f>
        <v/>
      </c>
      <c r="DG294" s="43" t="str">
        <f>IF(AA294="","","|n"&amp;#REF!&amp;"+"&amp;AA294)</f>
        <v/>
      </c>
      <c r="DH294" s="43" t="str">
        <f>IF(AB294="","","|n"&amp;#REF!&amp;"+"&amp;AB294)</f>
        <v/>
      </c>
      <c r="DI294" s="43" t="str">
        <f>IF(AC294="","","|n"&amp;#REF!&amp;"+"&amp;AC294&amp;"%")</f>
        <v/>
      </c>
      <c r="DJ294" s="43" t="str">
        <f>IF(AD294="","","|n"&amp;#REF!&amp;"+"&amp;AD294)</f>
        <v/>
      </c>
      <c r="DK294" s="43" t="str">
        <f>IF(AE294="","","|n"&amp;#REF!&amp;"+"&amp;AE294)</f>
        <v/>
      </c>
      <c r="DL294" s="43" t="str">
        <f>IF(AF294="","","|n"&amp;#REF!&amp;"+"&amp;AF294)</f>
        <v/>
      </c>
      <c r="DM294" s="43" t="str">
        <f>IF(AG294="","","|n"&amp;#REF!&amp;"+"&amp;AG294&amp;"%")</f>
        <v/>
      </c>
      <c r="DN294" s="43" t="str">
        <f>IF(AH294="","","|n"&amp;#REF!&amp;"+"&amp;AH294)</f>
        <v/>
      </c>
      <c r="DO294" s="43" t="str">
        <f>IF(AI294="","","|n"&amp;#REF!&amp;"+"&amp;AI294)</f>
        <v/>
      </c>
      <c r="DP294" s="43" t="str">
        <f>IF(AJ294="","","|n"&amp;#REF!&amp;"+"&amp;AJ294)</f>
        <v/>
      </c>
    </row>
    <row r="295" spans="92:120">
      <c r="CN295" s="12" t="str">
        <f t="shared" si="3313"/>
        <v>InitUnitState('',,,,,,,,,,)</v>
      </c>
      <c r="CO295" s="12" t="str">
        <f t="shared" si="3314"/>
        <v>InitUnitNormal('',,,,,,,,,,)</v>
      </c>
      <c r="CP295" s="12" t="str">
        <f t="shared" si="3315"/>
        <v>InitUnitMagic('',,,,,,,,,,)</v>
      </c>
      <c r="CQ295" s="12" t="str">
        <f t="shared" si="3316"/>
        <v>InitUnitAdd('',,,,,,,,,,)</v>
      </c>
      <c r="CR295" s="12" t="str">
        <f t="shared" si="3317"/>
        <v>InitEquipData('',,"",,,,,'','','','','','',"")</v>
      </c>
      <c r="CU295" s="5" t="str">
        <f t="shared" si="3389"/>
        <v>|n</v>
      </c>
      <c r="DB295" s="43" t="str">
        <f>IF(V295="","","|n"&amp;#REF!&amp;"+"&amp;V295)</f>
        <v/>
      </c>
      <c r="DC295" s="43" t="str">
        <f>IF(W295="","","|n"&amp;#REF!&amp;"+"&amp;W295)</f>
        <v/>
      </c>
      <c r="DD295" s="43" t="str">
        <f>IF(X295="","","|n"&amp;#REF!&amp;"+"&amp;X295)</f>
        <v/>
      </c>
      <c r="DE295" s="43" t="str">
        <f>IF(Y295="","","|n"&amp;#REF!&amp;"+"&amp;Y295)</f>
        <v/>
      </c>
      <c r="DF295" s="43" t="str">
        <f>IF(Z295="","","|n"&amp;#REF!&amp;"+"&amp;Z295)</f>
        <v/>
      </c>
      <c r="DG295" s="43" t="str">
        <f>IF(AA295="","","|n"&amp;#REF!&amp;"+"&amp;AA295)</f>
        <v/>
      </c>
      <c r="DH295" s="43" t="str">
        <f>IF(AB295="","","|n"&amp;#REF!&amp;"+"&amp;AB295)</f>
        <v/>
      </c>
      <c r="DI295" s="43" t="str">
        <f>IF(AC295="","","|n"&amp;#REF!&amp;"+"&amp;AC295&amp;"%")</f>
        <v/>
      </c>
      <c r="DJ295" s="43" t="str">
        <f>IF(AD295="","","|n"&amp;#REF!&amp;"+"&amp;AD295)</f>
        <v/>
      </c>
      <c r="DK295" s="43" t="str">
        <f>IF(AE295="","","|n"&amp;#REF!&amp;"+"&amp;AE295)</f>
        <v/>
      </c>
      <c r="DL295" s="43" t="str">
        <f>IF(AF295="","","|n"&amp;#REF!&amp;"+"&amp;AF295)</f>
        <v/>
      </c>
      <c r="DM295" s="43" t="str">
        <f>IF(AG295="","","|n"&amp;#REF!&amp;"+"&amp;AG295&amp;"%")</f>
        <v/>
      </c>
      <c r="DN295" s="43" t="str">
        <f>IF(AH295="","","|n"&amp;#REF!&amp;"+"&amp;AH295)</f>
        <v/>
      </c>
      <c r="DO295" s="43" t="str">
        <f>IF(AI295="","","|n"&amp;#REF!&amp;"+"&amp;AI295)</f>
        <v/>
      </c>
      <c r="DP295" s="43" t="str">
        <f>IF(AJ295="","","|n"&amp;#REF!&amp;"+"&amp;AJ295)</f>
        <v/>
      </c>
    </row>
    <row r="296" spans="92:120">
      <c r="CN296" s="12" t="str">
        <f t="shared" si="3313"/>
        <v>InitUnitState('',,,,,,,,,,)</v>
      </c>
      <c r="CO296" s="12" t="str">
        <f t="shared" si="3314"/>
        <v>InitUnitNormal('',,,,,,,,,,)</v>
      </c>
      <c r="CP296" s="12" t="str">
        <f t="shared" si="3315"/>
        <v>InitUnitMagic('',,,,,,,,,,)</v>
      </c>
      <c r="CQ296" s="12" t="str">
        <f t="shared" si="3316"/>
        <v>InitUnitAdd('',,,,,,,,,,)</v>
      </c>
      <c r="CR296" s="12" t="str">
        <f t="shared" si="3317"/>
        <v>InitEquipData('',,"",,,,,'','','','','','',"")</v>
      </c>
      <c r="CU296" s="5" t="str">
        <f t="shared" si="3389"/>
        <v>|n</v>
      </c>
      <c r="DB296" s="43" t="str">
        <f>IF(V296="","","|n"&amp;#REF!&amp;"+"&amp;V296)</f>
        <v/>
      </c>
      <c r="DC296" s="43" t="str">
        <f>IF(W296="","","|n"&amp;#REF!&amp;"+"&amp;W296)</f>
        <v/>
      </c>
      <c r="DD296" s="43" t="str">
        <f>IF(X296="","","|n"&amp;#REF!&amp;"+"&amp;X296)</f>
        <v/>
      </c>
      <c r="DE296" s="43" t="str">
        <f>IF(Y296="","","|n"&amp;#REF!&amp;"+"&amp;Y296)</f>
        <v/>
      </c>
      <c r="DF296" s="43" t="str">
        <f>IF(Z296="","","|n"&amp;#REF!&amp;"+"&amp;Z296)</f>
        <v/>
      </c>
      <c r="DG296" s="43" t="str">
        <f>IF(AA296="","","|n"&amp;#REF!&amp;"+"&amp;AA296)</f>
        <v/>
      </c>
      <c r="DH296" s="43" t="str">
        <f>IF(AB296="","","|n"&amp;#REF!&amp;"+"&amp;AB296)</f>
        <v/>
      </c>
      <c r="DI296" s="43" t="str">
        <f>IF(AC296="","","|n"&amp;#REF!&amp;"+"&amp;AC296&amp;"%")</f>
        <v/>
      </c>
      <c r="DJ296" s="43" t="str">
        <f>IF(AD296="","","|n"&amp;#REF!&amp;"+"&amp;AD296)</f>
        <v/>
      </c>
      <c r="DK296" s="43" t="str">
        <f>IF(AE296="","","|n"&amp;#REF!&amp;"+"&amp;AE296)</f>
        <v/>
      </c>
      <c r="DL296" s="43" t="str">
        <f>IF(AF296="","","|n"&amp;#REF!&amp;"+"&amp;AF296)</f>
        <v/>
      </c>
      <c r="DM296" s="43" t="str">
        <f>IF(AG296="","","|n"&amp;#REF!&amp;"+"&amp;AG296&amp;"%")</f>
        <v/>
      </c>
      <c r="DN296" s="43" t="str">
        <f>IF(AH296="","","|n"&amp;#REF!&amp;"+"&amp;AH296)</f>
        <v/>
      </c>
      <c r="DO296" s="43" t="str">
        <f>IF(AI296="","","|n"&amp;#REF!&amp;"+"&amp;AI296)</f>
        <v/>
      </c>
      <c r="DP296" s="43" t="str">
        <f>IF(AJ296="","","|n"&amp;#REF!&amp;"+"&amp;AJ296)</f>
        <v/>
      </c>
    </row>
    <row r="297" spans="92:120">
      <c r="CN297" s="12" t="str">
        <f t="shared" ref="CN297:CN316" si="3390">"InitUnitState('"&amp;B297&amp;"',"&amp;V297&amp;","&amp;W297&amp;","&amp;X297&amp;","&amp;Y297&amp;","&amp;Z297&amp;","&amp;AA297&amp;","&amp;AB297&amp;","&amp;AC297&amp;","&amp;AD297&amp;","&amp;AE297&amp;")"</f>
        <v>InitUnitState('',,,,,,,,,,)</v>
      </c>
      <c r="CO297" s="12" t="str">
        <f t="shared" ref="CO297:CO316" si="3391">"InitUnitNormal('"&amp;B297&amp;"',"&amp;AF297&amp;","&amp;AG297&amp;","&amp;AH297&amp;","&amp;AI297&amp;","&amp;AJ297&amp;","&amp;AK297&amp;","&amp;AL297&amp;","&amp;AM297&amp;","&amp;AN297&amp;","&amp;AO297&amp;")"</f>
        <v>InitUnitNormal('',,,,,,,,,,)</v>
      </c>
      <c r="CP297" s="12" t="str">
        <f t="shared" ref="CP297:CP316" si="3392">"InitUnitMagic('"&amp;B297&amp;"',"&amp;AP297&amp;","&amp;AQ297&amp;","&amp;AR297&amp;","&amp;AS297&amp;","&amp;AT297&amp;","&amp;AU297&amp;","&amp;AV297&amp;","&amp;AW297&amp;","&amp;BI297&amp;","&amp;BJ297&amp;")"</f>
        <v>InitUnitMagic('',,,,,,,,,,)</v>
      </c>
      <c r="CQ297" s="12" t="str">
        <f t="shared" ref="CQ297:CQ316" si="3393">"InitUnitAdd('"&amp;B297&amp;"',"&amp;BK297&amp;","&amp;BL297&amp;","&amp;BM297&amp;","&amp;BN297&amp;","&amp;BO297&amp;","&amp;BP297&amp;","&amp;BQ297&amp;","&amp;BR297&amp;","&amp;BS297&amp;","&amp;BT297&amp;")"</f>
        <v>InitUnitAdd('',,,,,,,,,,)</v>
      </c>
      <c r="CR297" s="12" t="str">
        <f t="shared" ref="CR297:CR316" si="3394"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InitEquipData('',,"",,,,,'','','','','','',"")</v>
      </c>
      <c r="CU297" s="5" t="str">
        <f t="shared" si="3389"/>
        <v>|n</v>
      </c>
      <c r="DB297" s="43" t="str">
        <f>IF(V297="","","|n"&amp;#REF!&amp;"+"&amp;V297)</f>
        <v/>
      </c>
      <c r="DC297" s="43" t="str">
        <f>IF(W297="","","|n"&amp;#REF!&amp;"+"&amp;W297)</f>
        <v/>
      </c>
      <c r="DD297" s="43" t="str">
        <f>IF(X297="","","|n"&amp;#REF!&amp;"+"&amp;X297)</f>
        <v/>
      </c>
      <c r="DE297" s="43" t="str">
        <f>IF(Y297="","","|n"&amp;#REF!&amp;"+"&amp;Y297)</f>
        <v/>
      </c>
      <c r="DF297" s="43" t="str">
        <f>IF(Z297="","","|n"&amp;#REF!&amp;"+"&amp;Z297)</f>
        <v/>
      </c>
      <c r="DG297" s="43" t="str">
        <f>IF(AA297="","","|n"&amp;#REF!&amp;"+"&amp;AA297)</f>
        <v/>
      </c>
      <c r="DH297" s="43" t="str">
        <f>IF(AB297="","","|n"&amp;#REF!&amp;"+"&amp;AB297)</f>
        <v/>
      </c>
      <c r="DI297" s="43" t="str">
        <f>IF(AC297="","","|n"&amp;#REF!&amp;"+"&amp;AC297&amp;"%")</f>
        <v/>
      </c>
      <c r="DJ297" s="43" t="str">
        <f>IF(AD297="","","|n"&amp;#REF!&amp;"+"&amp;AD297)</f>
        <v/>
      </c>
      <c r="DK297" s="43" t="str">
        <f>IF(AE297="","","|n"&amp;#REF!&amp;"+"&amp;AE297)</f>
        <v/>
      </c>
      <c r="DL297" s="43" t="str">
        <f>IF(AF297="","","|n"&amp;#REF!&amp;"+"&amp;AF297)</f>
        <v/>
      </c>
      <c r="DM297" s="43" t="str">
        <f>IF(AG297="","","|n"&amp;#REF!&amp;"+"&amp;AG297&amp;"%")</f>
        <v/>
      </c>
      <c r="DN297" s="43" t="str">
        <f>IF(AH297="","","|n"&amp;#REF!&amp;"+"&amp;AH297)</f>
        <v/>
      </c>
      <c r="DO297" s="43" t="str">
        <f>IF(AI297="","","|n"&amp;#REF!&amp;"+"&amp;AI297)</f>
        <v/>
      </c>
      <c r="DP297" s="43" t="str">
        <f>IF(AJ297="","","|n"&amp;#REF!&amp;"+"&amp;AJ297)</f>
        <v/>
      </c>
    </row>
    <row r="298" spans="92:120">
      <c r="CN298" s="12" t="str">
        <f t="shared" si="3390"/>
        <v>InitUnitState('',,,,,,,,,,)</v>
      </c>
      <c r="CO298" s="12" t="str">
        <f t="shared" si="3391"/>
        <v>InitUnitNormal('',,,,,,,,,,)</v>
      </c>
      <c r="CP298" s="12" t="str">
        <f t="shared" si="3392"/>
        <v>InitUnitMagic('',,,,,,,,,,)</v>
      </c>
      <c r="CQ298" s="12" t="str">
        <f t="shared" si="3393"/>
        <v>InitUnitAdd('',,,,,,,,,,)</v>
      </c>
      <c r="CR298" s="12" t="str">
        <f t="shared" si="3394"/>
        <v>InitEquipData('',,"",,,,,'','','','','','',"")</v>
      </c>
      <c r="CU298" s="5" t="str">
        <f t="shared" si="3389"/>
        <v>|n</v>
      </c>
      <c r="DB298" s="43" t="str">
        <f>IF(V298="","","|n"&amp;#REF!&amp;"+"&amp;V298)</f>
        <v/>
      </c>
      <c r="DC298" s="43" t="str">
        <f>IF(W298="","","|n"&amp;#REF!&amp;"+"&amp;W298)</f>
        <v/>
      </c>
      <c r="DD298" s="43" t="str">
        <f>IF(X298="","","|n"&amp;#REF!&amp;"+"&amp;X298)</f>
        <v/>
      </c>
      <c r="DE298" s="43" t="str">
        <f>IF(Y298="","","|n"&amp;#REF!&amp;"+"&amp;Y298)</f>
        <v/>
      </c>
      <c r="DF298" s="43" t="str">
        <f>IF(Z298="","","|n"&amp;#REF!&amp;"+"&amp;Z298)</f>
        <v/>
      </c>
      <c r="DG298" s="43" t="str">
        <f>IF(AA298="","","|n"&amp;#REF!&amp;"+"&amp;AA298)</f>
        <v/>
      </c>
      <c r="DH298" s="43" t="str">
        <f>IF(AB298="","","|n"&amp;#REF!&amp;"+"&amp;AB298)</f>
        <v/>
      </c>
      <c r="DI298" s="43" t="str">
        <f>IF(AC298="","","|n"&amp;#REF!&amp;"+"&amp;AC298&amp;"%")</f>
        <v/>
      </c>
      <c r="DJ298" s="43" t="str">
        <f>IF(AD298="","","|n"&amp;#REF!&amp;"+"&amp;AD298)</f>
        <v/>
      </c>
      <c r="DK298" s="43" t="str">
        <f>IF(AE298="","","|n"&amp;#REF!&amp;"+"&amp;AE298)</f>
        <v/>
      </c>
      <c r="DL298" s="43" t="str">
        <f>IF(AF298="","","|n"&amp;#REF!&amp;"+"&amp;AF298)</f>
        <v/>
      </c>
      <c r="DM298" s="43" t="str">
        <f>IF(AG298="","","|n"&amp;#REF!&amp;"+"&amp;AG298&amp;"%")</f>
        <v/>
      </c>
      <c r="DN298" s="43" t="str">
        <f>IF(AH298="","","|n"&amp;#REF!&amp;"+"&amp;AH298)</f>
        <v/>
      </c>
      <c r="DO298" s="43" t="str">
        <f>IF(AI298="","","|n"&amp;#REF!&amp;"+"&amp;AI298)</f>
        <v/>
      </c>
      <c r="DP298" s="43" t="str">
        <f>IF(AJ298="","","|n"&amp;#REF!&amp;"+"&amp;AJ298)</f>
        <v/>
      </c>
    </row>
    <row r="299" spans="92:120">
      <c r="CN299" s="12" t="str">
        <f t="shared" si="3390"/>
        <v>InitUnitState('',,,,,,,,,,)</v>
      </c>
      <c r="CO299" s="12" t="str">
        <f t="shared" si="3391"/>
        <v>InitUnitNormal('',,,,,,,,,,)</v>
      </c>
      <c r="CP299" s="12" t="str">
        <f t="shared" si="3392"/>
        <v>InitUnitMagic('',,,,,,,,,,)</v>
      </c>
      <c r="CQ299" s="12" t="str">
        <f t="shared" si="3393"/>
        <v>InitUnitAdd('',,,,,,,,,,)</v>
      </c>
      <c r="CR299" s="12" t="str">
        <f t="shared" si="3394"/>
        <v>InitEquipData('',,"",,,,,'','','','','','',"")</v>
      </c>
      <c r="CU299" s="5" t="str">
        <f t="shared" si="3389"/>
        <v>|n</v>
      </c>
      <c r="DB299" s="43" t="str">
        <f>IF(V299="","","|n"&amp;#REF!&amp;"+"&amp;V299)</f>
        <v/>
      </c>
      <c r="DC299" s="43" t="str">
        <f>IF(W299="","","|n"&amp;#REF!&amp;"+"&amp;W299)</f>
        <v/>
      </c>
      <c r="DD299" s="43" t="str">
        <f>IF(X299="","","|n"&amp;#REF!&amp;"+"&amp;X299)</f>
        <v/>
      </c>
      <c r="DE299" s="43" t="str">
        <f>IF(Y299="","","|n"&amp;#REF!&amp;"+"&amp;Y299)</f>
        <v/>
      </c>
      <c r="DF299" s="43" t="str">
        <f>IF(Z299="","","|n"&amp;#REF!&amp;"+"&amp;Z299)</f>
        <v/>
      </c>
      <c r="DG299" s="43" t="str">
        <f>IF(AA299="","","|n"&amp;#REF!&amp;"+"&amp;AA299)</f>
        <v/>
      </c>
      <c r="DH299" s="43" t="str">
        <f>IF(AB299="","","|n"&amp;#REF!&amp;"+"&amp;AB299)</f>
        <v/>
      </c>
      <c r="DI299" s="43" t="str">
        <f>IF(AC299="","","|n"&amp;#REF!&amp;"+"&amp;AC299&amp;"%")</f>
        <v/>
      </c>
      <c r="DJ299" s="43" t="str">
        <f>IF(AD299="","","|n"&amp;#REF!&amp;"+"&amp;AD299)</f>
        <v/>
      </c>
      <c r="DK299" s="43" t="str">
        <f>IF(AE299="","","|n"&amp;#REF!&amp;"+"&amp;AE299)</f>
        <v/>
      </c>
      <c r="DL299" s="43" t="str">
        <f>IF(AF299="","","|n"&amp;#REF!&amp;"+"&amp;AF299)</f>
        <v/>
      </c>
      <c r="DM299" s="43" t="str">
        <f>IF(AG299="","","|n"&amp;#REF!&amp;"+"&amp;AG299&amp;"%")</f>
        <v/>
      </c>
      <c r="DN299" s="43" t="str">
        <f>IF(AH299="","","|n"&amp;#REF!&amp;"+"&amp;AH299)</f>
        <v/>
      </c>
      <c r="DO299" s="43" t="str">
        <f>IF(AI299="","","|n"&amp;#REF!&amp;"+"&amp;AI299)</f>
        <v/>
      </c>
      <c r="DP299" s="43" t="str">
        <f>IF(AJ299="","","|n"&amp;#REF!&amp;"+"&amp;AJ299)</f>
        <v/>
      </c>
    </row>
    <row r="300" spans="92:120">
      <c r="CN300" s="12" t="str">
        <f t="shared" si="3390"/>
        <v>InitUnitState('',,,,,,,,,,)</v>
      </c>
      <c r="CO300" s="12" t="str">
        <f t="shared" si="3391"/>
        <v>InitUnitNormal('',,,,,,,,,,)</v>
      </c>
      <c r="CP300" s="12" t="str">
        <f t="shared" si="3392"/>
        <v>InitUnitMagic('',,,,,,,,,,)</v>
      </c>
      <c r="CQ300" s="12" t="str">
        <f t="shared" si="3393"/>
        <v>InitUnitAdd('',,,,,,,,,,)</v>
      </c>
      <c r="CR300" s="12" t="str">
        <f t="shared" si="3394"/>
        <v>InitEquipData('',,"",,,,,'','','','','','',"")</v>
      </c>
      <c r="CU300" s="5" t="str">
        <f t="shared" si="3389"/>
        <v>|n</v>
      </c>
      <c r="DB300" s="43" t="str">
        <f>IF(V300="","","|n"&amp;#REF!&amp;"+"&amp;V300)</f>
        <v/>
      </c>
      <c r="DC300" s="43" t="str">
        <f>IF(W300="","","|n"&amp;#REF!&amp;"+"&amp;W300)</f>
        <v/>
      </c>
      <c r="DD300" s="43" t="str">
        <f>IF(X300="","","|n"&amp;#REF!&amp;"+"&amp;X300)</f>
        <v/>
      </c>
      <c r="DE300" s="43" t="str">
        <f>IF(Y300="","","|n"&amp;#REF!&amp;"+"&amp;Y300)</f>
        <v/>
      </c>
      <c r="DF300" s="43" t="str">
        <f>IF(Z300="","","|n"&amp;#REF!&amp;"+"&amp;Z300)</f>
        <v/>
      </c>
      <c r="DG300" s="43" t="str">
        <f>IF(AA300="","","|n"&amp;#REF!&amp;"+"&amp;AA300)</f>
        <v/>
      </c>
      <c r="DH300" s="43" t="str">
        <f>IF(AB300="","","|n"&amp;#REF!&amp;"+"&amp;AB300)</f>
        <v/>
      </c>
      <c r="DI300" s="43" t="str">
        <f>IF(AC300="","","|n"&amp;#REF!&amp;"+"&amp;AC300&amp;"%")</f>
        <v/>
      </c>
      <c r="DJ300" s="43" t="str">
        <f>IF(AD300="","","|n"&amp;#REF!&amp;"+"&amp;AD300)</f>
        <v/>
      </c>
      <c r="DK300" s="43" t="str">
        <f>IF(AE300="","","|n"&amp;#REF!&amp;"+"&amp;AE300)</f>
        <v/>
      </c>
      <c r="DL300" s="43" t="str">
        <f>IF(AF300="","","|n"&amp;#REF!&amp;"+"&amp;AF300)</f>
        <v/>
      </c>
      <c r="DM300" s="43" t="str">
        <f>IF(AG300="","","|n"&amp;#REF!&amp;"+"&amp;AG300&amp;"%")</f>
        <v/>
      </c>
      <c r="DN300" s="43" t="str">
        <f>IF(AH300="","","|n"&amp;#REF!&amp;"+"&amp;AH300)</f>
        <v/>
      </c>
      <c r="DO300" s="43" t="str">
        <f>IF(AI300="","","|n"&amp;#REF!&amp;"+"&amp;AI300)</f>
        <v/>
      </c>
      <c r="DP300" s="43" t="str">
        <f>IF(AJ300="","","|n"&amp;#REF!&amp;"+"&amp;AJ300)</f>
        <v/>
      </c>
    </row>
    <row r="301" spans="92:120">
      <c r="CN301" s="12" t="str">
        <f t="shared" si="3390"/>
        <v>InitUnitState('',,,,,,,,,,)</v>
      </c>
      <c r="CO301" s="12" t="str">
        <f t="shared" si="3391"/>
        <v>InitUnitNormal('',,,,,,,,,,)</v>
      </c>
      <c r="CP301" s="12" t="str">
        <f t="shared" si="3392"/>
        <v>InitUnitMagic('',,,,,,,,,,)</v>
      </c>
      <c r="CQ301" s="12" t="str">
        <f t="shared" si="3393"/>
        <v>InitUnitAdd('',,,,,,,,,,)</v>
      </c>
      <c r="CR301" s="12" t="str">
        <f t="shared" si="3394"/>
        <v>InitEquipData('',,"",,,,,'','','','','','',"")</v>
      </c>
      <c r="CU301" s="5" t="str">
        <f t="shared" si="3389"/>
        <v>|n</v>
      </c>
      <c r="DB301" s="43" t="str">
        <f>IF(V301="","","|n"&amp;#REF!&amp;"+"&amp;V301)</f>
        <v/>
      </c>
      <c r="DC301" s="43" t="str">
        <f>IF(W301="","","|n"&amp;#REF!&amp;"+"&amp;W301)</f>
        <v/>
      </c>
      <c r="DD301" s="43" t="str">
        <f>IF(X301="","","|n"&amp;#REF!&amp;"+"&amp;X301)</f>
        <v/>
      </c>
      <c r="DE301" s="43" t="str">
        <f>IF(Y301="","","|n"&amp;#REF!&amp;"+"&amp;Y301)</f>
        <v/>
      </c>
      <c r="DF301" s="43" t="str">
        <f>IF(Z301="","","|n"&amp;#REF!&amp;"+"&amp;Z301)</f>
        <v/>
      </c>
      <c r="DG301" s="43" t="str">
        <f>IF(AA301="","","|n"&amp;#REF!&amp;"+"&amp;AA301)</f>
        <v/>
      </c>
      <c r="DH301" s="43" t="str">
        <f>IF(AB301="","","|n"&amp;#REF!&amp;"+"&amp;AB301)</f>
        <v/>
      </c>
      <c r="DI301" s="43" t="str">
        <f>IF(AC301="","","|n"&amp;#REF!&amp;"+"&amp;AC301&amp;"%")</f>
        <v/>
      </c>
      <c r="DJ301" s="43" t="str">
        <f>IF(AD301="","","|n"&amp;#REF!&amp;"+"&amp;AD301)</f>
        <v/>
      </c>
      <c r="DK301" s="43" t="str">
        <f>IF(AE301="","","|n"&amp;#REF!&amp;"+"&amp;AE301)</f>
        <v/>
      </c>
      <c r="DL301" s="43" t="str">
        <f>IF(AF301="","","|n"&amp;#REF!&amp;"+"&amp;AF301)</f>
        <v/>
      </c>
      <c r="DM301" s="43" t="str">
        <f>IF(AG301="","","|n"&amp;#REF!&amp;"+"&amp;AG301&amp;"%")</f>
        <v/>
      </c>
      <c r="DN301" s="43" t="str">
        <f>IF(AH301="","","|n"&amp;#REF!&amp;"+"&amp;AH301)</f>
        <v/>
      </c>
      <c r="DO301" s="43" t="str">
        <f>IF(AI301="","","|n"&amp;#REF!&amp;"+"&amp;AI301)</f>
        <v/>
      </c>
      <c r="DP301" s="43" t="str">
        <f>IF(AJ301="","","|n"&amp;#REF!&amp;"+"&amp;AJ301)</f>
        <v/>
      </c>
    </row>
    <row r="302" spans="92:120">
      <c r="CN302" s="12" t="str">
        <f t="shared" si="3390"/>
        <v>InitUnitState('',,,,,,,,,,)</v>
      </c>
      <c r="CO302" s="12" t="str">
        <f t="shared" si="3391"/>
        <v>InitUnitNormal('',,,,,,,,,,)</v>
      </c>
      <c r="CP302" s="12" t="str">
        <f t="shared" si="3392"/>
        <v>InitUnitMagic('',,,,,,,,,,)</v>
      </c>
      <c r="CQ302" s="12" t="str">
        <f t="shared" si="3393"/>
        <v>InitUnitAdd('',,,,,,,,,,)</v>
      </c>
      <c r="CR302" s="12" t="str">
        <f t="shared" si="3394"/>
        <v>InitEquipData('',,"",,,,,'','','','','','',"")</v>
      </c>
      <c r="CU302" s="5" t="str">
        <f t="shared" si="3389"/>
        <v>|n</v>
      </c>
      <c r="DB302" s="43" t="str">
        <f>IF(V302="","","|n"&amp;#REF!&amp;"+"&amp;V302)</f>
        <v/>
      </c>
      <c r="DC302" s="43" t="str">
        <f>IF(W302="","","|n"&amp;#REF!&amp;"+"&amp;W302)</f>
        <v/>
      </c>
      <c r="DD302" s="43" t="str">
        <f>IF(X302="","","|n"&amp;#REF!&amp;"+"&amp;X302)</f>
        <v/>
      </c>
      <c r="DE302" s="43" t="str">
        <f>IF(Y302="","","|n"&amp;#REF!&amp;"+"&amp;Y302)</f>
        <v/>
      </c>
      <c r="DF302" s="43" t="str">
        <f>IF(Z302="","","|n"&amp;#REF!&amp;"+"&amp;Z302)</f>
        <v/>
      </c>
      <c r="DG302" s="43" t="str">
        <f>IF(AA302="","","|n"&amp;#REF!&amp;"+"&amp;AA302)</f>
        <v/>
      </c>
      <c r="DH302" s="43" t="str">
        <f>IF(AB302="","","|n"&amp;#REF!&amp;"+"&amp;AB302)</f>
        <v/>
      </c>
      <c r="DI302" s="43" t="str">
        <f>IF(AC302="","","|n"&amp;#REF!&amp;"+"&amp;AC302&amp;"%")</f>
        <v/>
      </c>
      <c r="DJ302" s="43" t="str">
        <f>IF(AD302="","","|n"&amp;#REF!&amp;"+"&amp;AD302)</f>
        <v/>
      </c>
      <c r="DK302" s="43" t="str">
        <f>IF(AE302="","","|n"&amp;#REF!&amp;"+"&amp;AE302)</f>
        <v/>
      </c>
      <c r="DL302" s="43" t="str">
        <f>IF(AF302="","","|n"&amp;#REF!&amp;"+"&amp;AF302)</f>
        <v/>
      </c>
      <c r="DM302" s="43" t="str">
        <f>IF(AG302="","","|n"&amp;#REF!&amp;"+"&amp;AG302&amp;"%")</f>
        <v/>
      </c>
      <c r="DN302" s="43" t="str">
        <f>IF(AH302="","","|n"&amp;#REF!&amp;"+"&amp;AH302)</f>
        <v/>
      </c>
      <c r="DO302" s="43" t="str">
        <f>IF(AI302="","","|n"&amp;#REF!&amp;"+"&amp;AI302)</f>
        <v/>
      </c>
      <c r="DP302" s="43" t="str">
        <f>IF(AJ302="","","|n"&amp;#REF!&amp;"+"&amp;AJ302)</f>
        <v/>
      </c>
    </row>
    <row r="303" spans="92:120">
      <c r="CN303" s="12" t="str">
        <f t="shared" si="3390"/>
        <v>InitUnitState('',,,,,,,,,,)</v>
      </c>
      <c r="CO303" s="12" t="str">
        <f t="shared" si="3391"/>
        <v>InitUnitNormal('',,,,,,,,,,)</v>
      </c>
      <c r="CP303" s="12" t="str">
        <f t="shared" si="3392"/>
        <v>InitUnitMagic('',,,,,,,,,,)</v>
      </c>
      <c r="CQ303" s="12" t="str">
        <f t="shared" si="3393"/>
        <v>InitUnitAdd('',,,,,,,,,,)</v>
      </c>
      <c r="CR303" s="12" t="str">
        <f t="shared" si="3394"/>
        <v>InitEquipData('',,"",,,,,'','','','','','',"")</v>
      </c>
      <c r="CU303" s="5" t="str">
        <f t="shared" si="3389"/>
        <v>|n</v>
      </c>
      <c r="DB303" s="43" t="str">
        <f>IF(V303="","","|n"&amp;#REF!&amp;"+"&amp;V303)</f>
        <v/>
      </c>
      <c r="DC303" s="43" t="str">
        <f>IF(W303="","","|n"&amp;#REF!&amp;"+"&amp;W303)</f>
        <v/>
      </c>
      <c r="DD303" s="43" t="str">
        <f>IF(X303="","","|n"&amp;#REF!&amp;"+"&amp;X303)</f>
        <v/>
      </c>
      <c r="DE303" s="43" t="str">
        <f>IF(Y303="","","|n"&amp;#REF!&amp;"+"&amp;Y303)</f>
        <v/>
      </c>
      <c r="DF303" s="43" t="str">
        <f>IF(Z303="","","|n"&amp;#REF!&amp;"+"&amp;Z303)</f>
        <v/>
      </c>
      <c r="DG303" s="43" t="str">
        <f>IF(AA303="","","|n"&amp;#REF!&amp;"+"&amp;AA303)</f>
        <v/>
      </c>
      <c r="DH303" s="43" t="str">
        <f>IF(AB303="","","|n"&amp;#REF!&amp;"+"&amp;AB303)</f>
        <v/>
      </c>
      <c r="DI303" s="43" t="str">
        <f>IF(AC303="","","|n"&amp;#REF!&amp;"+"&amp;AC303&amp;"%")</f>
        <v/>
      </c>
      <c r="DJ303" s="43" t="str">
        <f>IF(AD303="","","|n"&amp;#REF!&amp;"+"&amp;AD303)</f>
        <v/>
      </c>
      <c r="DK303" s="43" t="str">
        <f>IF(AE303="","","|n"&amp;#REF!&amp;"+"&amp;AE303)</f>
        <v/>
      </c>
      <c r="DL303" s="43" t="str">
        <f>IF(AF303="","","|n"&amp;#REF!&amp;"+"&amp;AF303)</f>
        <v/>
      </c>
      <c r="DM303" s="43" t="str">
        <f>IF(AG303="","","|n"&amp;#REF!&amp;"+"&amp;AG303&amp;"%")</f>
        <v/>
      </c>
      <c r="DN303" s="43" t="str">
        <f>IF(AH303="","","|n"&amp;#REF!&amp;"+"&amp;AH303)</f>
        <v/>
      </c>
      <c r="DO303" s="43" t="str">
        <f>IF(AI303="","","|n"&amp;#REF!&amp;"+"&amp;AI303)</f>
        <v/>
      </c>
      <c r="DP303" s="43" t="str">
        <f>IF(AJ303="","","|n"&amp;#REF!&amp;"+"&amp;AJ303)</f>
        <v/>
      </c>
    </row>
    <row r="304" spans="92:120">
      <c r="CN304" s="12" t="str">
        <f t="shared" si="3390"/>
        <v>InitUnitState('',,,,,,,,,,)</v>
      </c>
      <c r="CO304" s="12" t="str">
        <f t="shared" si="3391"/>
        <v>InitUnitNormal('',,,,,,,,,,)</v>
      </c>
      <c r="CP304" s="12" t="str">
        <f t="shared" si="3392"/>
        <v>InitUnitMagic('',,,,,,,,,,)</v>
      </c>
      <c r="CQ304" s="12" t="str">
        <f t="shared" si="3393"/>
        <v>InitUnitAdd('',,,,,,,,,,)</v>
      </c>
      <c r="CR304" s="12" t="str">
        <f t="shared" si="3394"/>
        <v>InitEquipData('',,"",,,,,'','','','','','',"")</v>
      </c>
      <c r="CU304" s="5" t="str">
        <f t="shared" si="3389"/>
        <v>|n</v>
      </c>
      <c r="DB304" s="43" t="str">
        <f>IF(V304="","","|n"&amp;#REF!&amp;"+"&amp;V304)</f>
        <v/>
      </c>
      <c r="DC304" s="43" t="str">
        <f>IF(W304="","","|n"&amp;#REF!&amp;"+"&amp;W304)</f>
        <v/>
      </c>
      <c r="DD304" s="43" t="str">
        <f>IF(X304="","","|n"&amp;#REF!&amp;"+"&amp;X304)</f>
        <v/>
      </c>
      <c r="DE304" s="43" t="str">
        <f>IF(Y304="","","|n"&amp;#REF!&amp;"+"&amp;Y304)</f>
        <v/>
      </c>
      <c r="DF304" s="43" t="str">
        <f>IF(Z304="","","|n"&amp;#REF!&amp;"+"&amp;Z304)</f>
        <v/>
      </c>
      <c r="DG304" s="43" t="str">
        <f>IF(AA304="","","|n"&amp;#REF!&amp;"+"&amp;AA304)</f>
        <v/>
      </c>
      <c r="DH304" s="43" t="str">
        <f>IF(AB304="","","|n"&amp;#REF!&amp;"+"&amp;AB304)</f>
        <v/>
      </c>
      <c r="DI304" s="43" t="str">
        <f>IF(AC304="","","|n"&amp;#REF!&amp;"+"&amp;AC304&amp;"%")</f>
        <v/>
      </c>
      <c r="DJ304" s="43" t="str">
        <f>IF(AD304="","","|n"&amp;#REF!&amp;"+"&amp;AD304)</f>
        <v/>
      </c>
      <c r="DK304" s="43" t="str">
        <f>IF(AE304="","","|n"&amp;#REF!&amp;"+"&amp;AE304)</f>
        <v/>
      </c>
      <c r="DL304" s="43" t="str">
        <f>IF(AF304="","","|n"&amp;#REF!&amp;"+"&amp;AF304)</f>
        <v/>
      </c>
      <c r="DM304" s="43" t="str">
        <f>IF(AG304="","","|n"&amp;#REF!&amp;"+"&amp;AG304&amp;"%")</f>
        <v/>
      </c>
      <c r="DN304" s="43" t="str">
        <f>IF(AH304="","","|n"&amp;#REF!&amp;"+"&amp;AH304)</f>
        <v/>
      </c>
      <c r="DO304" s="43" t="str">
        <f>IF(AI304="","","|n"&amp;#REF!&amp;"+"&amp;AI304)</f>
        <v/>
      </c>
      <c r="DP304" s="43" t="str">
        <f>IF(AJ304="","","|n"&amp;#REF!&amp;"+"&amp;AJ304)</f>
        <v/>
      </c>
    </row>
    <row r="305" spans="92:120">
      <c r="CN305" s="12" t="str">
        <f t="shared" si="3390"/>
        <v>InitUnitState('',,,,,,,,,,)</v>
      </c>
      <c r="CO305" s="12" t="str">
        <f t="shared" si="3391"/>
        <v>InitUnitNormal('',,,,,,,,,,)</v>
      </c>
      <c r="CP305" s="12" t="str">
        <f t="shared" si="3392"/>
        <v>InitUnitMagic('',,,,,,,,,,)</v>
      </c>
      <c r="CQ305" s="12" t="str">
        <f t="shared" si="3393"/>
        <v>InitUnitAdd('',,,,,,,,,,)</v>
      </c>
      <c r="CR305" s="12" t="str">
        <f t="shared" si="3394"/>
        <v>InitEquipData('',,"",,,,,'','','','','','',"")</v>
      </c>
      <c r="CU305" s="5" t="str">
        <f t="shared" si="3389"/>
        <v>|n</v>
      </c>
      <c r="DB305" s="43" t="str">
        <f>IF(V305="","","|n"&amp;#REF!&amp;"+"&amp;V305)</f>
        <v/>
      </c>
      <c r="DC305" s="43" t="str">
        <f>IF(W305="","","|n"&amp;#REF!&amp;"+"&amp;W305)</f>
        <v/>
      </c>
      <c r="DD305" s="43" t="str">
        <f>IF(X305="","","|n"&amp;#REF!&amp;"+"&amp;X305)</f>
        <v/>
      </c>
      <c r="DE305" s="43" t="str">
        <f>IF(Y305="","","|n"&amp;#REF!&amp;"+"&amp;Y305)</f>
        <v/>
      </c>
      <c r="DF305" s="43" t="str">
        <f>IF(Z305="","","|n"&amp;#REF!&amp;"+"&amp;Z305)</f>
        <v/>
      </c>
      <c r="DG305" s="43" t="str">
        <f>IF(AA305="","","|n"&amp;#REF!&amp;"+"&amp;AA305)</f>
        <v/>
      </c>
      <c r="DH305" s="43" t="str">
        <f>IF(AB305="","","|n"&amp;#REF!&amp;"+"&amp;AB305)</f>
        <v/>
      </c>
      <c r="DI305" s="43" t="str">
        <f>IF(AC305="","","|n"&amp;#REF!&amp;"+"&amp;AC305&amp;"%")</f>
        <v/>
      </c>
      <c r="DJ305" s="43" t="str">
        <f>IF(AD305="","","|n"&amp;#REF!&amp;"+"&amp;AD305)</f>
        <v/>
      </c>
      <c r="DK305" s="43" t="str">
        <f>IF(AE305="","","|n"&amp;#REF!&amp;"+"&amp;AE305)</f>
        <v/>
      </c>
      <c r="DL305" s="43" t="str">
        <f>IF(AF305="","","|n"&amp;#REF!&amp;"+"&amp;AF305)</f>
        <v/>
      </c>
      <c r="DM305" s="43" t="str">
        <f>IF(AG305="","","|n"&amp;#REF!&amp;"+"&amp;AG305&amp;"%")</f>
        <v/>
      </c>
      <c r="DN305" s="43" t="str">
        <f>IF(AH305="","","|n"&amp;#REF!&amp;"+"&amp;AH305)</f>
        <v/>
      </c>
      <c r="DO305" s="43" t="str">
        <f>IF(AI305="","","|n"&amp;#REF!&amp;"+"&amp;AI305)</f>
        <v/>
      </c>
      <c r="DP305" s="43" t="str">
        <f>IF(AJ305="","","|n"&amp;#REF!&amp;"+"&amp;AJ305)</f>
        <v/>
      </c>
    </row>
    <row r="306" spans="92:120">
      <c r="CN306" s="12" t="str">
        <f t="shared" si="3390"/>
        <v>InitUnitState('',,,,,,,,,,)</v>
      </c>
      <c r="CO306" s="12" t="str">
        <f t="shared" si="3391"/>
        <v>InitUnitNormal('',,,,,,,,,,)</v>
      </c>
      <c r="CP306" s="12" t="str">
        <f t="shared" si="3392"/>
        <v>InitUnitMagic('',,,,,,,,,,)</v>
      </c>
      <c r="CQ306" s="12" t="str">
        <f t="shared" si="3393"/>
        <v>InitUnitAdd('',,,,,,,,,,)</v>
      </c>
      <c r="CR306" s="12" t="str">
        <f t="shared" si="3394"/>
        <v>InitEquipData('',,"",,,,,'','','','','','',"")</v>
      </c>
      <c r="CU306" s="5" t="str">
        <f t="shared" si="3389"/>
        <v>|n</v>
      </c>
      <c r="DB306" s="43" t="str">
        <f>IF(V306="","","|n"&amp;#REF!&amp;"+"&amp;V306)</f>
        <v/>
      </c>
      <c r="DC306" s="43" t="str">
        <f>IF(W306="","","|n"&amp;#REF!&amp;"+"&amp;W306)</f>
        <v/>
      </c>
      <c r="DD306" s="43" t="str">
        <f>IF(X306="","","|n"&amp;#REF!&amp;"+"&amp;X306)</f>
        <v/>
      </c>
      <c r="DE306" s="43" t="str">
        <f>IF(Y306="","","|n"&amp;#REF!&amp;"+"&amp;Y306)</f>
        <v/>
      </c>
      <c r="DF306" s="43" t="str">
        <f>IF(Z306="","","|n"&amp;#REF!&amp;"+"&amp;Z306)</f>
        <v/>
      </c>
      <c r="DG306" s="43" t="str">
        <f>IF(AA306="","","|n"&amp;#REF!&amp;"+"&amp;AA306)</f>
        <v/>
      </c>
      <c r="DH306" s="43" t="str">
        <f>IF(AB306="","","|n"&amp;#REF!&amp;"+"&amp;AB306)</f>
        <v/>
      </c>
      <c r="DI306" s="43" t="str">
        <f>IF(AC306="","","|n"&amp;#REF!&amp;"+"&amp;AC306&amp;"%")</f>
        <v/>
      </c>
      <c r="DJ306" s="43" t="str">
        <f>IF(AD306="","","|n"&amp;#REF!&amp;"+"&amp;AD306)</f>
        <v/>
      </c>
      <c r="DK306" s="43" t="str">
        <f>IF(AE306="","","|n"&amp;#REF!&amp;"+"&amp;AE306)</f>
        <v/>
      </c>
      <c r="DL306" s="43" t="str">
        <f>IF(AF306="","","|n"&amp;#REF!&amp;"+"&amp;AF306)</f>
        <v/>
      </c>
      <c r="DM306" s="43" t="str">
        <f>IF(AG306="","","|n"&amp;#REF!&amp;"+"&amp;AG306&amp;"%")</f>
        <v/>
      </c>
      <c r="DN306" s="43" t="str">
        <f>IF(AH306="","","|n"&amp;#REF!&amp;"+"&amp;AH306)</f>
        <v/>
      </c>
      <c r="DO306" s="43" t="str">
        <f>IF(AI306="","","|n"&amp;#REF!&amp;"+"&amp;AI306)</f>
        <v/>
      </c>
      <c r="DP306" s="43" t="str">
        <f>IF(AJ306="","","|n"&amp;#REF!&amp;"+"&amp;AJ306)</f>
        <v/>
      </c>
    </row>
    <row r="307" spans="92:120">
      <c r="CN307" s="12" t="str">
        <f t="shared" si="3390"/>
        <v>InitUnitState('',,,,,,,,,,)</v>
      </c>
      <c r="CO307" s="12" t="str">
        <f t="shared" si="3391"/>
        <v>InitUnitNormal('',,,,,,,,,,)</v>
      </c>
      <c r="CP307" s="12" t="str">
        <f t="shared" si="3392"/>
        <v>InitUnitMagic('',,,,,,,,,,)</v>
      </c>
      <c r="CQ307" s="12" t="str">
        <f t="shared" si="3393"/>
        <v>InitUnitAdd('',,,,,,,,,,)</v>
      </c>
      <c r="CR307" s="12" t="str">
        <f t="shared" si="3394"/>
        <v>InitEquipData('',,"",,,,,'','','','','','',"")</v>
      </c>
      <c r="CU307" s="5" t="str">
        <f t="shared" si="3389"/>
        <v>|n</v>
      </c>
      <c r="DB307" s="43" t="str">
        <f>IF(V307="","","|n"&amp;#REF!&amp;"+"&amp;V307)</f>
        <v/>
      </c>
      <c r="DC307" s="43" t="str">
        <f>IF(W307="","","|n"&amp;#REF!&amp;"+"&amp;W307)</f>
        <v/>
      </c>
      <c r="DD307" s="43" t="str">
        <f>IF(X307="","","|n"&amp;#REF!&amp;"+"&amp;X307)</f>
        <v/>
      </c>
      <c r="DE307" s="43" t="str">
        <f>IF(Y307="","","|n"&amp;#REF!&amp;"+"&amp;Y307)</f>
        <v/>
      </c>
      <c r="DF307" s="43" t="str">
        <f>IF(Z307="","","|n"&amp;#REF!&amp;"+"&amp;Z307)</f>
        <v/>
      </c>
      <c r="DG307" s="43" t="str">
        <f>IF(AA307="","","|n"&amp;#REF!&amp;"+"&amp;AA307)</f>
        <v/>
      </c>
      <c r="DH307" s="43" t="str">
        <f>IF(AB307="","","|n"&amp;#REF!&amp;"+"&amp;AB307)</f>
        <v/>
      </c>
      <c r="DI307" s="43" t="str">
        <f>IF(AC307="","","|n"&amp;#REF!&amp;"+"&amp;AC307&amp;"%")</f>
        <v/>
      </c>
      <c r="DJ307" s="43" t="str">
        <f>IF(AD307="","","|n"&amp;#REF!&amp;"+"&amp;AD307)</f>
        <v/>
      </c>
      <c r="DK307" s="43" t="str">
        <f>IF(AE307="","","|n"&amp;#REF!&amp;"+"&amp;AE307)</f>
        <v/>
      </c>
      <c r="DL307" s="43" t="str">
        <f>IF(AF307="","","|n"&amp;#REF!&amp;"+"&amp;AF307)</f>
        <v/>
      </c>
      <c r="DM307" s="43" t="str">
        <f>IF(AG307="","","|n"&amp;#REF!&amp;"+"&amp;AG307&amp;"%")</f>
        <v/>
      </c>
      <c r="DN307" s="43" t="str">
        <f>IF(AH307="","","|n"&amp;#REF!&amp;"+"&amp;AH307)</f>
        <v/>
      </c>
      <c r="DO307" s="43" t="str">
        <f>IF(AI307="","","|n"&amp;#REF!&amp;"+"&amp;AI307)</f>
        <v/>
      </c>
      <c r="DP307" s="43" t="str">
        <f>IF(AJ307="","","|n"&amp;#REF!&amp;"+"&amp;AJ307)</f>
        <v/>
      </c>
    </row>
    <row r="308" spans="92:120">
      <c r="CN308" s="12" t="str">
        <f t="shared" si="3390"/>
        <v>InitUnitState('',,,,,,,,,,)</v>
      </c>
      <c r="CO308" s="12" t="str">
        <f t="shared" si="3391"/>
        <v>InitUnitNormal('',,,,,,,,,,)</v>
      </c>
      <c r="CP308" s="12" t="str">
        <f t="shared" si="3392"/>
        <v>InitUnitMagic('',,,,,,,,,,)</v>
      </c>
      <c r="CQ308" s="12" t="str">
        <f t="shared" si="3393"/>
        <v>InitUnitAdd('',,,,,,,,,,)</v>
      </c>
      <c r="CR308" s="12" t="str">
        <f t="shared" si="3394"/>
        <v>InitEquipData('',,"",,,,,'','','','','','',"")</v>
      </c>
      <c r="CU308" s="5" t="str">
        <f t="shared" si="3389"/>
        <v>|n</v>
      </c>
      <c r="DB308" s="43" t="str">
        <f>IF(V308="","","|n"&amp;#REF!&amp;"+"&amp;V308)</f>
        <v/>
      </c>
      <c r="DC308" s="43" t="str">
        <f>IF(W308="","","|n"&amp;#REF!&amp;"+"&amp;W308)</f>
        <v/>
      </c>
      <c r="DD308" s="43" t="str">
        <f>IF(X308="","","|n"&amp;#REF!&amp;"+"&amp;X308)</f>
        <v/>
      </c>
      <c r="DE308" s="43" t="str">
        <f>IF(Y308="","","|n"&amp;#REF!&amp;"+"&amp;Y308)</f>
        <v/>
      </c>
      <c r="DF308" s="43" t="str">
        <f>IF(Z308="","","|n"&amp;#REF!&amp;"+"&amp;Z308)</f>
        <v/>
      </c>
      <c r="DG308" s="43" t="str">
        <f>IF(AA308="","","|n"&amp;#REF!&amp;"+"&amp;AA308)</f>
        <v/>
      </c>
      <c r="DH308" s="43" t="str">
        <f>IF(AB308="","","|n"&amp;#REF!&amp;"+"&amp;AB308)</f>
        <v/>
      </c>
      <c r="DI308" s="43" t="str">
        <f>IF(AC308="","","|n"&amp;#REF!&amp;"+"&amp;AC308&amp;"%")</f>
        <v/>
      </c>
      <c r="DJ308" s="43" t="str">
        <f>IF(AD308="","","|n"&amp;#REF!&amp;"+"&amp;AD308)</f>
        <v/>
      </c>
      <c r="DK308" s="43" t="str">
        <f>IF(AE308="","","|n"&amp;#REF!&amp;"+"&amp;AE308)</f>
        <v/>
      </c>
      <c r="DL308" s="43" t="str">
        <f>IF(AF308="","","|n"&amp;#REF!&amp;"+"&amp;AF308)</f>
        <v/>
      </c>
      <c r="DM308" s="43" t="str">
        <f>IF(AG308="","","|n"&amp;#REF!&amp;"+"&amp;AG308&amp;"%")</f>
        <v/>
      </c>
      <c r="DN308" s="43" t="str">
        <f>IF(AH308="","","|n"&amp;#REF!&amp;"+"&amp;AH308)</f>
        <v/>
      </c>
      <c r="DO308" s="43" t="str">
        <f>IF(AI308="","","|n"&amp;#REF!&amp;"+"&amp;AI308)</f>
        <v/>
      </c>
      <c r="DP308" s="43" t="str">
        <f>IF(AJ308="","","|n"&amp;#REF!&amp;"+"&amp;AJ308)</f>
        <v/>
      </c>
    </row>
    <row r="309" spans="92:120">
      <c r="CN309" s="12" t="str">
        <f t="shared" si="3390"/>
        <v>InitUnitState('',,,,,,,,,,)</v>
      </c>
      <c r="CO309" s="12" t="str">
        <f t="shared" si="3391"/>
        <v>InitUnitNormal('',,,,,,,,,,)</v>
      </c>
      <c r="CP309" s="12" t="str">
        <f t="shared" si="3392"/>
        <v>InitUnitMagic('',,,,,,,,,,)</v>
      </c>
      <c r="CQ309" s="12" t="str">
        <f t="shared" si="3393"/>
        <v>InitUnitAdd('',,,,,,,,,,)</v>
      </c>
      <c r="CR309" s="12" t="str">
        <f t="shared" si="3394"/>
        <v>InitEquipData('',,"",,,,,'','','','','','',"")</v>
      </c>
      <c r="CU309" s="5" t="str">
        <f t="shared" si="3389"/>
        <v>|n</v>
      </c>
      <c r="DB309" s="43" t="str">
        <f>IF(V309="","","|n"&amp;#REF!&amp;"+"&amp;V309)</f>
        <v/>
      </c>
      <c r="DC309" s="43" t="str">
        <f>IF(W309="","","|n"&amp;#REF!&amp;"+"&amp;W309)</f>
        <v/>
      </c>
      <c r="DD309" s="43" t="str">
        <f>IF(X309="","","|n"&amp;#REF!&amp;"+"&amp;X309)</f>
        <v/>
      </c>
      <c r="DE309" s="43" t="str">
        <f>IF(Y309="","","|n"&amp;#REF!&amp;"+"&amp;Y309)</f>
        <v/>
      </c>
      <c r="DF309" s="43" t="str">
        <f>IF(Z309="","","|n"&amp;#REF!&amp;"+"&amp;Z309)</f>
        <v/>
      </c>
      <c r="DG309" s="43" t="str">
        <f>IF(AA309="","","|n"&amp;#REF!&amp;"+"&amp;AA309)</f>
        <v/>
      </c>
      <c r="DH309" s="43" t="str">
        <f>IF(AB309="","","|n"&amp;#REF!&amp;"+"&amp;AB309)</f>
        <v/>
      </c>
      <c r="DI309" s="43" t="str">
        <f>IF(AC309="","","|n"&amp;#REF!&amp;"+"&amp;AC309&amp;"%")</f>
        <v/>
      </c>
      <c r="DJ309" s="43" t="str">
        <f>IF(AD309="","","|n"&amp;#REF!&amp;"+"&amp;AD309)</f>
        <v/>
      </c>
      <c r="DK309" s="43" t="str">
        <f>IF(AE309="","","|n"&amp;#REF!&amp;"+"&amp;AE309)</f>
        <v/>
      </c>
      <c r="DL309" s="43" t="str">
        <f>IF(AF309="","","|n"&amp;#REF!&amp;"+"&amp;AF309)</f>
        <v/>
      </c>
      <c r="DM309" s="43" t="str">
        <f>IF(AG309="","","|n"&amp;#REF!&amp;"+"&amp;AG309&amp;"%")</f>
        <v/>
      </c>
      <c r="DN309" s="43" t="str">
        <f>IF(AH309="","","|n"&amp;#REF!&amp;"+"&amp;AH309)</f>
        <v/>
      </c>
      <c r="DO309" s="43" t="str">
        <f>IF(AI309="","","|n"&amp;#REF!&amp;"+"&amp;AI309)</f>
        <v/>
      </c>
      <c r="DP309" s="43" t="str">
        <f>IF(AJ309="","","|n"&amp;#REF!&amp;"+"&amp;AJ309)</f>
        <v/>
      </c>
    </row>
    <row r="310" spans="92:120">
      <c r="CN310" s="12" t="str">
        <f t="shared" si="3390"/>
        <v>InitUnitState('',,,,,,,,,,)</v>
      </c>
      <c r="CO310" s="12" t="str">
        <f t="shared" si="3391"/>
        <v>InitUnitNormal('',,,,,,,,,,)</v>
      </c>
      <c r="CP310" s="12" t="str">
        <f t="shared" si="3392"/>
        <v>InitUnitMagic('',,,,,,,,,,)</v>
      </c>
      <c r="CQ310" s="12" t="str">
        <f t="shared" si="3393"/>
        <v>InitUnitAdd('',,,,,,,,,,)</v>
      </c>
      <c r="CR310" s="12" t="str">
        <f t="shared" si="3394"/>
        <v>InitEquipData('',,"",,,,,'','','','','','',"")</v>
      </c>
      <c r="CU310" s="5" t="str">
        <f t="shared" si="3389"/>
        <v>|n</v>
      </c>
      <c r="DB310" s="43" t="str">
        <f>IF(V310="","","|n"&amp;#REF!&amp;"+"&amp;V310)</f>
        <v/>
      </c>
      <c r="DC310" s="43" t="str">
        <f>IF(W310="","","|n"&amp;#REF!&amp;"+"&amp;W310)</f>
        <v/>
      </c>
      <c r="DD310" s="43" t="str">
        <f>IF(X310="","","|n"&amp;#REF!&amp;"+"&amp;X310)</f>
        <v/>
      </c>
      <c r="DE310" s="43" t="str">
        <f>IF(Y310="","","|n"&amp;#REF!&amp;"+"&amp;Y310)</f>
        <v/>
      </c>
      <c r="DF310" s="43" t="str">
        <f>IF(Z310="","","|n"&amp;#REF!&amp;"+"&amp;Z310)</f>
        <v/>
      </c>
      <c r="DG310" s="43" t="str">
        <f>IF(AA310="","","|n"&amp;#REF!&amp;"+"&amp;AA310)</f>
        <v/>
      </c>
      <c r="DH310" s="43" t="str">
        <f>IF(AB310="","","|n"&amp;#REF!&amp;"+"&amp;AB310)</f>
        <v/>
      </c>
      <c r="DI310" s="43" t="str">
        <f>IF(AC310="","","|n"&amp;#REF!&amp;"+"&amp;AC310&amp;"%")</f>
        <v/>
      </c>
      <c r="DJ310" s="43" t="str">
        <f>IF(AD310="","","|n"&amp;#REF!&amp;"+"&amp;AD310)</f>
        <v/>
      </c>
      <c r="DK310" s="43" t="str">
        <f>IF(AE310="","","|n"&amp;#REF!&amp;"+"&amp;AE310)</f>
        <v/>
      </c>
      <c r="DL310" s="43" t="str">
        <f>IF(AF310="","","|n"&amp;#REF!&amp;"+"&amp;AF310)</f>
        <v/>
      </c>
      <c r="DM310" s="43" t="str">
        <f>IF(AG310="","","|n"&amp;#REF!&amp;"+"&amp;AG310&amp;"%")</f>
        <v/>
      </c>
      <c r="DN310" s="43" t="str">
        <f>IF(AH310="","","|n"&amp;#REF!&amp;"+"&amp;AH310)</f>
        <v/>
      </c>
      <c r="DO310" s="43" t="str">
        <f>IF(AI310="","","|n"&amp;#REF!&amp;"+"&amp;AI310)</f>
        <v/>
      </c>
      <c r="DP310" s="43" t="str">
        <f>IF(AJ310="","","|n"&amp;#REF!&amp;"+"&amp;AJ310)</f>
        <v/>
      </c>
    </row>
    <row r="311" spans="92:120">
      <c r="CN311" s="12" t="str">
        <f t="shared" si="3390"/>
        <v>InitUnitState('',,,,,,,,,,)</v>
      </c>
      <c r="CO311" s="12" t="str">
        <f t="shared" si="3391"/>
        <v>InitUnitNormal('',,,,,,,,,,)</v>
      </c>
      <c r="CP311" s="12" t="str">
        <f t="shared" si="3392"/>
        <v>InitUnitMagic('',,,,,,,,,,)</v>
      </c>
      <c r="CQ311" s="12" t="str">
        <f t="shared" si="3393"/>
        <v>InitUnitAdd('',,,,,,,,,,)</v>
      </c>
      <c r="CR311" s="12" t="str">
        <f t="shared" si="3394"/>
        <v>InitEquipData('',,"",,,,,'','','','','','',"")</v>
      </c>
      <c r="CU311" s="5" t="str">
        <f t="shared" si="3389"/>
        <v>|n</v>
      </c>
      <c r="DB311" s="43" t="str">
        <f>IF(V311="","","|n"&amp;#REF!&amp;"+"&amp;V311)</f>
        <v/>
      </c>
      <c r="DC311" s="43" t="str">
        <f>IF(W311="","","|n"&amp;#REF!&amp;"+"&amp;W311)</f>
        <v/>
      </c>
      <c r="DD311" s="43" t="str">
        <f>IF(X311="","","|n"&amp;#REF!&amp;"+"&amp;X311)</f>
        <v/>
      </c>
      <c r="DE311" s="43" t="str">
        <f>IF(Y311="","","|n"&amp;#REF!&amp;"+"&amp;Y311)</f>
        <v/>
      </c>
      <c r="DF311" s="43" t="str">
        <f>IF(Z311="","","|n"&amp;#REF!&amp;"+"&amp;Z311)</f>
        <v/>
      </c>
      <c r="DG311" s="43" t="str">
        <f>IF(AA311="","","|n"&amp;#REF!&amp;"+"&amp;AA311)</f>
        <v/>
      </c>
      <c r="DH311" s="43" t="str">
        <f>IF(AB311="","","|n"&amp;#REF!&amp;"+"&amp;AB311)</f>
        <v/>
      </c>
      <c r="DI311" s="43" t="str">
        <f>IF(AC311="","","|n"&amp;#REF!&amp;"+"&amp;AC311&amp;"%")</f>
        <v/>
      </c>
      <c r="DJ311" s="43" t="str">
        <f>IF(AD311="","","|n"&amp;#REF!&amp;"+"&amp;AD311)</f>
        <v/>
      </c>
      <c r="DK311" s="43" t="str">
        <f>IF(AE311="","","|n"&amp;#REF!&amp;"+"&amp;AE311)</f>
        <v/>
      </c>
      <c r="DL311" s="43" t="str">
        <f>IF(AF311="","","|n"&amp;#REF!&amp;"+"&amp;AF311)</f>
        <v/>
      </c>
      <c r="DM311" s="43" t="str">
        <f>IF(AG311="","","|n"&amp;#REF!&amp;"+"&amp;AG311&amp;"%")</f>
        <v/>
      </c>
      <c r="DN311" s="43" t="str">
        <f>IF(AH311="","","|n"&amp;#REF!&amp;"+"&amp;AH311)</f>
        <v/>
      </c>
      <c r="DO311" s="43" t="str">
        <f>IF(AI311="","","|n"&amp;#REF!&amp;"+"&amp;AI311)</f>
        <v/>
      </c>
      <c r="DP311" s="43" t="str">
        <f>IF(AJ311="","","|n"&amp;#REF!&amp;"+"&amp;AJ311)</f>
        <v/>
      </c>
    </row>
    <row r="312" spans="92:120">
      <c r="CN312" s="12" t="str">
        <f t="shared" si="3390"/>
        <v>InitUnitState('',,,,,,,,,,)</v>
      </c>
      <c r="CO312" s="12" t="str">
        <f t="shared" si="3391"/>
        <v>InitUnitNormal('',,,,,,,,,,)</v>
      </c>
      <c r="CP312" s="12" t="str">
        <f t="shared" si="3392"/>
        <v>InitUnitMagic('',,,,,,,,,,)</v>
      </c>
      <c r="CQ312" s="12" t="str">
        <f t="shared" si="3393"/>
        <v>InitUnitAdd('',,,,,,,,,,)</v>
      </c>
      <c r="CR312" s="12" t="str">
        <f t="shared" si="3394"/>
        <v>InitEquipData('',,"",,,,,'','','','','','',"")</v>
      </c>
      <c r="CU312" s="5" t="str">
        <f t="shared" si="3389"/>
        <v>|n</v>
      </c>
      <c r="DB312" s="43" t="str">
        <f>IF(V312="","","|n"&amp;#REF!&amp;"+"&amp;V312)</f>
        <v/>
      </c>
      <c r="DC312" s="43" t="str">
        <f>IF(W312="","","|n"&amp;#REF!&amp;"+"&amp;W312)</f>
        <v/>
      </c>
      <c r="DD312" s="43" t="str">
        <f>IF(X312="","","|n"&amp;#REF!&amp;"+"&amp;X312)</f>
        <v/>
      </c>
      <c r="DE312" s="43" t="str">
        <f>IF(Y312="","","|n"&amp;#REF!&amp;"+"&amp;Y312)</f>
        <v/>
      </c>
      <c r="DF312" s="43" t="str">
        <f>IF(Z312="","","|n"&amp;#REF!&amp;"+"&amp;Z312)</f>
        <v/>
      </c>
      <c r="DG312" s="43" t="str">
        <f>IF(AA312="","","|n"&amp;#REF!&amp;"+"&amp;AA312)</f>
        <v/>
      </c>
      <c r="DH312" s="43" t="str">
        <f>IF(AB312="","","|n"&amp;#REF!&amp;"+"&amp;AB312)</f>
        <v/>
      </c>
      <c r="DI312" s="43" t="str">
        <f>IF(AC312="","","|n"&amp;#REF!&amp;"+"&amp;AC312&amp;"%")</f>
        <v/>
      </c>
      <c r="DJ312" s="43" t="str">
        <f>IF(AD312="","","|n"&amp;#REF!&amp;"+"&amp;AD312)</f>
        <v/>
      </c>
      <c r="DK312" s="43" t="str">
        <f>IF(AE312="","","|n"&amp;#REF!&amp;"+"&amp;AE312)</f>
        <v/>
      </c>
      <c r="DL312" s="43" t="str">
        <f>IF(AF312="","","|n"&amp;#REF!&amp;"+"&amp;AF312)</f>
        <v/>
      </c>
      <c r="DM312" s="43" t="str">
        <f>IF(AG312="","","|n"&amp;#REF!&amp;"+"&amp;AG312&amp;"%")</f>
        <v/>
      </c>
      <c r="DN312" s="43" t="str">
        <f>IF(AH312="","","|n"&amp;#REF!&amp;"+"&amp;AH312)</f>
        <v/>
      </c>
      <c r="DO312" s="43" t="str">
        <f>IF(AI312="","","|n"&amp;#REF!&amp;"+"&amp;AI312)</f>
        <v/>
      </c>
      <c r="DP312" s="43" t="str">
        <f>IF(AJ312="","","|n"&amp;#REF!&amp;"+"&amp;AJ312)</f>
        <v/>
      </c>
    </row>
    <row r="313" spans="92:120">
      <c r="CN313" s="12" t="str">
        <f t="shared" si="3390"/>
        <v>InitUnitState('',,,,,,,,,,)</v>
      </c>
      <c r="CO313" s="12" t="str">
        <f t="shared" si="3391"/>
        <v>InitUnitNormal('',,,,,,,,,,)</v>
      </c>
      <c r="CP313" s="12" t="str">
        <f t="shared" si="3392"/>
        <v>InitUnitMagic('',,,,,,,,,,)</v>
      </c>
      <c r="CQ313" s="12" t="str">
        <f t="shared" si="3393"/>
        <v>InitUnitAdd('',,,,,,,,,,)</v>
      </c>
      <c r="CR313" s="12" t="str">
        <f t="shared" si="3394"/>
        <v>InitEquipData('',,"",,,,,'','','','','','',"")</v>
      </c>
      <c r="CU313" s="5" t="str">
        <f t="shared" si="3389"/>
        <v>|n</v>
      </c>
      <c r="DB313" s="43" t="str">
        <f>IF(V313="","","|n"&amp;#REF!&amp;"+"&amp;V313)</f>
        <v/>
      </c>
      <c r="DC313" s="43" t="str">
        <f>IF(W313="","","|n"&amp;#REF!&amp;"+"&amp;W313)</f>
        <v/>
      </c>
      <c r="DD313" s="43" t="str">
        <f>IF(X313="","","|n"&amp;#REF!&amp;"+"&amp;X313)</f>
        <v/>
      </c>
      <c r="DE313" s="43" t="str">
        <f>IF(Y313="","","|n"&amp;#REF!&amp;"+"&amp;Y313)</f>
        <v/>
      </c>
      <c r="DF313" s="43" t="str">
        <f>IF(Z313="","","|n"&amp;#REF!&amp;"+"&amp;Z313)</f>
        <v/>
      </c>
      <c r="DG313" s="43" t="str">
        <f>IF(AA313="","","|n"&amp;#REF!&amp;"+"&amp;AA313)</f>
        <v/>
      </c>
      <c r="DH313" s="43" t="str">
        <f>IF(AB313="","","|n"&amp;#REF!&amp;"+"&amp;AB313)</f>
        <v/>
      </c>
      <c r="DI313" s="43" t="str">
        <f>IF(AC313="","","|n"&amp;#REF!&amp;"+"&amp;AC313&amp;"%")</f>
        <v/>
      </c>
      <c r="DJ313" s="43" t="str">
        <f>IF(AD313="","","|n"&amp;#REF!&amp;"+"&amp;AD313)</f>
        <v/>
      </c>
      <c r="DK313" s="43" t="str">
        <f>IF(AE313="","","|n"&amp;#REF!&amp;"+"&amp;AE313)</f>
        <v/>
      </c>
      <c r="DL313" s="43" t="str">
        <f>IF(AF313="","","|n"&amp;#REF!&amp;"+"&amp;AF313)</f>
        <v/>
      </c>
      <c r="DM313" s="43" t="str">
        <f>IF(AG313="","","|n"&amp;#REF!&amp;"+"&amp;AG313&amp;"%")</f>
        <v/>
      </c>
      <c r="DN313" s="43" t="str">
        <f>IF(AH313="","","|n"&amp;#REF!&amp;"+"&amp;AH313)</f>
        <v/>
      </c>
      <c r="DO313" s="43" t="str">
        <f>IF(AI313="","","|n"&amp;#REF!&amp;"+"&amp;AI313)</f>
        <v/>
      </c>
      <c r="DP313" s="43" t="str">
        <f>IF(AJ313="","","|n"&amp;#REF!&amp;"+"&amp;AJ313)</f>
        <v/>
      </c>
    </row>
    <row r="314" spans="92:120">
      <c r="CN314" s="12" t="str">
        <f t="shared" si="3390"/>
        <v>InitUnitState('',,,,,,,,,,)</v>
      </c>
      <c r="CO314" s="12" t="str">
        <f t="shared" si="3391"/>
        <v>InitUnitNormal('',,,,,,,,,,)</v>
      </c>
      <c r="CP314" s="12" t="str">
        <f t="shared" si="3392"/>
        <v>InitUnitMagic('',,,,,,,,,,)</v>
      </c>
      <c r="CQ314" s="12" t="str">
        <f t="shared" si="3393"/>
        <v>InitUnitAdd('',,,,,,,,,,)</v>
      </c>
      <c r="CR314" s="12" t="str">
        <f t="shared" si="3394"/>
        <v>InitEquipData('',,"",,,,,'','','','','','',"")</v>
      </c>
      <c r="CU314" s="5" t="str">
        <f t="shared" si="3389"/>
        <v>|n</v>
      </c>
      <c r="DB314" s="43" t="str">
        <f>IF(V314="","","|n"&amp;#REF!&amp;"+"&amp;V314)</f>
        <v/>
      </c>
      <c r="DC314" s="43" t="str">
        <f>IF(W314="","","|n"&amp;#REF!&amp;"+"&amp;W314)</f>
        <v/>
      </c>
      <c r="DD314" s="43" t="str">
        <f>IF(X314="","","|n"&amp;#REF!&amp;"+"&amp;X314)</f>
        <v/>
      </c>
      <c r="DE314" s="43" t="str">
        <f>IF(Y314="","","|n"&amp;#REF!&amp;"+"&amp;Y314)</f>
        <v/>
      </c>
      <c r="DF314" s="43" t="str">
        <f>IF(Z314="","","|n"&amp;#REF!&amp;"+"&amp;Z314)</f>
        <v/>
      </c>
      <c r="DG314" s="43" t="str">
        <f>IF(AA314="","","|n"&amp;#REF!&amp;"+"&amp;AA314)</f>
        <v/>
      </c>
      <c r="DH314" s="43" t="str">
        <f>IF(AB314="","","|n"&amp;#REF!&amp;"+"&amp;AB314)</f>
        <v/>
      </c>
      <c r="DI314" s="43" t="str">
        <f>IF(AC314="","","|n"&amp;#REF!&amp;"+"&amp;AC314&amp;"%")</f>
        <v/>
      </c>
      <c r="DJ314" s="43" t="str">
        <f>IF(AD314="","","|n"&amp;#REF!&amp;"+"&amp;AD314)</f>
        <v/>
      </c>
      <c r="DK314" s="43" t="str">
        <f>IF(AE314="","","|n"&amp;#REF!&amp;"+"&amp;AE314)</f>
        <v/>
      </c>
      <c r="DL314" s="43" t="str">
        <f>IF(AF314="","","|n"&amp;#REF!&amp;"+"&amp;AF314)</f>
        <v/>
      </c>
      <c r="DM314" s="43" t="str">
        <f>IF(AG314="","","|n"&amp;#REF!&amp;"+"&amp;AG314&amp;"%")</f>
        <v/>
      </c>
      <c r="DN314" s="43" t="str">
        <f>IF(AH314="","","|n"&amp;#REF!&amp;"+"&amp;AH314)</f>
        <v/>
      </c>
      <c r="DO314" s="43" t="str">
        <f>IF(AI314="","","|n"&amp;#REF!&amp;"+"&amp;AI314)</f>
        <v/>
      </c>
      <c r="DP314" s="43" t="str">
        <f>IF(AJ314="","","|n"&amp;#REF!&amp;"+"&amp;AJ314)</f>
        <v/>
      </c>
    </row>
    <row r="315" spans="92:120">
      <c r="CN315" s="12" t="str">
        <f t="shared" si="3390"/>
        <v>InitUnitState('',,,,,,,,,,)</v>
      </c>
      <c r="CO315" s="12" t="str">
        <f t="shared" si="3391"/>
        <v>InitUnitNormal('',,,,,,,,,,)</v>
      </c>
      <c r="CP315" s="12" t="str">
        <f t="shared" si="3392"/>
        <v>InitUnitMagic('',,,,,,,,,,)</v>
      </c>
      <c r="CQ315" s="12" t="str">
        <f t="shared" si="3393"/>
        <v>InitUnitAdd('',,,,,,,,,,)</v>
      </c>
      <c r="CR315" s="12" t="str">
        <f t="shared" si="3394"/>
        <v>InitEquipData('',,"",,,,,'','','','','','',"")</v>
      </c>
      <c r="CU315" s="5" t="str">
        <f t="shared" si="3389"/>
        <v>|n</v>
      </c>
      <c r="DB315" s="43" t="str">
        <f>IF(V315="","","|n"&amp;#REF!&amp;"+"&amp;V315)</f>
        <v/>
      </c>
      <c r="DC315" s="43" t="str">
        <f>IF(W315="","","|n"&amp;#REF!&amp;"+"&amp;W315)</f>
        <v/>
      </c>
      <c r="DD315" s="43" t="str">
        <f>IF(X315="","","|n"&amp;#REF!&amp;"+"&amp;X315)</f>
        <v/>
      </c>
      <c r="DE315" s="43" t="str">
        <f>IF(Y315="","","|n"&amp;#REF!&amp;"+"&amp;Y315)</f>
        <v/>
      </c>
      <c r="DF315" s="43" t="str">
        <f>IF(Z315="","","|n"&amp;#REF!&amp;"+"&amp;Z315)</f>
        <v/>
      </c>
      <c r="DG315" s="43" t="str">
        <f>IF(AA315="","","|n"&amp;#REF!&amp;"+"&amp;AA315)</f>
        <v/>
      </c>
      <c r="DH315" s="43" t="str">
        <f>IF(AB315="","","|n"&amp;#REF!&amp;"+"&amp;AB315)</f>
        <v/>
      </c>
      <c r="DI315" s="43" t="str">
        <f>IF(AC315="","","|n"&amp;#REF!&amp;"+"&amp;AC315&amp;"%")</f>
        <v/>
      </c>
      <c r="DJ315" s="43" t="str">
        <f>IF(AD315="","","|n"&amp;#REF!&amp;"+"&amp;AD315)</f>
        <v/>
      </c>
      <c r="DK315" s="43" t="str">
        <f>IF(AE315="","","|n"&amp;#REF!&amp;"+"&amp;AE315)</f>
        <v/>
      </c>
      <c r="DL315" s="43" t="str">
        <f>IF(AF315="","","|n"&amp;#REF!&amp;"+"&amp;AF315)</f>
        <v/>
      </c>
      <c r="DM315" s="43" t="str">
        <f>IF(AG315="","","|n"&amp;#REF!&amp;"+"&amp;AG315&amp;"%")</f>
        <v/>
      </c>
      <c r="DN315" s="43" t="str">
        <f>IF(AH315="","","|n"&amp;#REF!&amp;"+"&amp;AH315)</f>
        <v/>
      </c>
      <c r="DO315" s="43" t="str">
        <f>IF(AI315="","","|n"&amp;#REF!&amp;"+"&amp;AI315)</f>
        <v/>
      </c>
      <c r="DP315" s="43" t="str">
        <f>IF(AJ315="","","|n"&amp;#REF!&amp;"+"&amp;AJ315)</f>
        <v/>
      </c>
    </row>
    <row r="316" spans="92:120">
      <c r="CN316" s="12" t="str">
        <f t="shared" si="3390"/>
        <v>InitUnitState('',,,,,,,,,,)</v>
      </c>
      <c r="CO316" s="12" t="str">
        <f t="shared" si="3391"/>
        <v>InitUnitNormal('',,,,,,,,,,)</v>
      </c>
      <c r="CP316" s="12" t="str">
        <f t="shared" si="3392"/>
        <v>InitUnitMagic('',,,,,,,,,,)</v>
      </c>
      <c r="CQ316" s="12" t="str">
        <f t="shared" si="3393"/>
        <v>InitUnitAdd('',,,,,,,,,,)</v>
      </c>
      <c r="CR316" s="12" t="str">
        <f t="shared" si="3394"/>
        <v>InitEquipData('',,"",,,,,'','','','','','',"")</v>
      </c>
      <c r="CU316" s="5" t="str">
        <f t="shared" si="3389"/>
        <v>|n</v>
      </c>
      <c r="DB316" s="43" t="str">
        <f>IF(V316="","","|n"&amp;#REF!&amp;"+"&amp;V316)</f>
        <v/>
      </c>
      <c r="DC316" s="43" t="str">
        <f>IF(W316="","","|n"&amp;#REF!&amp;"+"&amp;W316)</f>
        <v/>
      </c>
      <c r="DD316" s="43" t="str">
        <f>IF(X316="","","|n"&amp;#REF!&amp;"+"&amp;X316)</f>
        <v/>
      </c>
      <c r="DE316" s="43" t="str">
        <f>IF(Y316="","","|n"&amp;#REF!&amp;"+"&amp;Y316)</f>
        <v/>
      </c>
      <c r="DF316" s="43" t="str">
        <f>IF(Z316="","","|n"&amp;#REF!&amp;"+"&amp;Z316)</f>
        <v/>
      </c>
      <c r="DG316" s="43" t="str">
        <f>IF(AA316="","","|n"&amp;#REF!&amp;"+"&amp;AA316)</f>
        <v/>
      </c>
      <c r="DH316" s="43" t="str">
        <f>IF(AB316="","","|n"&amp;#REF!&amp;"+"&amp;AB316)</f>
        <v/>
      </c>
      <c r="DI316" s="43" t="str">
        <f>IF(AC316="","","|n"&amp;#REF!&amp;"+"&amp;AC316&amp;"%")</f>
        <v/>
      </c>
      <c r="DJ316" s="43" t="str">
        <f>IF(AD316="","","|n"&amp;#REF!&amp;"+"&amp;AD316)</f>
        <v/>
      </c>
      <c r="DK316" s="43" t="str">
        <f>IF(AE316="","","|n"&amp;#REF!&amp;"+"&amp;AE316)</f>
        <v/>
      </c>
      <c r="DL316" s="43" t="str">
        <f>IF(AF316="","","|n"&amp;#REF!&amp;"+"&amp;AF316)</f>
        <v/>
      </c>
      <c r="DM316" s="43" t="str">
        <f>IF(AG316="","","|n"&amp;#REF!&amp;"+"&amp;AG316&amp;"%")</f>
        <v/>
      </c>
      <c r="DN316" s="43" t="str">
        <f>IF(AH316="","","|n"&amp;#REF!&amp;"+"&amp;AH316)</f>
        <v/>
      </c>
      <c r="DO316" s="43" t="str">
        <f>IF(AI316="","","|n"&amp;#REF!&amp;"+"&amp;AI316)</f>
        <v/>
      </c>
      <c r="DP316" s="43" t="str">
        <f>IF(AJ316="","","|n"&amp;#REF!&amp;"+"&amp;AJ316)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55" workbookViewId="0">
      <selection activeCell="A76" sqref="$A76:$XFD87"/>
    </sheetView>
  </sheetViews>
  <sheetFormatPr defaultColWidth="9" defaultRowHeight="13.8"/>
  <cols>
    <col min="1" max="1" width="28.3796296296296" style="30" customWidth="1"/>
    <col min="2" max="2" width="9" style="30"/>
    <col min="3" max="14" width="9" style="30" hidden="1" customWidth="1"/>
    <col min="15" max="15" width="41" style="30" customWidth="1"/>
    <col min="16" max="16" width="102.87962962963" style="30" customWidth="1"/>
    <col min="17" max="17" width="36.25" style="30" customWidth="1"/>
    <col min="18" max="18" width="13.25" style="30" customWidth="1"/>
    <col min="19" max="27" width="9" style="30" customWidth="1"/>
    <col min="28" max="28" width="39.5" style="30" customWidth="1"/>
    <col min="29" max="16384" width="9" style="30"/>
  </cols>
  <sheetData>
    <row r="1" spans="1:16">
      <c r="A1" s="31" t="s">
        <v>675</v>
      </c>
      <c r="B1" s="32" t="s">
        <v>99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110</v>
      </c>
      <c r="H1" s="33" t="s">
        <v>111</v>
      </c>
      <c r="I1" s="33" t="s">
        <v>106</v>
      </c>
      <c r="J1" s="33" t="s">
        <v>107</v>
      </c>
      <c r="K1" s="33" t="s">
        <v>108</v>
      </c>
      <c r="L1" s="33" t="s">
        <v>109</v>
      </c>
      <c r="M1" s="33" t="s">
        <v>110</v>
      </c>
      <c r="N1" s="33" t="s">
        <v>111</v>
      </c>
      <c r="O1" s="34" t="s">
        <v>676</v>
      </c>
      <c r="P1" s="34"/>
    </row>
    <row r="2" spans="1:28">
      <c r="A2" s="31">
        <f>装备!A3</f>
        <v>0</v>
      </c>
      <c r="B2" s="31" t="str">
        <f>"'"&amp;装备!B3&amp;"'"</f>
        <v>'E001'</v>
      </c>
      <c r="C2" s="31">
        <f>装备!J3</f>
        <v>0</v>
      </c>
      <c r="D2" s="31">
        <f>装备!K3</f>
        <v>0</v>
      </c>
      <c r="E2" s="31">
        <f>装备!L3</f>
        <v>0</v>
      </c>
      <c r="F2" s="31">
        <f>装备!M3</f>
        <v>0</v>
      </c>
      <c r="G2" s="31">
        <f>装备!N3</f>
        <v>0</v>
      </c>
      <c r="H2" s="31">
        <f>装备!O3</f>
        <v>0</v>
      </c>
      <c r="I2" s="31">
        <f>IF(装备!J3=0,0,"'"&amp;装备!J3&amp;"'")</f>
        <v>0</v>
      </c>
      <c r="J2" s="31">
        <f>IF(装备!K3=0,0,"'"&amp;装备!K3&amp;"'")</f>
        <v>0</v>
      </c>
      <c r="K2" s="31">
        <f>IF(装备!L3=0,0,"'"&amp;装备!L3&amp;"'")</f>
        <v>0</v>
      </c>
      <c r="L2" s="31">
        <f>IF(装备!M3=0,0,"'"&amp;装备!M3&amp;"'")</f>
        <v>0</v>
      </c>
      <c r="M2" s="31">
        <f>IF(装备!N3=0,0,"'"&amp;装备!N3&amp;"'")</f>
        <v>0</v>
      </c>
      <c r="N2" s="31">
        <f>IF(装备!O3=0,0,"'"&amp;装备!O3&amp;"'")</f>
        <v>0</v>
      </c>
      <c r="O2" s="31" t="str">
        <f t="shared" ref="O2:O10" si="0">IF(I2=0,"","AddItemFormula("&amp;I2&amp;","&amp;J2&amp;","&amp;K2&amp;","&amp;L2&amp;","&amp;M2&amp;","&amp;N2&amp;","&amp;B2&amp;")")</f>
        <v/>
      </c>
      <c r="P2" s="31" t="str">
        <f t="shared" ref="P2:P33" si="1">IFERROR(VLOOKUP(A2,Q:AB,12,FALSE),IFERROR(VLOOKUP(A2,R:AB,11,FALSE),IFERROR(VLOOKUP(A2,S:AB,10,FALSE),"")))</f>
        <v/>
      </c>
      <c r="Q2" s="35" t="str">
        <f>IFERROR(VLOOKUP(C2,装备!$B:$E,3,FALSE),"")</f>
        <v/>
      </c>
      <c r="R2" s="35" t="str">
        <f>IFERROR(VLOOKUP(D2,装备!$B:$E,3,FALSE),"")</f>
        <v/>
      </c>
      <c r="S2" s="35" t="str">
        <f>IFERROR(VLOOKUP(E2,装备!$B:$E,3,FALSE),"")</f>
        <v/>
      </c>
      <c r="T2" s="35" t="str">
        <f>IFERROR(VLOOKUP(F2,装备!$B:$E,3,FALSE),"")</f>
        <v/>
      </c>
      <c r="U2" s="35" t="str">
        <f>IFERROR(VLOOKUP(G2,装备!$B:$E,3,FALSE),"")</f>
        <v/>
      </c>
      <c r="V2" s="35" t="str">
        <f>IFERROR(VLOOKUP(H2,装备!$B:$E,3,FALSE),"")</f>
        <v/>
      </c>
      <c r="W2" s="30" t="str">
        <f t="shared" ref="W2:W10" si="2">IF(R2="","","+"&amp;R2)</f>
        <v/>
      </c>
      <c r="X2" s="30" t="str">
        <f t="shared" ref="X2:X10" si="3">IF(S2="","","+"&amp;S2)</f>
        <v/>
      </c>
      <c r="Y2" s="30" t="str">
        <f t="shared" ref="Y2:Y10" si="4">IF(T2="","","+"&amp;T2)</f>
        <v/>
      </c>
      <c r="Z2" s="30" t="str">
        <f t="shared" ref="Z2:Z10" si="5">IF(U2="","","+"&amp;U2)</f>
        <v/>
      </c>
      <c r="AA2" s="30" t="str">
        <f t="shared" ref="AA2:AA10" si="6">IF(V2="","","+"&amp;V2)</f>
        <v/>
      </c>
      <c r="AB2" s="30" t="str">
        <f t="shared" ref="AB2:AB10" si="7">"|n"&amp;Q2&amp;W2&amp;X2&amp;Y2&amp;Z2&amp;AA2&amp;"="&amp;A2</f>
        <v>|n=0</v>
      </c>
    </row>
    <row r="3" spans="1:28">
      <c r="A3" s="31">
        <f>装备!A4</f>
        <v>0</v>
      </c>
      <c r="B3" s="31" t="str">
        <f>"'"&amp;装备!B4&amp;"'"</f>
        <v>'E002'</v>
      </c>
      <c r="C3" s="31">
        <f>装备!J4</f>
        <v>0</v>
      </c>
      <c r="D3" s="31">
        <f>装备!K4</f>
        <v>0</v>
      </c>
      <c r="E3" s="31">
        <f>装备!L4</f>
        <v>0</v>
      </c>
      <c r="F3" s="31">
        <f>装备!M4</f>
        <v>0</v>
      </c>
      <c r="G3" s="31">
        <f>装备!N4</f>
        <v>0</v>
      </c>
      <c r="H3" s="31">
        <f>装备!O4</f>
        <v>0</v>
      </c>
      <c r="I3" s="31">
        <f>IF(装备!J4=0,0,"'"&amp;装备!J4&amp;"'")</f>
        <v>0</v>
      </c>
      <c r="J3" s="31">
        <f>IF(装备!K4=0,0,"'"&amp;装备!K4&amp;"'")</f>
        <v>0</v>
      </c>
      <c r="K3" s="31">
        <f>IF(装备!L4=0,0,"'"&amp;装备!L4&amp;"'")</f>
        <v>0</v>
      </c>
      <c r="L3" s="31">
        <f>IF(装备!M4=0,0,"'"&amp;装备!M4&amp;"'")</f>
        <v>0</v>
      </c>
      <c r="M3" s="31">
        <f>IF(装备!N4=0,0,"'"&amp;装备!N4&amp;"'")</f>
        <v>0</v>
      </c>
      <c r="N3" s="31">
        <f>IF(装备!O4=0,0,"'"&amp;装备!O4&amp;"'")</f>
        <v>0</v>
      </c>
      <c r="O3" s="31" t="str">
        <f t="shared" si="0"/>
        <v/>
      </c>
      <c r="P3" s="31" t="str">
        <f t="shared" si="1"/>
        <v/>
      </c>
      <c r="Q3" s="35" t="str">
        <f>IFERROR(VLOOKUP(C3,装备!$B:$E,3,FALSE),"")</f>
        <v/>
      </c>
      <c r="R3" s="35" t="str">
        <f>IFERROR(VLOOKUP(D3,装备!$B:$E,3,FALSE),"")</f>
        <v/>
      </c>
      <c r="S3" s="35" t="str">
        <f>IFERROR(VLOOKUP(E3,装备!$B:$E,3,FALSE),"")</f>
        <v/>
      </c>
      <c r="T3" s="35" t="str">
        <f>IFERROR(VLOOKUP(F3,装备!$B:$E,3,FALSE),"")</f>
        <v/>
      </c>
      <c r="U3" s="35" t="str">
        <f>IFERROR(VLOOKUP(G3,装备!$B:$E,3,FALSE),"")</f>
        <v/>
      </c>
      <c r="V3" s="35" t="str">
        <f>IFERROR(VLOOKUP(H3,装备!$B:$E,3,FALSE),"")</f>
        <v/>
      </c>
      <c r="W3" s="30" t="str">
        <f t="shared" si="2"/>
        <v/>
      </c>
      <c r="X3" s="30" t="str">
        <f t="shared" si="3"/>
        <v/>
      </c>
      <c r="Y3" s="30" t="str">
        <f t="shared" si="4"/>
        <v/>
      </c>
      <c r="Z3" s="30" t="str">
        <f t="shared" si="5"/>
        <v/>
      </c>
      <c r="AA3" s="30" t="str">
        <f t="shared" si="6"/>
        <v/>
      </c>
      <c r="AB3" s="30" t="str">
        <f t="shared" si="7"/>
        <v>|n=0</v>
      </c>
    </row>
    <row r="4" spans="1:28">
      <c r="A4" s="31">
        <f>装备!A5</f>
        <v>0</v>
      </c>
      <c r="B4" s="31" t="str">
        <f>"'"&amp;装备!B5&amp;"'"</f>
        <v>'E003'</v>
      </c>
      <c r="C4" s="31">
        <f>装备!J5</f>
        <v>0</v>
      </c>
      <c r="D4" s="31">
        <f>装备!K5</f>
        <v>0</v>
      </c>
      <c r="E4" s="31">
        <f>装备!L5</f>
        <v>0</v>
      </c>
      <c r="F4" s="31">
        <f>装备!M5</f>
        <v>0</v>
      </c>
      <c r="G4" s="31">
        <f>装备!N5</f>
        <v>0</v>
      </c>
      <c r="H4" s="31">
        <f>装备!O5</f>
        <v>0</v>
      </c>
      <c r="I4" s="31">
        <f>IF(装备!J5=0,0,"'"&amp;装备!J5&amp;"'")</f>
        <v>0</v>
      </c>
      <c r="J4" s="31">
        <f>IF(装备!K5=0,0,"'"&amp;装备!K5&amp;"'")</f>
        <v>0</v>
      </c>
      <c r="K4" s="31">
        <f>IF(装备!L5=0,0,"'"&amp;装备!L5&amp;"'")</f>
        <v>0</v>
      </c>
      <c r="L4" s="31">
        <f>IF(装备!M5=0,0,"'"&amp;装备!M5&amp;"'")</f>
        <v>0</v>
      </c>
      <c r="M4" s="31">
        <f>IF(装备!N5=0,0,"'"&amp;装备!N5&amp;"'")</f>
        <v>0</v>
      </c>
      <c r="N4" s="31">
        <f>IF(装备!O5=0,0,"'"&amp;装备!O5&amp;"'")</f>
        <v>0</v>
      </c>
      <c r="O4" s="31" t="str">
        <f t="shared" si="0"/>
        <v/>
      </c>
      <c r="P4" s="31" t="str">
        <f t="shared" si="1"/>
        <v/>
      </c>
      <c r="Q4" s="35" t="str">
        <f>IFERROR(VLOOKUP(C4,装备!$B:$E,3,FALSE),"")</f>
        <v/>
      </c>
      <c r="R4" s="35" t="str">
        <f>IFERROR(VLOOKUP(D4,装备!$B:$E,3,FALSE),"")</f>
        <v/>
      </c>
      <c r="S4" s="35" t="str">
        <f>IFERROR(VLOOKUP(E4,装备!$B:$E,3,FALSE),"")</f>
        <v/>
      </c>
      <c r="T4" s="35" t="str">
        <f>IFERROR(VLOOKUP(F4,装备!$B:$E,3,FALSE),"")</f>
        <v/>
      </c>
      <c r="U4" s="35" t="str">
        <f>IFERROR(VLOOKUP(G4,装备!$B:$E,3,FALSE),"")</f>
        <v/>
      </c>
      <c r="V4" s="35" t="str">
        <f>IFERROR(VLOOKUP(H4,装备!$B:$E,3,FALSE),"")</f>
        <v/>
      </c>
      <c r="W4" s="30" t="str">
        <f t="shared" si="2"/>
        <v/>
      </c>
      <c r="X4" s="30" t="str">
        <f t="shared" si="3"/>
        <v/>
      </c>
      <c r="Y4" s="30" t="str">
        <f t="shared" si="4"/>
        <v/>
      </c>
      <c r="Z4" s="30" t="str">
        <f t="shared" si="5"/>
        <v/>
      </c>
      <c r="AA4" s="30" t="str">
        <f t="shared" si="6"/>
        <v/>
      </c>
      <c r="AB4" s="30" t="str">
        <f t="shared" si="7"/>
        <v>|n=0</v>
      </c>
    </row>
    <row r="5" spans="1:28">
      <c r="A5" s="31">
        <f>装备!A6</f>
        <v>0</v>
      </c>
      <c r="B5" s="31" t="str">
        <f>"'"&amp;装备!B6&amp;"'"</f>
        <v>'E004'</v>
      </c>
      <c r="C5" s="31">
        <f>装备!J6</f>
        <v>0</v>
      </c>
      <c r="D5" s="31">
        <f>装备!K6</f>
        <v>0</v>
      </c>
      <c r="E5" s="31">
        <f>装备!L6</f>
        <v>0</v>
      </c>
      <c r="F5" s="31">
        <f>装备!M6</f>
        <v>0</v>
      </c>
      <c r="G5" s="31">
        <f>装备!N6</f>
        <v>0</v>
      </c>
      <c r="H5" s="31">
        <f>装备!O6</f>
        <v>0</v>
      </c>
      <c r="I5" s="31">
        <f>IF(装备!J6=0,0,"'"&amp;装备!J6&amp;"'")</f>
        <v>0</v>
      </c>
      <c r="J5" s="31">
        <f>IF(装备!K6=0,0,"'"&amp;装备!K6&amp;"'")</f>
        <v>0</v>
      </c>
      <c r="K5" s="31">
        <f>IF(装备!L6=0,0,"'"&amp;装备!L6&amp;"'")</f>
        <v>0</v>
      </c>
      <c r="L5" s="31">
        <f>IF(装备!M6=0,0,"'"&amp;装备!M6&amp;"'")</f>
        <v>0</v>
      </c>
      <c r="M5" s="31">
        <f>IF(装备!N6=0,0,"'"&amp;装备!N6&amp;"'")</f>
        <v>0</v>
      </c>
      <c r="N5" s="31">
        <f>IF(装备!O6=0,0,"'"&amp;装备!O6&amp;"'")</f>
        <v>0</v>
      </c>
      <c r="O5" s="31" t="str">
        <f t="shared" si="0"/>
        <v/>
      </c>
      <c r="P5" s="31" t="str">
        <f t="shared" si="1"/>
        <v/>
      </c>
      <c r="Q5" s="35" t="str">
        <f>IFERROR(VLOOKUP(C5,装备!$B:$E,3,FALSE),"")</f>
        <v/>
      </c>
      <c r="R5" s="35" t="str">
        <f>IFERROR(VLOOKUP(D5,装备!$B:$E,3,FALSE),"")</f>
        <v/>
      </c>
      <c r="S5" s="35" t="str">
        <f>IFERROR(VLOOKUP(E5,装备!$B:$E,3,FALSE),"")</f>
        <v/>
      </c>
      <c r="T5" s="35" t="str">
        <f>IFERROR(VLOOKUP(F5,装备!$B:$E,3,FALSE),"")</f>
        <v/>
      </c>
      <c r="U5" s="35" t="str">
        <f>IFERROR(VLOOKUP(G5,装备!$B:$E,3,FALSE),"")</f>
        <v/>
      </c>
      <c r="V5" s="35" t="str">
        <f>IFERROR(VLOOKUP(H5,装备!$B:$E,3,FALSE),"")</f>
        <v/>
      </c>
      <c r="W5" s="30" t="str">
        <f t="shared" si="2"/>
        <v/>
      </c>
      <c r="X5" s="30" t="str">
        <f t="shared" si="3"/>
        <v/>
      </c>
      <c r="Y5" s="30" t="str">
        <f t="shared" si="4"/>
        <v/>
      </c>
      <c r="Z5" s="30" t="str">
        <f t="shared" si="5"/>
        <v/>
      </c>
      <c r="AA5" s="30" t="str">
        <f t="shared" si="6"/>
        <v/>
      </c>
      <c r="AB5" s="30" t="str">
        <f t="shared" si="7"/>
        <v>|n=0</v>
      </c>
    </row>
    <row r="6" spans="1:28">
      <c r="A6" s="31">
        <f>装备!A7</f>
        <v>0</v>
      </c>
      <c r="B6" s="31" t="str">
        <f>"'"&amp;装备!B7&amp;"'"</f>
        <v>'E005'</v>
      </c>
      <c r="C6" s="31">
        <f>装备!J7</f>
        <v>0</v>
      </c>
      <c r="D6" s="31">
        <f>装备!K7</f>
        <v>0</v>
      </c>
      <c r="E6" s="31">
        <f>装备!L7</f>
        <v>0</v>
      </c>
      <c r="F6" s="31">
        <f>装备!M7</f>
        <v>0</v>
      </c>
      <c r="G6" s="31">
        <f>装备!N7</f>
        <v>0</v>
      </c>
      <c r="H6" s="31">
        <f>装备!O7</f>
        <v>0</v>
      </c>
      <c r="I6" s="31">
        <f>IF(装备!J7=0,0,"'"&amp;装备!J7&amp;"'")</f>
        <v>0</v>
      </c>
      <c r="J6" s="31">
        <f>IF(装备!K7=0,0,"'"&amp;装备!K7&amp;"'")</f>
        <v>0</v>
      </c>
      <c r="K6" s="31">
        <f>IF(装备!L7=0,0,"'"&amp;装备!L7&amp;"'")</f>
        <v>0</v>
      </c>
      <c r="L6" s="31">
        <f>IF(装备!M7=0,0,"'"&amp;装备!M7&amp;"'")</f>
        <v>0</v>
      </c>
      <c r="M6" s="31">
        <f>IF(装备!N7=0,0,"'"&amp;装备!N7&amp;"'")</f>
        <v>0</v>
      </c>
      <c r="N6" s="31">
        <f>IF(装备!O7=0,0,"'"&amp;装备!O7&amp;"'")</f>
        <v>0</v>
      </c>
      <c r="O6" s="31" t="str">
        <f t="shared" si="0"/>
        <v/>
      </c>
      <c r="P6" s="31" t="str">
        <f t="shared" si="1"/>
        <v/>
      </c>
      <c r="Q6" s="35" t="str">
        <f>IFERROR(VLOOKUP(C6,装备!$B:$E,3,FALSE),"")</f>
        <v/>
      </c>
      <c r="R6" s="35" t="str">
        <f>IFERROR(VLOOKUP(D6,装备!$B:$E,3,FALSE),"")</f>
        <v/>
      </c>
      <c r="S6" s="35" t="str">
        <f>IFERROR(VLOOKUP(E6,装备!$B:$E,3,FALSE),"")</f>
        <v/>
      </c>
      <c r="T6" s="35" t="str">
        <f>IFERROR(VLOOKUP(F6,装备!$B:$E,3,FALSE),"")</f>
        <v/>
      </c>
      <c r="U6" s="35" t="str">
        <f>IFERROR(VLOOKUP(G6,装备!$B:$E,3,FALSE),"")</f>
        <v/>
      </c>
      <c r="V6" s="35" t="str">
        <f>IFERROR(VLOOKUP(H6,装备!$B:$E,3,FALSE),"")</f>
        <v/>
      </c>
      <c r="W6" s="30" t="str">
        <f t="shared" si="2"/>
        <v/>
      </c>
      <c r="X6" s="30" t="str">
        <f t="shared" si="3"/>
        <v/>
      </c>
      <c r="Y6" s="30" t="str">
        <f t="shared" si="4"/>
        <v/>
      </c>
      <c r="Z6" s="30" t="str">
        <f t="shared" si="5"/>
        <v/>
      </c>
      <c r="AA6" s="30" t="str">
        <f t="shared" si="6"/>
        <v/>
      </c>
      <c r="AB6" s="30" t="str">
        <f t="shared" si="7"/>
        <v>|n=0</v>
      </c>
    </row>
    <row r="7" spans="1:28">
      <c r="A7" s="31">
        <f>装备!A8</f>
        <v>0</v>
      </c>
      <c r="B7" s="31" t="str">
        <f>"'"&amp;装备!B8&amp;"'"</f>
        <v>'E006'</v>
      </c>
      <c r="C7" s="31">
        <f>装备!J8</f>
        <v>0</v>
      </c>
      <c r="D7" s="31">
        <f>装备!K8</f>
        <v>0</v>
      </c>
      <c r="E7" s="31">
        <f>装备!L8</f>
        <v>0</v>
      </c>
      <c r="F7" s="31">
        <f>装备!M8</f>
        <v>0</v>
      </c>
      <c r="G7" s="31">
        <f>装备!N8</f>
        <v>0</v>
      </c>
      <c r="H7" s="31">
        <f>装备!O8</f>
        <v>0</v>
      </c>
      <c r="I7" s="31">
        <f>IF(装备!J8=0,0,"'"&amp;装备!J8&amp;"'")</f>
        <v>0</v>
      </c>
      <c r="J7" s="31">
        <f>IF(装备!K8=0,0,"'"&amp;装备!K8&amp;"'")</f>
        <v>0</v>
      </c>
      <c r="K7" s="31">
        <f>IF(装备!L8=0,0,"'"&amp;装备!L8&amp;"'")</f>
        <v>0</v>
      </c>
      <c r="L7" s="31">
        <f>IF(装备!M8=0,0,"'"&amp;装备!M8&amp;"'")</f>
        <v>0</v>
      </c>
      <c r="M7" s="31">
        <f>IF(装备!N8=0,0,"'"&amp;装备!N8&amp;"'")</f>
        <v>0</v>
      </c>
      <c r="N7" s="31">
        <f>IF(装备!O8=0,0,"'"&amp;装备!O8&amp;"'")</f>
        <v>0</v>
      </c>
      <c r="O7" s="31" t="str">
        <f t="shared" si="0"/>
        <v/>
      </c>
      <c r="P7" s="31" t="str">
        <f t="shared" si="1"/>
        <v/>
      </c>
      <c r="Q7" s="35" t="str">
        <f>IFERROR(VLOOKUP(C7,装备!$B:$E,3,FALSE),"")</f>
        <v/>
      </c>
      <c r="R7" s="35" t="str">
        <f>IFERROR(VLOOKUP(D7,装备!$B:$E,3,FALSE),"")</f>
        <v/>
      </c>
      <c r="S7" s="35" t="str">
        <f>IFERROR(VLOOKUP(E7,装备!$B:$E,3,FALSE),"")</f>
        <v/>
      </c>
      <c r="T7" s="35" t="str">
        <f>IFERROR(VLOOKUP(F7,装备!$B:$E,3,FALSE),"")</f>
        <v/>
      </c>
      <c r="U7" s="35" t="str">
        <f>IFERROR(VLOOKUP(G7,装备!$B:$E,3,FALSE),"")</f>
        <v/>
      </c>
      <c r="V7" s="35" t="str">
        <f>IFERROR(VLOOKUP(H7,装备!$B:$E,3,FALSE),"")</f>
        <v/>
      </c>
      <c r="W7" s="30" t="str">
        <f t="shared" si="2"/>
        <v/>
      </c>
      <c r="X7" s="30" t="str">
        <f t="shared" si="3"/>
        <v/>
      </c>
      <c r="Y7" s="30" t="str">
        <f t="shared" si="4"/>
        <v/>
      </c>
      <c r="Z7" s="30" t="str">
        <f t="shared" si="5"/>
        <v/>
      </c>
      <c r="AA7" s="30" t="str">
        <f t="shared" si="6"/>
        <v/>
      </c>
      <c r="AB7" s="30" t="str">
        <f t="shared" si="7"/>
        <v>|n=0</v>
      </c>
    </row>
    <row r="8" spans="1:28">
      <c r="A8" s="31">
        <f>装备!A9</f>
        <v>0</v>
      </c>
      <c r="B8" s="31" t="str">
        <f>"'"&amp;装备!B9&amp;"'"</f>
        <v>'E007'</v>
      </c>
      <c r="C8" s="31">
        <f>装备!J9</f>
        <v>0</v>
      </c>
      <c r="D8" s="31">
        <f>装备!K9</f>
        <v>0</v>
      </c>
      <c r="E8" s="31">
        <f>装备!L9</f>
        <v>0</v>
      </c>
      <c r="F8" s="31">
        <f>装备!M9</f>
        <v>0</v>
      </c>
      <c r="G8" s="31">
        <f>装备!N9</f>
        <v>0</v>
      </c>
      <c r="H8" s="31">
        <f>装备!O9</f>
        <v>0</v>
      </c>
      <c r="I8" s="31">
        <f>IF(装备!J9=0,0,"'"&amp;装备!J9&amp;"'")</f>
        <v>0</v>
      </c>
      <c r="J8" s="31">
        <f>IF(装备!K9=0,0,"'"&amp;装备!K9&amp;"'")</f>
        <v>0</v>
      </c>
      <c r="K8" s="31">
        <f>IF(装备!L9=0,0,"'"&amp;装备!L9&amp;"'")</f>
        <v>0</v>
      </c>
      <c r="L8" s="31">
        <f>IF(装备!M9=0,0,"'"&amp;装备!M9&amp;"'")</f>
        <v>0</v>
      </c>
      <c r="M8" s="31">
        <f>IF(装备!N9=0,0,"'"&amp;装备!N9&amp;"'")</f>
        <v>0</v>
      </c>
      <c r="N8" s="31">
        <f>IF(装备!O9=0,0,"'"&amp;装备!O9&amp;"'")</f>
        <v>0</v>
      </c>
      <c r="O8" s="31" t="str">
        <f t="shared" si="0"/>
        <v/>
      </c>
      <c r="P8" s="31" t="str">
        <f t="shared" si="1"/>
        <v/>
      </c>
      <c r="Q8" s="35" t="str">
        <f>IFERROR(VLOOKUP(C8,装备!$B:$E,3,FALSE),"")</f>
        <v/>
      </c>
      <c r="R8" s="35" t="str">
        <f>IFERROR(VLOOKUP(D8,装备!$B:$E,3,FALSE),"")</f>
        <v/>
      </c>
      <c r="S8" s="35" t="str">
        <f>IFERROR(VLOOKUP(E8,装备!$B:$E,3,FALSE),"")</f>
        <v/>
      </c>
      <c r="T8" s="35" t="str">
        <f>IFERROR(VLOOKUP(F8,装备!$B:$E,3,FALSE),"")</f>
        <v/>
      </c>
      <c r="U8" s="35" t="str">
        <f>IFERROR(VLOOKUP(G8,装备!$B:$E,3,FALSE),"")</f>
        <v/>
      </c>
      <c r="V8" s="35" t="str">
        <f>IFERROR(VLOOKUP(H8,装备!$B:$E,3,FALSE),"")</f>
        <v/>
      </c>
      <c r="W8" s="30" t="str">
        <f t="shared" si="2"/>
        <v/>
      </c>
      <c r="X8" s="30" t="str">
        <f t="shared" si="3"/>
        <v/>
      </c>
      <c r="Y8" s="30" t="str">
        <f t="shared" si="4"/>
        <v/>
      </c>
      <c r="Z8" s="30" t="str">
        <f t="shared" si="5"/>
        <v/>
      </c>
      <c r="AA8" s="30" t="str">
        <f t="shared" si="6"/>
        <v/>
      </c>
      <c r="AB8" s="30" t="str">
        <f t="shared" si="7"/>
        <v>|n=0</v>
      </c>
    </row>
    <row r="9" spans="1:28">
      <c r="A9" s="31">
        <f>装备!A10</f>
        <v>0</v>
      </c>
      <c r="B9" s="31" t="str">
        <f>"'"&amp;装备!B10&amp;"'"</f>
        <v>'E008'</v>
      </c>
      <c r="C9" s="31">
        <f>装备!J10</f>
        <v>0</v>
      </c>
      <c r="D9" s="31">
        <f>装备!K10</f>
        <v>0</v>
      </c>
      <c r="E9" s="31">
        <f>装备!L10</f>
        <v>0</v>
      </c>
      <c r="F9" s="31">
        <f>装备!M10</f>
        <v>0</v>
      </c>
      <c r="G9" s="31">
        <f>装备!N10</f>
        <v>0</v>
      </c>
      <c r="H9" s="31">
        <f>装备!O10</f>
        <v>0</v>
      </c>
      <c r="I9" s="31">
        <f>IF(装备!J10=0,0,"'"&amp;装备!J10&amp;"'")</f>
        <v>0</v>
      </c>
      <c r="J9" s="31">
        <f>IF(装备!K10=0,0,"'"&amp;装备!K10&amp;"'")</f>
        <v>0</v>
      </c>
      <c r="K9" s="31">
        <f>IF(装备!L10=0,0,"'"&amp;装备!L10&amp;"'")</f>
        <v>0</v>
      </c>
      <c r="L9" s="31">
        <f>IF(装备!M10=0,0,"'"&amp;装备!M10&amp;"'")</f>
        <v>0</v>
      </c>
      <c r="M9" s="31">
        <f>IF(装备!N10=0,0,"'"&amp;装备!N10&amp;"'")</f>
        <v>0</v>
      </c>
      <c r="N9" s="31">
        <f>IF(装备!O10=0,0,"'"&amp;装备!O10&amp;"'")</f>
        <v>0</v>
      </c>
      <c r="O9" s="31" t="str">
        <f t="shared" si="0"/>
        <v/>
      </c>
      <c r="P9" s="31" t="str">
        <f t="shared" si="1"/>
        <v/>
      </c>
      <c r="Q9" s="35" t="str">
        <f>IFERROR(VLOOKUP(C9,装备!$B:$E,3,FALSE),"")</f>
        <v/>
      </c>
      <c r="R9" s="35" t="str">
        <f>IFERROR(VLOOKUP(D9,装备!$B:$E,3,FALSE),"")</f>
        <v/>
      </c>
      <c r="S9" s="35" t="str">
        <f>IFERROR(VLOOKUP(E9,装备!$B:$E,3,FALSE),"")</f>
        <v/>
      </c>
      <c r="T9" s="35" t="str">
        <f>IFERROR(VLOOKUP(F9,装备!$B:$E,3,FALSE),"")</f>
        <v/>
      </c>
      <c r="U9" s="35" t="str">
        <f>IFERROR(VLOOKUP(G9,装备!$B:$E,3,FALSE),"")</f>
        <v/>
      </c>
      <c r="V9" s="35" t="str">
        <f>IFERROR(VLOOKUP(H9,装备!$B:$E,3,FALSE),"")</f>
        <v/>
      </c>
      <c r="W9" s="30" t="str">
        <f t="shared" si="2"/>
        <v/>
      </c>
      <c r="X9" s="30" t="str">
        <f t="shared" si="3"/>
        <v/>
      </c>
      <c r="Y9" s="30" t="str">
        <f t="shared" si="4"/>
        <v/>
      </c>
      <c r="Z9" s="30" t="str">
        <f t="shared" si="5"/>
        <v/>
      </c>
      <c r="AA9" s="30" t="str">
        <f t="shared" si="6"/>
        <v/>
      </c>
      <c r="AB9" s="30" t="str">
        <f t="shared" si="7"/>
        <v>|n=0</v>
      </c>
    </row>
    <row r="10" spans="1:28">
      <c r="A10" s="31">
        <f>装备!A11</f>
        <v>0</v>
      </c>
      <c r="B10" s="31" t="str">
        <f>"'"&amp;装备!B11&amp;"'"</f>
        <v>'E009'</v>
      </c>
      <c r="C10" s="31">
        <f>装备!J11</f>
        <v>0</v>
      </c>
      <c r="D10" s="31">
        <f>装备!K11</f>
        <v>0</v>
      </c>
      <c r="E10" s="31">
        <f>装备!L11</f>
        <v>0</v>
      </c>
      <c r="F10" s="31">
        <f>装备!M11</f>
        <v>0</v>
      </c>
      <c r="G10" s="31">
        <f>装备!N11</f>
        <v>0</v>
      </c>
      <c r="H10" s="31">
        <f>装备!O11</f>
        <v>0</v>
      </c>
      <c r="I10" s="31">
        <f>IF(装备!J11=0,0,"'"&amp;装备!J11&amp;"'")</f>
        <v>0</v>
      </c>
      <c r="J10" s="31">
        <f>IF(装备!K11=0,0,"'"&amp;装备!K11&amp;"'")</f>
        <v>0</v>
      </c>
      <c r="K10" s="31">
        <f>IF(装备!L11=0,0,"'"&amp;装备!L11&amp;"'")</f>
        <v>0</v>
      </c>
      <c r="L10" s="31">
        <f>IF(装备!M11=0,0,"'"&amp;装备!M11&amp;"'")</f>
        <v>0</v>
      </c>
      <c r="M10" s="31">
        <f>IF(装备!N11=0,0,"'"&amp;装备!N11&amp;"'")</f>
        <v>0</v>
      </c>
      <c r="N10" s="31">
        <f>IF(装备!O11=0,0,"'"&amp;装备!O11&amp;"'")</f>
        <v>0</v>
      </c>
      <c r="O10" s="31" t="str">
        <f t="shared" si="0"/>
        <v/>
      </c>
      <c r="P10" s="31" t="str">
        <f t="shared" si="1"/>
        <v/>
      </c>
      <c r="Q10" s="35" t="str">
        <f>IFERROR(VLOOKUP(C10,装备!$B:$E,3,FALSE),"")</f>
        <v/>
      </c>
      <c r="R10" s="35" t="str">
        <f>IFERROR(VLOOKUP(D10,装备!$B:$E,3,FALSE),"")</f>
        <v/>
      </c>
      <c r="S10" s="35" t="str">
        <f>IFERROR(VLOOKUP(E10,装备!$B:$E,3,FALSE),"")</f>
        <v/>
      </c>
      <c r="T10" s="35" t="str">
        <f>IFERROR(VLOOKUP(F10,装备!$B:$E,3,FALSE),"")</f>
        <v/>
      </c>
      <c r="U10" s="35" t="str">
        <f>IFERROR(VLOOKUP(G10,装备!$B:$E,3,FALSE),"")</f>
        <v/>
      </c>
      <c r="V10" s="35" t="str">
        <f>IFERROR(VLOOKUP(H10,装备!$B:$E,3,FALSE),"")</f>
        <v/>
      </c>
      <c r="W10" s="30" t="str">
        <f t="shared" si="2"/>
        <v/>
      </c>
      <c r="X10" s="30" t="str">
        <f t="shared" si="3"/>
        <v/>
      </c>
      <c r="Y10" s="30" t="str">
        <f t="shared" si="4"/>
        <v/>
      </c>
      <c r="Z10" s="30" t="str">
        <f t="shared" si="5"/>
        <v/>
      </c>
      <c r="AA10" s="30" t="str">
        <f t="shared" si="6"/>
        <v/>
      </c>
      <c r="AB10" s="30" t="str">
        <f t="shared" si="7"/>
        <v>|n=0</v>
      </c>
    </row>
    <row r="11" spans="1:28">
      <c r="A11" s="31">
        <f>装备!A12</f>
        <v>0</v>
      </c>
      <c r="B11" s="31" t="str">
        <f>"'"&amp;装备!B12&amp;"'"</f>
        <v>'E010'</v>
      </c>
      <c r="C11" s="31">
        <f>装备!J12</f>
        <v>0</v>
      </c>
      <c r="D11" s="31">
        <f>装备!K12</f>
        <v>0</v>
      </c>
      <c r="E11" s="31">
        <f>装备!L12</f>
        <v>0</v>
      </c>
      <c r="F11" s="31">
        <f>装备!M12</f>
        <v>0</v>
      </c>
      <c r="G11" s="31">
        <f>装备!N12</f>
        <v>0</v>
      </c>
      <c r="H11" s="31">
        <f>装备!O12</f>
        <v>0</v>
      </c>
      <c r="I11" s="31">
        <f>IF(装备!J12=0,0,"'"&amp;装备!J12&amp;"'")</f>
        <v>0</v>
      </c>
      <c r="J11" s="31">
        <f>IF(装备!K12=0,0,"'"&amp;装备!K12&amp;"'")</f>
        <v>0</v>
      </c>
      <c r="K11" s="31">
        <f>IF(装备!L12=0,0,"'"&amp;装备!L12&amp;"'")</f>
        <v>0</v>
      </c>
      <c r="L11" s="31">
        <f>IF(装备!M12=0,0,"'"&amp;装备!M12&amp;"'")</f>
        <v>0</v>
      </c>
      <c r="M11" s="31">
        <f>IF(装备!N12=0,0,"'"&amp;装备!N12&amp;"'")</f>
        <v>0</v>
      </c>
      <c r="N11" s="31">
        <f>IF(装备!O12=0,0,"'"&amp;装备!O12&amp;"'")</f>
        <v>0</v>
      </c>
      <c r="O11" s="31" t="str">
        <f t="shared" ref="O11:O45" si="8">IF(I11=0,"","AddItemFormula("&amp;I11&amp;","&amp;J11&amp;","&amp;K11&amp;","&amp;L11&amp;","&amp;M11&amp;","&amp;N11&amp;","&amp;B11&amp;")")</f>
        <v/>
      </c>
      <c r="P11" s="31" t="str">
        <f t="shared" si="1"/>
        <v/>
      </c>
      <c r="Q11" s="35" t="str">
        <f>IFERROR(VLOOKUP(C11,装备!$B:$E,3,FALSE),"")</f>
        <v/>
      </c>
      <c r="R11" s="35" t="str">
        <f>IFERROR(VLOOKUP(D11,装备!$B:$E,3,FALSE),"")</f>
        <v/>
      </c>
      <c r="S11" s="35" t="str">
        <f>IFERROR(VLOOKUP(E11,装备!$B:$E,3,FALSE),"")</f>
        <v/>
      </c>
      <c r="T11" s="35" t="str">
        <f>IFERROR(VLOOKUP(F11,装备!$B:$E,3,FALSE),"")</f>
        <v/>
      </c>
      <c r="U11" s="35" t="str">
        <f>IFERROR(VLOOKUP(G11,装备!$B:$E,3,FALSE),"")</f>
        <v/>
      </c>
      <c r="V11" s="35" t="str">
        <f>IFERROR(VLOOKUP(H11,装备!$B:$E,3,FALSE),"")</f>
        <v/>
      </c>
      <c r="W11" s="30" t="str">
        <f t="shared" ref="W11:W45" si="9">IF(R11="","","+"&amp;R11)</f>
        <v/>
      </c>
      <c r="X11" s="30" t="str">
        <f t="shared" ref="X11:X45" si="10">IF(S11="","","+"&amp;S11)</f>
        <v/>
      </c>
      <c r="Y11" s="30" t="str">
        <f t="shared" ref="Y11:Y45" si="11">IF(T11="","","+"&amp;T11)</f>
        <v/>
      </c>
      <c r="Z11" s="30" t="str">
        <f t="shared" ref="Z11:Z45" si="12">IF(U11="","","+"&amp;U11)</f>
        <v/>
      </c>
      <c r="AA11" s="30" t="str">
        <f t="shared" ref="AA11:AA45" si="13">IF(V11="","","+"&amp;V11)</f>
        <v/>
      </c>
      <c r="AB11" s="30" t="str">
        <f t="shared" ref="AB11:AB45" si="14">"|n"&amp;Q11&amp;W11&amp;X11&amp;Y11&amp;Z11&amp;AA11&amp;"="&amp;A11</f>
        <v>|n=0</v>
      </c>
    </row>
    <row r="12" spans="1:28">
      <c r="A12" s="31">
        <f>装备!A13</f>
        <v>0</v>
      </c>
      <c r="B12" s="31" t="str">
        <f>"'"&amp;装备!B13&amp;"'"</f>
        <v>'E011'</v>
      </c>
      <c r="C12" s="31">
        <f>装备!J13</f>
        <v>0</v>
      </c>
      <c r="D12" s="31">
        <f>装备!K13</f>
        <v>0</v>
      </c>
      <c r="E12" s="31">
        <f>装备!L13</f>
        <v>0</v>
      </c>
      <c r="F12" s="31">
        <f>装备!M13</f>
        <v>0</v>
      </c>
      <c r="G12" s="31">
        <f>装备!N13</f>
        <v>0</v>
      </c>
      <c r="H12" s="31">
        <f>装备!O13</f>
        <v>0</v>
      </c>
      <c r="I12" s="31">
        <f>IF(装备!J13=0,0,"'"&amp;装备!J13&amp;"'")</f>
        <v>0</v>
      </c>
      <c r="J12" s="31">
        <f>IF(装备!K13=0,0,"'"&amp;装备!K13&amp;"'")</f>
        <v>0</v>
      </c>
      <c r="K12" s="31">
        <f>IF(装备!L13=0,0,"'"&amp;装备!L13&amp;"'")</f>
        <v>0</v>
      </c>
      <c r="L12" s="31">
        <f>IF(装备!M13=0,0,"'"&amp;装备!M13&amp;"'")</f>
        <v>0</v>
      </c>
      <c r="M12" s="31">
        <f>IF(装备!N13=0,0,"'"&amp;装备!N13&amp;"'")</f>
        <v>0</v>
      </c>
      <c r="N12" s="31">
        <f>IF(装备!O13=0,0,"'"&amp;装备!O13&amp;"'")</f>
        <v>0</v>
      </c>
      <c r="O12" s="31" t="str">
        <f t="shared" si="8"/>
        <v/>
      </c>
      <c r="P12" s="31" t="str">
        <f t="shared" si="1"/>
        <v/>
      </c>
      <c r="Q12" s="35" t="str">
        <f>IFERROR(VLOOKUP(C12,装备!$B:$E,3,FALSE),"")</f>
        <v/>
      </c>
      <c r="R12" s="35" t="str">
        <f>IFERROR(VLOOKUP(D12,装备!$B:$E,3,FALSE),"")</f>
        <v/>
      </c>
      <c r="S12" s="35" t="str">
        <f>IFERROR(VLOOKUP(E12,装备!$B:$E,3,FALSE),"")</f>
        <v/>
      </c>
      <c r="T12" s="35" t="str">
        <f>IFERROR(VLOOKUP(F12,装备!$B:$E,3,FALSE),"")</f>
        <v/>
      </c>
      <c r="U12" s="35" t="str">
        <f>IFERROR(VLOOKUP(G12,装备!$B:$E,3,FALSE),"")</f>
        <v/>
      </c>
      <c r="V12" s="35" t="str">
        <f>IFERROR(VLOOKUP(H12,装备!$B:$E,3,FALSE),"")</f>
        <v/>
      </c>
      <c r="W12" s="30" t="str">
        <f t="shared" si="9"/>
        <v/>
      </c>
      <c r="X12" s="30" t="str">
        <f t="shared" si="10"/>
        <v/>
      </c>
      <c r="Y12" s="30" t="str">
        <f t="shared" si="11"/>
        <v/>
      </c>
      <c r="Z12" s="30" t="str">
        <f t="shared" si="12"/>
        <v/>
      </c>
      <c r="AA12" s="30" t="str">
        <f t="shared" si="13"/>
        <v/>
      </c>
      <c r="AB12" s="30" t="str">
        <f t="shared" si="14"/>
        <v>|n=0</v>
      </c>
    </row>
    <row r="13" spans="1:28">
      <c r="A13" s="31">
        <f>装备!A14</f>
        <v>0</v>
      </c>
      <c r="B13" s="31" t="str">
        <f>"'"&amp;装备!B14&amp;"'"</f>
        <v>'E012'</v>
      </c>
      <c r="C13" s="31">
        <f>装备!J14</f>
        <v>0</v>
      </c>
      <c r="D13" s="31">
        <f>装备!K14</f>
        <v>0</v>
      </c>
      <c r="E13" s="31">
        <f>装备!L14</f>
        <v>0</v>
      </c>
      <c r="F13" s="31">
        <f>装备!M14</f>
        <v>0</v>
      </c>
      <c r="G13" s="31">
        <f>装备!N14</f>
        <v>0</v>
      </c>
      <c r="H13" s="31">
        <f>装备!O14</f>
        <v>0</v>
      </c>
      <c r="I13" s="31">
        <f>IF(装备!J14=0,0,"'"&amp;装备!J14&amp;"'")</f>
        <v>0</v>
      </c>
      <c r="J13" s="31">
        <f>IF(装备!K14=0,0,"'"&amp;装备!K14&amp;"'")</f>
        <v>0</v>
      </c>
      <c r="K13" s="31">
        <f>IF(装备!L14=0,0,"'"&amp;装备!L14&amp;"'")</f>
        <v>0</v>
      </c>
      <c r="L13" s="31">
        <f>IF(装备!M14=0,0,"'"&amp;装备!M14&amp;"'")</f>
        <v>0</v>
      </c>
      <c r="M13" s="31">
        <f>IF(装备!N14=0,0,"'"&amp;装备!N14&amp;"'")</f>
        <v>0</v>
      </c>
      <c r="N13" s="31">
        <f>IF(装备!O14=0,0,"'"&amp;装备!O14&amp;"'")</f>
        <v>0</v>
      </c>
      <c r="O13" s="31" t="str">
        <f t="shared" si="8"/>
        <v/>
      </c>
      <c r="P13" s="31" t="str">
        <f t="shared" si="1"/>
        <v/>
      </c>
      <c r="Q13" s="35" t="str">
        <f>IFERROR(VLOOKUP(C13,装备!$B:$E,3,FALSE),"")</f>
        <v/>
      </c>
      <c r="R13" s="35" t="str">
        <f>IFERROR(VLOOKUP(D13,装备!$B:$E,3,FALSE),"")</f>
        <v/>
      </c>
      <c r="S13" s="35" t="str">
        <f>IFERROR(VLOOKUP(E13,装备!$B:$E,3,FALSE),"")</f>
        <v/>
      </c>
      <c r="T13" s="35" t="str">
        <f>IFERROR(VLOOKUP(F13,装备!$B:$E,3,FALSE),"")</f>
        <v/>
      </c>
      <c r="U13" s="35" t="str">
        <f>IFERROR(VLOOKUP(G13,装备!$B:$E,3,FALSE),"")</f>
        <v/>
      </c>
      <c r="V13" s="35" t="str">
        <f>IFERROR(VLOOKUP(H13,装备!$B:$E,3,FALSE),"")</f>
        <v/>
      </c>
      <c r="W13" s="30" t="str">
        <f t="shared" si="9"/>
        <v/>
      </c>
      <c r="X13" s="30" t="str">
        <f t="shared" si="10"/>
        <v/>
      </c>
      <c r="Y13" s="30" t="str">
        <f t="shared" si="11"/>
        <v/>
      </c>
      <c r="Z13" s="30" t="str">
        <f t="shared" si="12"/>
        <v/>
      </c>
      <c r="AA13" s="30" t="str">
        <f t="shared" si="13"/>
        <v/>
      </c>
      <c r="AB13" s="30" t="str">
        <f t="shared" si="14"/>
        <v>|n=0</v>
      </c>
    </row>
    <row r="14" spans="1:28">
      <c r="A14" s="31">
        <f>装备!A15</f>
        <v>0</v>
      </c>
      <c r="B14" s="31" t="str">
        <f>"'"&amp;装备!B15&amp;"'"</f>
        <v>'E013'</v>
      </c>
      <c r="C14" s="31">
        <f>装备!J15</f>
        <v>0</v>
      </c>
      <c r="D14" s="31">
        <f>装备!K15</f>
        <v>0</v>
      </c>
      <c r="E14" s="31">
        <f>装备!L15</f>
        <v>0</v>
      </c>
      <c r="F14" s="31">
        <f>装备!M15</f>
        <v>0</v>
      </c>
      <c r="G14" s="31">
        <f>装备!N15</f>
        <v>0</v>
      </c>
      <c r="H14" s="31">
        <f>装备!O15</f>
        <v>0</v>
      </c>
      <c r="I14" s="31">
        <f>IF(装备!J15=0,0,"'"&amp;装备!J15&amp;"'")</f>
        <v>0</v>
      </c>
      <c r="J14" s="31">
        <f>IF(装备!K15=0,0,"'"&amp;装备!K15&amp;"'")</f>
        <v>0</v>
      </c>
      <c r="K14" s="31">
        <f>IF(装备!L15=0,0,"'"&amp;装备!L15&amp;"'")</f>
        <v>0</v>
      </c>
      <c r="L14" s="31">
        <f>IF(装备!M15=0,0,"'"&amp;装备!M15&amp;"'")</f>
        <v>0</v>
      </c>
      <c r="M14" s="31">
        <f>IF(装备!N15=0,0,"'"&amp;装备!N15&amp;"'")</f>
        <v>0</v>
      </c>
      <c r="N14" s="31">
        <f>IF(装备!O15=0,0,"'"&amp;装备!O15&amp;"'")</f>
        <v>0</v>
      </c>
      <c r="O14" s="31" t="str">
        <f t="shared" si="8"/>
        <v/>
      </c>
      <c r="P14" s="31" t="str">
        <f t="shared" si="1"/>
        <v/>
      </c>
      <c r="Q14" s="35" t="str">
        <f>IFERROR(VLOOKUP(C14,装备!$B:$E,3,FALSE),"")</f>
        <v/>
      </c>
      <c r="R14" s="35" t="str">
        <f>IFERROR(VLOOKUP(D14,装备!$B:$E,3,FALSE),"")</f>
        <v/>
      </c>
      <c r="S14" s="35" t="str">
        <f>IFERROR(VLOOKUP(E14,装备!$B:$E,3,FALSE),"")</f>
        <v/>
      </c>
      <c r="T14" s="35" t="str">
        <f>IFERROR(VLOOKUP(F14,装备!$B:$E,3,FALSE),"")</f>
        <v/>
      </c>
      <c r="U14" s="35" t="str">
        <f>IFERROR(VLOOKUP(G14,装备!$B:$E,3,FALSE),"")</f>
        <v/>
      </c>
      <c r="V14" s="35" t="str">
        <f>IFERROR(VLOOKUP(H14,装备!$B:$E,3,FALSE),"")</f>
        <v/>
      </c>
      <c r="W14" s="30" t="str">
        <f t="shared" si="9"/>
        <v/>
      </c>
      <c r="X14" s="30" t="str">
        <f t="shared" si="10"/>
        <v/>
      </c>
      <c r="Y14" s="30" t="str">
        <f t="shared" si="11"/>
        <v/>
      </c>
      <c r="Z14" s="30" t="str">
        <f t="shared" si="12"/>
        <v/>
      </c>
      <c r="AA14" s="30" t="str">
        <f t="shared" si="13"/>
        <v/>
      </c>
      <c r="AB14" s="30" t="str">
        <f t="shared" si="14"/>
        <v>|n=0</v>
      </c>
    </row>
    <row r="15" spans="1:28">
      <c r="A15" s="31">
        <f>装备!A16</f>
        <v>0</v>
      </c>
      <c r="B15" s="31" t="str">
        <f>"'"&amp;装备!B16&amp;"'"</f>
        <v>'E014'</v>
      </c>
      <c r="C15" s="31">
        <f>装备!J16</f>
        <v>0</v>
      </c>
      <c r="D15" s="31">
        <f>装备!K16</f>
        <v>0</v>
      </c>
      <c r="E15" s="31">
        <f>装备!L16</f>
        <v>0</v>
      </c>
      <c r="F15" s="31">
        <f>装备!M16</f>
        <v>0</v>
      </c>
      <c r="G15" s="31">
        <f>装备!N16</f>
        <v>0</v>
      </c>
      <c r="H15" s="31">
        <f>装备!O16</f>
        <v>0</v>
      </c>
      <c r="I15" s="31">
        <f>IF(装备!J16=0,0,"'"&amp;装备!J16&amp;"'")</f>
        <v>0</v>
      </c>
      <c r="J15" s="31">
        <f>IF(装备!K16=0,0,"'"&amp;装备!K16&amp;"'")</f>
        <v>0</v>
      </c>
      <c r="K15" s="31">
        <f>IF(装备!L16=0,0,"'"&amp;装备!L16&amp;"'")</f>
        <v>0</v>
      </c>
      <c r="L15" s="31">
        <f>IF(装备!M16=0,0,"'"&amp;装备!M16&amp;"'")</f>
        <v>0</v>
      </c>
      <c r="M15" s="31">
        <f>IF(装备!N16=0,0,"'"&amp;装备!N16&amp;"'")</f>
        <v>0</v>
      </c>
      <c r="N15" s="31">
        <f>IF(装备!O16=0,0,"'"&amp;装备!O16&amp;"'")</f>
        <v>0</v>
      </c>
      <c r="O15" s="31" t="str">
        <f t="shared" si="8"/>
        <v/>
      </c>
      <c r="P15" s="31" t="str">
        <f t="shared" si="1"/>
        <v/>
      </c>
      <c r="Q15" s="35" t="str">
        <f>IFERROR(VLOOKUP(C15,装备!$B:$E,3,FALSE),"")</f>
        <v/>
      </c>
      <c r="R15" s="35" t="str">
        <f>IFERROR(VLOOKUP(D15,装备!$B:$E,3,FALSE),"")</f>
        <v/>
      </c>
      <c r="S15" s="35" t="str">
        <f>IFERROR(VLOOKUP(E15,装备!$B:$E,3,FALSE),"")</f>
        <v/>
      </c>
      <c r="T15" s="35" t="str">
        <f>IFERROR(VLOOKUP(F15,装备!$B:$E,3,FALSE),"")</f>
        <v/>
      </c>
      <c r="U15" s="35" t="str">
        <f>IFERROR(VLOOKUP(G15,装备!$B:$E,3,FALSE),"")</f>
        <v/>
      </c>
      <c r="V15" s="35" t="str">
        <f>IFERROR(VLOOKUP(H15,装备!$B:$E,3,FALSE),"")</f>
        <v/>
      </c>
      <c r="W15" s="30" t="str">
        <f t="shared" si="9"/>
        <v/>
      </c>
      <c r="X15" s="30" t="str">
        <f t="shared" si="10"/>
        <v/>
      </c>
      <c r="Y15" s="30" t="str">
        <f t="shared" si="11"/>
        <v/>
      </c>
      <c r="Z15" s="30" t="str">
        <f t="shared" si="12"/>
        <v/>
      </c>
      <c r="AA15" s="30" t="str">
        <f t="shared" si="13"/>
        <v/>
      </c>
      <c r="AB15" s="30" t="str">
        <f t="shared" si="14"/>
        <v>|n=0</v>
      </c>
    </row>
    <row r="16" spans="1:28">
      <c r="A16" s="31">
        <f>装备!A17</f>
        <v>0</v>
      </c>
      <c r="B16" s="31" t="str">
        <f>"'"&amp;装备!B17&amp;"'"</f>
        <v>'E015'</v>
      </c>
      <c r="C16" s="31">
        <f>装备!J17</f>
        <v>0</v>
      </c>
      <c r="D16" s="31">
        <f>装备!K17</f>
        <v>0</v>
      </c>
      <c r="E16" s="31">
        <f>装备!L17</f>
        <v>0</v>
      </c>
      <c r="F16" s="31">
        <f>装备!M17</f>
        <v>0</v>
      </c>
      <c r="G16" s="31">
        <f>装备!N17</f>
        <v>0</v>
      </c>
      <c r="H16" s="31">
        <f>装备!O17</f>
        <v>0</v>
      </c>
      <c r="I16" s="31">
        <f>IF(装备!J17=0,0,"'"&amp;装备!J17&amp;"'")</f>
        <v>0</v>
      </c>
      <c r="J16" s="31">
        <f>IF(装备!K17=0,0,"'"&amp;装备!K17&amp;"'")</f>
        <v>0</v>
      </c>
      <c r="K16" s="31">
        <f>IF(装备!L17=0,0,"'"&amp;装备!L17&amp;"'")</f>
        <v>0</v>
      </c>
      <c r="L16" s="31">
        <f>IF(装备!M17=0,0,"'"&amp;装备!M17&amp;"'")</f>
        <v>0</v>
      </c>
      <c r="M16" s="31">
        <f>IF(装备!N17=0,0,"'"&amp;装备!N17&amp;"'")</f>
        <v>0</v>
      </c>
      <c r="N16" s="31">
        <f>IF(装备!O17=0,0,"'"&amp;装备!O17&amp;"'")</f>
        <v>0</v>
      </c>
      <c r="O16" s="31" t="str">
        <f t="shared" si="8"/>
        <v/>
      </c>
      <c r="P16" s="31" t="str">
        <f t="shared" si="1"/>
        <v/>
      </c>
      <c r="Q16" s="35" t="str">
        <f>IFERROR(VLOOKUP(C16,装备!$B:$E,3,FALSE),"")</f>
        <v/>
      </c>
      <c r="R16" s="35" t="str">
        <f>IFERROR(VLOOKUP(D16,装备!$B:$E,3,FALSE),"")</f>
        <v/>
      </c>
      <c r="S16" s="35" t="str">
        <f>IFERROR(VLOOKUP(E16,装备!$B:$E,3,FALSE),"")</f>
        <v/>
      </c>
      <c r="T16" s="35" t="str">
        <f>IFERROR(VLOOKUP(F16,装备!$B:$E,3,FALSE),"")</f>
        <v/>
      </c>
      <c r="U16" s="35" t="str">
        <f>IFERROR(VLOOKUP(G16,装备!$B:$E,3,FALSE),"")</f>
        <v/>
      </c>
      <c r="V16" s="35" t="str">
        <f>IFERROR(VLOOKUP(H16,装备!$B:$E,3,FALSE),"")</f>
        <v/>
      </c>
      <c r="W16" s="30" t="str">
        <f t="shared" si="9"/>
        <v/>
      </c>
      <c r="X16" s="30" t="str">
        <f t="shared" si="10"/>
        <v/>
      </c>
      <c r="Y16" s="30" t="str">
        <f t="shared" si="11"/>
        <v/>
      </c>
      <c r="Z16" s="30" t="str">
        <f t="shared" si="12"/>
        <v/>
      </c>
      <c r="AA16" s="30" t="str">
        <f t="shared" si="13"/>
        <v/>
      </c>
      <c r="AB16" s="30" t="str">
        <f t="shared" si="14"/>
        <v>|n=0</v>
      </c>
    </row>
    <row r="17" spans="1:28">
      <c r="A17" s="31">
        <f>装备!A18</f>
        <v>0</v>
      </c>
      <c r="B17" s="31" t="str">
        <f>"'"&amp;装备!B18&amp;"'"</f>
        <v>'E016'</v>
      </c>
      <c r="C17" s="31">
        <f>装备!J18</f>
        <v>0</v>
      </c>
      <c r="D17" s="31">
        <f>装备!K18</f>
        <v>0</v>
      </c>
      <c r="E17" s="31">
        <f>装备!L18</f>
        <v>0</v>
      </c>
      <c r="F17" s="31">
        <f>装备!M18</f>
        <v>0</v>
      </c>
      <c r="G17" s="31">
        <f>装备!N18</f>
        <v>0</v>
      </c>
      <c r="H17" s="31">
        <f>装备!O18</f>
        <v>0</v>
      </c>
      <c r="I17" s="31">
        <f>IF(装备!J18=0,0,"'"&amp;装备!J18&amp;"'")</f>
        <v>0</v>
      </c>
      <c r="J17" s="31">
        <f>IF(装备!K18=0,0,"'"&amp;装备!K18&amp;"'")</f>
        <v>0</v>
      </c>
      <c r="K17" s="31">
        <f>IF(装备!L18=0,0,"'"&amp;装备!L18&amp;"'")</f>
        <v>0</v>
      </c>
      <c r="L17" s="31">
        <f>IF(装备!M18=0,0,"'"&amp;装备!M18&amp;"'")</f>
        <v>0</v>
      </c>
      <c r="M17" s="31">
        <f>IF(装备!N18=0,0,"'"&amp;装备!N18&amp;"'")</f>
        <v>0</v>
      </c>
      <c r="N17" s="31">
        <f>IF(装备!O18=0,0,"'"&amp;装备!O18&amp;"'")</f>
        <v>0</v>
      </c>
      <c r="O17" s="31" t="str">
        <f t="shared" si="8"/>
        <v/>
      </c>
      <c r="P17" s="31" t="str">
        <f t="shared" si="1"/>
        <v/>
      </c>
      <c r="Q17" s="35" t="str">
        <f>IFERROR(VLOOKUP(C17,装备!$B:$E,3,FALSE),"")</f>
        <v/>
      </c>
      <c r="R17" s="35" t="str">
        <f>IFERROR(VLOOKUP(D17,装备!$B:$E,3,FALSE),"")</f>
        <v/>
      </c>
      <c r="S17" s="35" t="str">
        <f>IFERROR(VLOOKUP(E17,装备!$B:$E,3,FALSE),"")</f>
        <v/>
      </c>
      <c r="T17" s="35" t="str">
        <f>IFERROR(VLOOKUP(F17,装备!$B:$E,3,FALSE),"")</f>
        <v/>
      </c>
      <c r="U17" s="35" t="str">
        <f>IFERROR(VLOOKUP(G17,装备!$B:$E,3,FALSE),"")</f>
        <v/>
      </c>
      <c r="V17" s="35" t="str">
        <f>IFERROR(VLOOKUP(H17,装备!$B:$E,3,FALSE),"")</f>
        <v/>
      </c>
      <c r="W17" s="30" t="str">
        <f t="shared" si="9"/>
        <v/>
      </c>
      <c r="X17" s="30" t="str">
        <f t="shared" si="10"/>
        <v/>
      </c>
      <c r="Y17" s="30" t="str">
        <f t="shared" si="11"/>
        <v/>
      </c>
      <c r="Z17" s="30" t="str">
        <f t="shared" si="12"/>
        <v/>
      </c>
      <c r="AA17" s="30" t="str">
        <f t="shared" si="13"/>
        <v/>
      </c>
      <c r="AB17" s="30" t="str">
        <f t="shared" si="14"/>
        <v>|n=0</v>
      </c>
    </row>
    <row r="18" spans="1:28">
      <c r="A18" s="31">
        <f>装备!A19</f>
        <v>0</v>
      </c>
      <c r="B18" s="31" t="str">
        <f>"'"&amp;装备!B19&amp;"'"</f>
        <v>'E017'</v>
      </c>
      <c r="C18" s="31">
        <f>装备!J19</f>
        <v>0</v>
      </c>
      <c r="D18" s="31">
        <f>装备!K19</f>
        <v>0</v>
      </c>
      <c r="E18" s="31">
        <f>装备!L19</f>
        <v>0</v>
      </c>
      <c r="F18" s="31">
        <f>装备!M19</f>
        <v>0</v>
      </c>
      <c r="G18" s="31">
        <f>装备!N19</f>
        <v>0</v>
      </c>
      <c r="H18" s="31">
        <f>装备!O19</f>
        <v>0</v>
      </c>
      <c r="I18" s="31">
        <f>IF(装备!J19=0,0,"'"&amp;装备!J19&amp;"'")</f>
        <v>0</v>
      </c>
      <c r="J18" s="31">
        <f>IF(装备!K19=0,0,"'"&amp;装备!K19&amp;"'")</f>
        <v>0</v>
      </c>
      <c r="K18" s="31">
        <f>IF(装备!L19=0,0,"'"&amp;装备!L19&amp;"'")</f>
        <v>0</v>
      </c>
      <c r="L18" s="31">
        <f>IF(装备!M19=0,0,"'"&amp;装备!M19&amp;"'")</f>
        <v>0</v>
      </c>
      <c r="M18" s="31">
        <f>IF(装备!N19=0,0,"'"&amp;装备!N19&amp;"'")</f>
        <v>0</v>
      </c>
      <c r="N18" s="31">
        <f>IF(装备!O19=0,0,"'"&amp;装备!O19&amp;"'")</f>
        <v>0</v>
      </c>
      <c r="O18" s="31" t="str">
        <f t="shared" si="8"/>
        <v/>
      </c>
      <c r="P18" s="31" t="str">
        <f t="shared" si="1"/>
        <v/>
      </c>
      <c r="Q18" s="35" t="str">
        <f>IFERROR(VLOOKUP(C18,装备!$B:$E,3,FALSE),"")</f>
        <v/>
      </c>
      <c r="R18" s="35" t="str">
        <f>IFERROR(VLOOKUP(D18,装备!$B:$E,3,FALSE),"")</f>
        <v/>
      </c>
      <c r="S18" s="35" t="str">
        <f>IFERROR(VLOOKUP(E18,装备!$B:$E,3,FALSE),"")</f>
        <v/>
      </c>
      <c r="T18" s="35" t="str">
        <f>IFERROR(VLOOKUP(F18,装备!$B:$E,3,FALSE),"")</f>
        <v/>
      </c>
      <c r="U18" s="35" t="str">
        <f>IFERROR(VLOOKUP(G18,装备!$B:$E,3,FALSE),"")</f>
        <v/>
      </c>
      <c r="V18" s="35" t="str">
        <f>IFERROR(VLOOKUP(H18,装备!$B:$E,3,FALSE),"")</f>
        <v/>
      </c>
      <c r="W18" s="30" t="str">
        <f t="shared" si="9"/>
        <v/>
      </c>
      <c r="X18" s="30" t="str">
        <f t="shared" si="10"/>
        <v/>
      </c>
      <c r="Y18" s="30" t="str">
        <f t="shared" si="11"/>
        <v/>
      </c>
      <c r="Z18" s="30" t="str">
        <f t="shared" si="12"/>
        <v/>
      </c>
      <c r="AA18" s="30" t="str">
        <f t="shared" si="13"/>
        <v/>
      </c>
      <c r="AB18" s="30" t="str">
        <f t="shared" si="14"/>
        <v>|n=0</v>
      </c>
    </row>
    <row r="19" spans="1:28">
      <c r="A19" s="31">
        <f>装备!A20</f>
        <v>0</v>
      </c>
      <c r="B19" s="31" t="str">
        <f>"'"&amp;装备!B20&amp;"'"</f>
        <v>'E018'</v>
      </c>
      <c r="C19" s="31">
        <f>装备!J20</f>
        <v>0</v>
      </c>
      <c r="D19" s="31">
        <f>装备!K20</f>
        <v>0</v>
      </c>
      <c r="E19" s="31">
        <f>装备!L20</f>
        <v>0</v>
      </c>
      <c r="F19" s="31">
        <f>装备!M20</f>
        <v>0</v>
      </c>
      <c r="G19" s="31">
        <f>装备!N20</f>
        <v>0</v>
      </c>
      <c r="H19" s="31">
        <f>装备!O20</f>
        <v>0</v>
      </c>
      <c r="I19" s="31">
        <f>IF(装备!J20=0,0,"'"&amp;装备!J20&amp;"'")</f>
        <v>0</v>
      </c>
      <c r="J19" s="31">
        <f>IF(装备!K20=0,0,"'"&amp;装备!K20&amp;"'")</f>
        <v>0</v>
      </c>
      <c r="K19" s="31">
        <f>IF(装备!L20=0,0,"'"&amp;装备!L20&amp;"'")</f>
        <v>0</v>
      </c>
      <c r="L19" s="31">
        <f>IF(装备!M20=0,0,"'"&amp;装备!M20&amp;"'")</f>
        <v>0</v>
      </c>
      <c r="M19" s="31">
        <f>IF(装备!N20=0,0,"'"&amp;装备!N20&amp;"'")</f>
        <v>0</v>
      </c>
      <c r="N19" s="31">
        <f>IF(装备!O20=0,0,"'"&amp;装备!O20&amp;"'")</f>
        <v>0</v>
      </c>
      <c r="O19" s="31" t="str">
        <f t="shared" si="8"/>
        <v/>
      </c>
      <c r="P19" s="31" t="str">
        <f t="shared" si="1"/>
        <v/>
      </c>
      <c r="Q19" s="35" t="str">
        <f>IFERROR(VLOOKUP(C19,装备!$B:$E,3,FALSE),"")</f>
        <v/>
      </c>
      <c r="R19" s="35" t="str">
        <f>IFERROR(VLOOKUP(D19,装备!$B:$E,3,FALSE),"")</f>
        <v/>
      </c>
      <c r="S19" s="35" t="str">
        <f>IFERROR(VLOOKUP(E19,装备!$B:$E,3,FALSE),"")</f>
        <v/>
      </c>
      <c r="T19" s="35" t="str">
        <f>IFERROR(VLOOKUP(F19,装备!$B:$E,3,FALSE),"")</f>
        <v/>
      </c>
      <c r="U19" s="35" t="str">
        <f>IFERROR(VLOOKUP(G19,装备!$B:$E,3,FALSE),"")</f>
        <v/>
      </c>
      <c r="V19" s="35" t="str">
        <f>IFERROR(VLOOKUP(H19,装备!$B:$E,3,FALSE),"")</f>
        <v/>
      </c>
      <c r="W19" s="30" t="str">
        <f t="shared" si="9"/>
        <v/>
      </c>
      <c r="X19" s="30" t="str">
        <f t="shared" si="10"/>
        <v/>
      </c>
      <c r="Y19" s="30" t="str">
        <f t="shared" si="11"/>
        <v/>
      </c>
      <c r="Z19" s="30" t="str">
        <f t="shared" si="12"/>
        <v/>
      </c>
      <c r="AA19" s="30" t="str">
        <f t="shared" si="13"/>
        <v/>
      </c>
      <c r="AB19" s="30" t="str">
        <f t="shared" si="14"/>
        <v>|n=0</v>
      </c>
    </row>
    <row r="20" spans="1:28">
      <c r="A20" s="31">
        <f>装备!A21</f>
        <v>0</v>
      </c>
      <c r="B20" s="31" t="str">
        <f>"'"&amp;装备!B21&amp;"'"</f>
        <v>'E019'</v>
      </c>
      <c r="C20" s="31">
        <f>装备!J21</f>
        <v>0</v>
      </c>
      <c r="D20" s="31">
        <f>装备!K21</f>
        <v>0</v>
      </c>
      <c r="E20" s="31">
        <f>装备!L21</f>
        <v>0</v>
      </c>
      <c r="F20" s="31">
        <f>装备!M21</f>
        <v>0</v>
      </c>
      <c r="G20" s="31">
        <f>装备!N21</f>
        <v>0</v>
      </c>
      <c r="H20" s="31">
        <f>装备!O21</f>
        <v>0</v>
      </c>
      <c r="I20" s="31">
        <f>IF(装备!J21=0,0,"'"&amp;装备!J21&amp;"'")</f>
        <v>0</v>
      </c>
      <c r="J20" s="31">
        <f>IF(装备!K21=0,0,"'"&amp;装备!K21&amp;"'")</f>
        <v>0</v>
      </c>
      <c r="K20" s="31">
        <f>IF(装备!L21=0,0,"'"&amp;装备!L21&amp;"'")</f>
        <v>0</v>
      </c>
      <c r="L20" s="31">
        <f>IF(装备!M21=0,0,"'"&amp;装备!M21&amp;"'")</f>
        <v>0</v>
      </c>
      <c r="M20" s="31">
        <f>IF(装备!N21=0,0,"'"&amp;装备!N21&amp;"'")</f>
        <v>0</v>
      </c>
      <c r="N20" s="31">
        <f>IF(装备!O21=0,0,"'"&amp;装备!O21&amp;"'")</f>
        <v>0</v>
      </c>
      <c r="O20" s="31" t="str">
        <f t="shared" si="8"/>
        <v/>
      </c>
      <c r="P20" s="31" t="str">
        <f t="shared" si="1"/>
        <v/>
      </c>
      <c r="Q20" s="35" t="str">
        <f>IFERROR(VLOOKUP(C20,装备!$B:$E,3,FALSE),"")</f>
        <v/>
      </c>
      <c r="R20" s="35" t="str">
        <f>IFERROR(VLOOKUP(D20,装备!$B:$E,3,FALSE),"")</f>
        <v/>
      </c>
      <c r="S20" s="35" t="str">
        <f>IFERROR(VLOOKUP(E20,装备!$B:$E,3,FALSE),"")</f>
        <v/>
      </c>
      <c r="T20" s="35" t="str">
        <f>IFERROR(VLOOKUP(F20,装备!$B:$E,3,FALSE),"")</f>
        <v/>
      </c>
      <c r="U20" s="35" t="str">
        <f>IFERROR(VLOOKUP(G20,装备!$B:$E,3,FALSE),"")</f>
        <v/>
      </c>
      <c r="V20" s="35" t="str">
        <f>IFERROR(VLOOKUP(H20,装备!$B:$E,3,FALSE),"")</f>
        <v/>
      </c>
      <c r="W20" s="30" t="str">
        <f t="shared" si="9"/>
        <v/>
      </c>
      <c r="X20" s="30" t="str">
        <f t="shared" si="10"/>
        <v/>
      </c>
      <c r="Y20" s="30" t="str">
        <f t="shared" si="11"/>
        <v/>
      </c>
      <c r="Z20" s="30" t="str">
        <f t="shared" si="12"/>
        <v/>
      </c>
      <c r="AA20" s="30" t="str">
        <f t="shared" si="13"/>
        <v/>
      </c>
      <c r="AB20" s="30" t="str">
        <f t="shared" si="14"/>
        <v>|n=0</v>
      </c>
    </row>
    <row r="21" spans="1:28">
      <c r="A21" s="31">
        <f>装备!A22</f>
        <v>0</v>
      </c>
      <c r="B21" s="31" t="str">
        <f>"'"&amp;装备!B22&amp;"'"</f>
        <v>'E020'</v>
      </c>
      <c r="C21" s="31">
        <f>装备!J22</f>
        <v>0</v>
      </c>
      <c r="D21" s="31">
        <f>装备!K22</f>
        <v>0</v>
      </c>
      <c r="E21" s="31">
        <f>装备!L22</f>
        <v>0</v>
      </c>
      <c r="F21" s="31">
        <f>装备!M22</f>
        <v>0</v>
      </c>
      <c r="G21" s="31">
        <f>装备!N22</f>
        <v>0</v>
      </c>
      <c r="H21" s="31">
        <f>装备!O22</f>
        <v>0</v>
      </c>
      <c r="I21" s="31">
        <f>IF(装备!J22=0,0,"'"&amp;装备!J22&amp;"'")</f>
        <v>0</v>
      </c>
      <c r="J21" s="31">
        <f>IF(装备!K22=0,0,"'"&amp;装备!K22&amp;"'")</f>
        <v>0</v>
      </c>
      <c r="K21" s="31">
        <f>IF(装备!L22=0,0,"'"&amp;装备!L22&amp;"'")</f>
        <v>0</v>
      </c>
      <c r="L21" s="31">
        <f>IF(装备!M22=0,0,"'"&amp;装备!M22&amp;"'")</f>
        <v>0</v>
      </c>
      <c r="M21" s="31">
        <f>IF(装备!N22=0,0,"'"&amp;装备!N22&amp;"'")</f>
        <v>0</v>
      </c>
      <c r="N21" s="31">
        <f>IF(装备!O22=0,0,"'"&amp;装备!O22&amp;"'")</f>
        <v>0</v>
      </c>
      <c r="O21" s="31" t="str">
        <f t="shared" si="8"/>
        <v/>
      </c>
      <c r="P21" s="31" t="str">
        <f t="shared" si="1"/>
        <v/>
      </c>
      <c r="Q21" s="35" t="str">
        <f>IFERROR(VLOOKUP(C21,装备!$B:$E,3,FALSE),"")</f>
        <v/>
      </c>
      <c r="R21" s="35" t="str">
        <f>IFERROR(VLOOKUP(D21,装备!$B:$E,3,FALSE),"")</f>
        <v/>
      </c>
      <c r="S21" s="35" t="str">
        <f>IFERROR(VLOOKUP(E21,装备!$B:$E,3,FALSE),"")</f>
        <v/>
      </c>
      <c r="T21" s="35" t="str">
        <f>IFERROR(VLOOKUP(F21,装备!$B:$E,3,FALSE),"")</f>
        <v/>
      </c>
      <c r="U21" s="35" t="str">
        <f>IFERROR(VLOOKUP(G21,装备!$B:$E,3,FALSE),"")</f>
        <v/>
      </c>
      <c r="V21" s="35" t="str">
        <f>IFERROR(VLOOKUP(H21,装备!$B:$E,3,FALSE),"")</f>
        <v/>
      </c>
      <c r="W21" s="30" t="str">
        <f t="shared" si="9"/>
        <v/>
      </c>
      <c r="X21" s="30" t="str">
        <f t="shared" si="10"/>
        <v/>
      </c>
      <c r="Y21" s="30" t="str">
        <f t="shared" si="11"/>
        <v/>
      </c>
      <c r="Z21" s="30" t="str">
        <f t="shared" si="12"/>
        <v/>
      </c>
      <c r="AA21" s="30" t="str">
        <f t="shared" si="13"/>
        <v/>
      </c>
      <c r="AB21" s="30" t="str">
        <f t="shared" si="14"/>
        <v>|n=0</v>
      </c>
    </row>
    <row r="22" spans="1:28">
      <c r="A22" s="31">
        <f>装备!A23</f>
        <v>0</v>
      </c>
      <c r="B22" s="31" t="str">
        <f>"'"&amp;装备!B23&amp;"'"</f>
        <v>'E021'</v>
      </c>
      <c r="C22" s="31">
        <f>装备!J23</f>
        <v>0</v>
      </c>
      <c r="D22" s="31">
        <f>装备!K23</f>
        <v>0</v>
      </c>
      <c r="E22" s="31">
        <f>装备!L23</f>
        <v>0</v>
      </c>
      <c r="F22" s="31">
        <f>装备!M23</f>
        <v>0</v>
      </c>
      <c r="G22" s="31">
        <f>装备!N23</f>
        <v>0</v>
      </c>
      <c r="H22" s="31">
        <f>装备!O23</f>
        <v>0</v>
      </c>
      <c r="I22" s="31">
        <f>IF(装备!J23=0,0,"'"&amp;装备!J23&amp;"'")</f>
        <v>0</v>
      </c>
      <c r="J22" s="31">
        <f>IF(装备!K23=0,0,"'"&amp;装备!K23&amp;"'")</f>
        <v>0</v>
      </c>
      <c r="K22" s="31">
        <f>IF(装备!L23=0,0,"'"&amp;装备!L23&amp;"'")</f>
        <v>0</v>
      </c>
      <c r="L22" s="31">
        <f>IF(装备!M23=0,0,"'"&amp;装备!M23&amp;"'")</f>
        <v>0</v>
      </c>
      <c r="M22" s="31">
        <f>IF(装备!N23=0,0,"'"&amp;装备!N23&amp;"'")</f>
        <v>0</v>
      </c>
      <c r="N22" s="31">
        <f>IF(装备!O23=0,0,"'"&amp;装备!O23&amp;"'")</f>
        <v>0</v>
      </c>
      <c r="O22" s="31" t="str">
        <f t="shared" si="8"/>
        <v/>
      </c>
      <c r="P22" s="31" t="str">
        <f t="shared" si="1"/>
        <v/>
      </c>
      <c r="Q22" s="35" t="str">
        <f>IFERROR(VLOOKUP(C22,装备!$B:$E,3,FALSE),"")</f>
        <v/>
      </c>
      <c r="R22" s="35" t="str">
        <f>IFERROR(VLOOKUP(D22,装备!$B:$E,3,FALSE),"")</f>
        <v/>
      </c>
      <c r="S22" s="35" t="str">
        <f>IFERROR(VLOOKUP(E22,装备!$B:$E,3,FALSE),"")</f>
        <v/>
      </c>
      <c r="T22" s="35" t="str">
        <f>IFERROR(VLOOKUP(F22,装备!$B:$E,3,FALSE),"")</f>
        <v/>
      </c>
      <c r="U22" s="35" t="str">
        <f>IFERROR(VLOOKUP(G22,装备!$B:$E,3,FALSE),"")</f>
        <v/>
      </c>
      <c r="V22" s="35" t="str">
        <f>IFERROR(VLOOKUP(H22,装备!$B:$E,3,FALSE),"")</f>
        <v/>
      </c>
      <c r="W22" s="30" t="str">
        <f t="shared" si="9"/>
        <v/>
      </c>
      <c r="X22" s="30" t="str">
        <f t="shared" si="10"/>
        <v/>
      </c>
      <c r="Y22" s="30" t="str">
        <f t="shared" si="11"/>
        <v/>
      </c>
      <c r="Z22" s="30" t="str">
        <f t="shared" si="12"/>
        <v/>
      </c>
      <c r="AA22" s="30" t="str">
        <f t="shared" si="13"/>
        <v/>
      </c>
      <c r="AB22" s="30" t="str">
        <f t="shared" si="14"/>
        <v>|n=0</v>
      </c>
    </row>
    <row r="23" spans="1:28">
      <c r="A23" s="31">
        <f>装备!A24</f>
        <v>0</v>
      </c>
      <c r="B23" s="31" t="str">
        <f>"'"&amp;装备!B24&amp;"'"</f>
        <v>'E022'</v>
      </c>
      <c r="C23" s="31">
        <f>装备!J24</f>
        <v>0</v>
      </c>
      <c r="D23" s="31">
        <f>装备!K24</f>
        <v>0</v>
      </c>
      <c r="E23" s="31">
        <f>装备!L24</f>
        <v>0</v>
      </c>
      <c r="F23" s="31">
        <f>装备!M24</f>
        <v>0</v>
      </c>
      <c r="G23" s="31">
        <f>装备!N24</f>
        <v>0</v>
      </c>
      <c r="H23" s="31">
        <f>装备!O24</f>
        <v>0</v>
      </c>
      <c r="I23" s="31">
        <f>IF(装备!J24=0,0,"'"&amp;装备!J24&amp;"'")</f>
        <v>0</v>
      </c>
      <c r="J23" s="31">
        <f>IF(装备!K24=0,0,"'"&amp;装备!K24&amp;"'")</f>
        <v>0</v>
      </c>
      <c r="K23" s="31">
        <f>IF(装备!L24=0,0,"'"&amp;装备!L24&amp;"'")</f>
        <v>0</v>
      </c>
      <c r="L23" s="31">
        <f>IF(装备!M24=0,0,"'"&amp;装备!M24&amp;"'")</f>
        <v>0</v>
      </c>
      <c r="M23" s="31">
        <f>IF(装备!N24=0,0,"'"&amp;装备!N24&amp;"'")</f>
        <v>0</v>
      </c>
      <c r="N23" s="31">
        <f>IF(装备!O24=0,0,"'"&amp;装备!O24&amp;"'")</f>
        <v>0</v>
      </c>
      <c r="O23" s="31" t="str">
        <f t="shared" si="8"/>
        <v/>
      </c>
      <c r="P23" s="31" t="str">
        <f t="shared" si="1"/>
        <v/>
      </c>
      <c r="Q23" s="35" t="str">
        <f>IFERROR(VLOOKUP(C23,装备!$B:$E,3,FALSE),"")</f>
        <v/>
      </c>
      <c r="R23" s="35" t="str">
        <f>IFERROR(VLOOKUP(D23,装备!$B:$E,3,FALSE),"")</f>
        <v/>
      </c>
      <c r="S23" s="35" t="str">
        <f>IFERROR(VLOOKUP(E23,装备!$B:$E,3,FALSE),"")</f>
        <v/>
      </c>
      <c r="T23" s="35" t="str">
        <f>IFERROR(VLOOKUP(F23,装备!$B:$E,3,FALSE),"")</f>
        <v/>
      </c>
      <c r="U23" s="35" t="str">
        <f>IFERROR(VLOOKUP(G23,装备!$B:$E,3,FALSE),"")</f>
        <v/>
      </c>
      <c r="V23" s="35" t="str">
        <f>IFERROR(VLOOKUP(H23,装备!$B:$E,3,FALSE),"")</f>
        <v/>
      </c>
      <c r="W23" s="30" t="str">
        <f t="shared" si="9"/>
        <v/>
      </c>
      <c r="X23" s="30" t="str">
        <f t="shared" si="10"/>
        <v/>
      </c>
      <c r="Y23" s="30" t="str">
        <f t="shared" si="11"/>
        <v/>
      </c>
      <c r="Z23" s="30" t="str">
        <f t="shared" si="12"/>
        <v/>
      </c>
      <c r="AA23" s="30" t="str">
        <f t="shared" si="13"/>
        <v/>
      </c>
      <c r="AB23" s="30" t="str">
        <f t="shared" si="14"/>
        <v>|n=0</v>
      </c>
    </row>
    <row r="24" spans="1:28">
      <c r="A24" s="31">
        <f>装备!A25</f>
        <v>0</v>
      </c>
      <c r="B24" s="31" t="str">
        <f>"'"&amp;装备!B25&amp;"'"</f>
        <v>'E023'</v>
      </c>
      <c r="C24" s="31">
        <f>装备!J25</f>
        <v>0</v>
      </c>
      <c r="D24" s="31">
        <f>装备!K25</f>
        <v>0</v>
      </c>
      <c r="E24" s="31">
        <f>装备!L25</f>
        <v>0</v>
      </c>
      <c r="F24" s="31">
        <f>装备!M25</f>
        <v>0</v>
      </c>
      <c r="G24" s="31">
        <f>装备!N25</f>
        <v>0</v>
      </c>
      <c r="H24" s="31">
        <f>装备!O25</f>
        <v>0</v>
      </c>
      <c r="I24" s="31">
        <f>IF(装备!J25=0,0,"'"&amp;装备!J25&amp;"'")</f>
        <v>0</v>
      </c>
      <c r="J24" s="31">
        <f>IF(装备!K25=0,0,"'"&amp;装备!K25&amp;"'")</f>
        <v>0</v>
      </c>
      <c r="K24" s="31">
        <f>IF(装备!L25=0,0,"'"&amp;装备!L25&amp;"'")</f>
        <v>0</v>
      </c>
      <c r="L24" s="31">
        <f>IF(装备!M25=0,0,"'"&amp;装备!M25&amp;"'")</f>
        <v>0</v>
      </c>
      <c r="M24" s="31">
        <f>IF(装备!N25=0,0,"'"&amp;装备!N25&amp;"'")</f>
        <v>0</v>
      </c>
      <c r="N24" s="31">
        <f>IF(装备!O25=0,0,"'"&amp;装备!O25&amp;"'")</f>
        <v>0</v>
      </c>
      <c r="O24" s="31" t="str">
        <f t="shared" si="8"/>
        <v/>
      </c>
      <c r="P24" s="31" t="str">
        <f t="shared" si="1"/>
        <v/>
      </c>
      <c r="Q24" s="35" t="str">
        <f>IFERROR(VLOOKUP(C24,装备!$B:$E,3,FALSE),"")</f>
        <v/>
      </c>
      <c r="R24" s="35" t="str">
        <f>IFERROR(VLOOKUP(D24,装备!$B:$E,3,FALSE),"")</f>
        <v/>
      </c>
      <c r="S24" s="35" t="str">
        <f>IFERROR(VLOOKUP(E24,装备!$B:$E,3,FALSE),"")</f>
        <v/>
      </c>
      <c r="T24" s="35" t="str">
        <f>IFERROR(VLOOKUP(F24,装备!$B:$E,3,FALSE),"")</f>
        <v/>
      </c>
      <c r="U24" s="35" t="str">
        <f>IFERROR(VLOOKUP(G24,装备!$B:$E,3,FALSE),"")</f>
        <v/>
      </c>
      <c r="V24" s="35" t="str">
        <f>IFERROR(VLOOKUP(H24,装备!$B:$E,3,FALSE),"")</f>
        <v/>
      </c>
      <c r="W24" s="30" t="str">
        <f t="shared" si="9"/>
        <v/>
      </c>
      <c r="X24" s="30" t="str">
        <f t="shared" si="10"/>
        <v/>
      </c>
      <c r="Y24" s="30" t="str">
        <f t="shared" si="11"/>
        <v/>
      </c>
      <c r="Z24" s="30" t="str">
        <f t="shared" si="12"/>
        <v/>
      </c>
      <c r="AA24" s="30" t="str">
        <f t="shared" si="13"/>
        <v/>
      </c>
      <c r="AB24" s="30" t="str">
        <f t="shared" si="14"/>
        <v>|n=0</v>
      </c>
    </row>
    <row r="25" spans="1:28">
      <c r="A25" s="31">
        <f>装备!A26</f>
        <v>0</v>
      </c>
      <c r="B25" s="31" t="str">
        <f>"'"&amp;装备!B26&amp;"'"</f>
        <v>'E024'</v>
      </c>
      <c r="C25" s="31">
        <f>装备!J26</f>
        <v>0</v>
      </c>
      <c r="D25" s="31">
        <f>装备!K26</f>
        <v>0</v>
      </c>
      <c r="E25" s="31">
        <f>装备!L26</f>
        <v>0</v>
      </c>
      <c r="F25" s="31">
        <f>装备!M26</f>
        <v>0</v>
      </c>
      <c r="G25" s="31">
        <f>装备!N26</f>
        <v>0</v>
      </c>
      <c r="H25" s="31">
        <f>装备!O26</f>
        <v>0</v>
      </c>
      <c r="I25" s="31">
        <f>IF(装备!J26=0,0,"'"&amp;装备!J26&amp;"'")</f>
        <v>0</v>
      </c>
      <c r="J25" s="31">
        <f>IF(装备!K26=0,0,"'"&amp;装备!K26&amp;"'")</f>
        <v>0</v>
      </c>
      <c r="K25" s="31">
        <f>IF(装备!L26=0,0,"'"&amp;装备!L26&amp;"'")</f>
        <v>0</v>
      </c>
      <c r="L25" s="31">
        <f>IF(装备!M26=0,0,"'"&amp;装备!M26&amp;"'")</f>
        <v>0</v>
      </c>
      <c r="M25" s="31">
        <f>IF(装备!N26=0,0,"'"&amp;装备!N26&amp;"'")</f>
        <v>0</v>
      </c>
      <c r="N25" s="31">
        <f>IF(装备!O26=0,0,"'"&amp;装备!O26&amp;"'")</f>
        <v>0</v>
      </c>
      <c r="O25" s="31" t="str">
        <f t="shared" si="8"/>
        <v/>
      </c>
      <c r="P25" s="31" t="str">
        <f t="shared" si="1"/>
        <v/>
      </c>
      <c r="Q25" s="35" t="str">
        <f>IFERROR(VLOOKUP(C25,装备!$B:$E,3,FALSE),"")</f>
        <v/>
      </c>
      <c r="R25" s="35" t="str">
        <f>IFERROR(VLOOKUP(D25,装备!$B:$E,3,FALSE),"")</f>
        <v/>
      </c>
      <c r="S25" s="35" t="str">
        <f>IFERROR(VLOOKUP(E25,装备!$B:$E,3,FALSE),"")</f>
        <v/>
      </c>
      <c r="T25" s="35" t="str">
        <f>IFERROR(VLOOKUP(F25,装备!$B:$E,3,FALSE),"")</f>
        <v/>
      </c>
      <c r="U25" s="35" t="str">
        <f>IFERROR(VLOOKUP(G25,装备!$B:$E,3,FALSE),"")</f>
        <v/>
      </c>
      <c r="V25" s="35" t="str">
        <f>IFERROR(VLOOKUP(H25,装备!$B:$E,3,FALSE),"")</f>
        <v/>
      </c>
      <c r="W25" s="30" t="str">
        <f t="shared" si="9"/>
        <v/>
      </c>
      <c r="X25" s="30" t="str">
        <f t="shared" si="10"/>
        <v/>
      </c>
      <c r="Y25" s="30" t="str">
        <f t="shared" si="11"/>
        <v/>
      </c>
      <c r="Z25" s="30" t="str">
        <f t="shared" si="12"/>
        <v/>
      </c>
      <c r="AA25" s="30" t="str">
        <f t="shared" si="13"/>
        <v/>
      </c>
      <c r="AB25" s="30" t="str">
        <f t="shared" si="14"/>
        <v>|n=0</v>
      </c>
    </row>
    <row r="26" spans="1:28">
      <c r="A26" s="31">
        <f>装备!A27</f>
        <v>0</v>
      </c>
      <c r="B26" s="31" t="str">
        <f>"'"&amp;装备!B27&amp;"'"</f>
        <v>'E025'</v>
      </c>
      <c r="C26" s="31">
        <f>装备!J27</f>
        <v>0</v>
      </c>
      <c r="D26" s="31">
        <f>装备!K27</f>
        <v>0</v>
      </c>
      <c r="E26" s="31">
        <f>装备!L27</f>
        <v>0</v>
      </c>
      <c r="F26" s="31">
        <f>装备!M27</f>
        <v>0</v>
      </c>
      <c r="G26" s="31">
        <f>装备!N27</f>
        <v>0</v>
      </c>
      <c r="H26" s="31">
        <f>装备!O27</f>
        <v>0</v>
      </c>
      <c r="I26" s="31">
        <f>IF(装备!J27=0,0,"'"&amp;装备!J27&amp;"'")</f>
        <v>0</v>
      </c>
      <c r="J26" s="31">
        <f>IF(装备!K27=0,0,"'"&amp;装备!K27&amp;"'")</f>
        <v>0</v>
      </c>
      <c r="K26" s="31">
        <f>IF(装备!L27=0,0,"'"&amp;装备!L27&amp;"'")</f>
        <v>0</v>
      </c>
      <c r="L26" s="31">
        <f>IF(装备!M27=0,0,"'"&amp;装备!M27&amp;"'")</f>
        <v>0</v>
      </c>
      <c r="M26" s="31">
        <f>IF(装备!N27=0,0,"'"&amp;装备!N27&amp;"'")</f>
        <v>0</v>
      </c>
      <c r="N26" s="31">
        <f>IF(装备!O27=0,0,"'"&amp;装备!O27&amp;"'")</f>
        <v>0</v>
      </c>
      <c r="O26" s="31" t="str">
        <f t="shared" si="8"/>
        <v/>
      </c>
      <c r="P26" s="31" t="str">
        <f t="shared" si="1"/>
        <v/>
      </c>
      <c r="Q26" s="35" t="str">
        <f>IFERROR(VLOOKUP(C26,装备!$B:$E,3,FALSE),"")</f>
        <v/>
      </c>
      <c r="R26" s="35" t="str">
        <f>IFERROR(VLOOKUP(D26,装备!$B:$E,3,FALSE),"")</f>
        <v/>
      </c>
      <c r="S26" s="35" t="str">
        <f>IFERROR(VLOOKUP(E26,装备!$B:$E,3,FALSE),"")</f>
        <v/>
      </c>
      <c r="T26" s="35" t="str">
        <f>IFERROR(VLOOKUP(F26,装备!$B:$E,3,FALSE),"")</f>
        <v/>
      </c>
      <c r="U26" s="35" t="str">
        <f>IFERROR(VLOOKUP(G26,装备!$B:$E,3,FALSE),"")</f>
        <v/>
      </c>
      <c r="V26" s="35" t="str">
        <f>IFERROR(VLOOKUP(H26,装备!$B:$E,3,FALSE),"")</f>
        <v/>
      </c>
      <c r="W26" s="30" t="str">
        <f t="shared" si="9"/>
        <v/>
      </c>
      <c r="X26" s="30" t="str">
        <f t="shared" si="10"/>
        <v/>
      </c>
      <c r="Y26" s="30" t="str">
        <f t="shared" si="11"/>
        <v/>
      </c>
      <c r="Z26" s="30" t="str">
        <f t="shared" si="12"/>
        <v/>
      </c>
      <c r="AA26" s="30" t="str">
        <f t="shared" si="13"/>
        <v/>
      </c>
      <c r="AB26" s="30" t="str">
        <f t="shared" si="14"/>
        <v>|n=0</v>
      </c>
    </row>
    <row r="27" spans="1:28">
      <c r="A27" s="31">
        <f>装备!A28</f>
        <v>0</v>
      </c>
      <c r="B27" s="31" t="str">
        <f>"'"&amp;装备!B28&amp;"'"</f>
        <v>'E101'</v>
      </c>
      <c r="C27" s="31">
        <f>装备!J28</f>
        <v>0</v>
      </c>
      <c r="D27" s="31">
        <f>装备!K28</f>
        <v>0</v>
      </c>
      <c r="E27" s="31">
        <f>装备!L28</f>
        <v>0</v>
      </c>
      <c r="F27" s="31">
        <f>装备!M28</f>
        <v>0</v>
      </c>
      <c r="G27" s="31">
        <f>装备!N28</f>
        <v>0</v>
      </c>
      <c r="H27" s="31">
        <f>装备!O28</f>
        <v>0</v>
      </c>
      <c r="I27" s="31">
        <f>IF(装备!J28=0,0,"'"&amp;装备!J28&amp;"'")</f>
        <v>0</v>
      </c>
      <c r="J27" s="31">
        <f>IF(装备!K28=0,0,"'"&amp;装备!K28&amp;"'")</f>
        <v>0</v>
      </c>
      <c r="K27" s="31">
        <f>IF(装备!L28=0,0,"'"&amp;装备!L28&amp;"'")</f>
        <v>0</v>
      </c>
      <c r="L27" s="31">
        <f>IF(装备!M28=0,0,"'"&amp;装备!M28&amp;"'")</f>
        <v>0</v>
      </c>
      <c r="M27" s="31">
        <f>IF(装备!N28=0,0,"'"&amp;装备!N28&amp;"'")</f>
        <v>0</v>
      </c>
      <c r="N27" s="31">
        <f>IF(装备!O28=0,0,"'"&amp;装备!O28&amp;"'")</f>
        <v>0</v>
      </c>
      <c r="O27" s="31" t="str">
        <f t="shared" si="8"/>
        <v/>
      </c>
      <c r="P27" s="31" t="str">
        <f t="shared" si="1"/>
        <v/>
      </c>
      <c r="Q27" s="35" t="str">
        <f>IFERROR(VLOOKUP(C27,装备!$B:$E,3,FALSE),"")</f>
        <v/>
      </c>
      <c r="R27" s="35" t="str">
        <f>IFERROR(VLOOKUP(D27,装备!$B:$E,3,FALSE),"")</f>
        <v/>
      </c>
      <c r="S27" s="35" t="str">
        <f>IFERROR(VLOOKUP(E27,装备!$B:$E,3,FALSE),"")</f>
        <v/>
      </c>
      <c r="T27" s="35" t="str">
        <f>IFERROR(VLOOKUP(F27,装备!$B:$E,3,FALSE),"")</f>
        <v/>
      </c>
      <c r="U27" s="35" t="str">
        <f>IFERROR(VLOOKUP(G27,装备!$B:$E,3,FALSE),"")</f>
        <v/>
      </c>
      <c r="V27" s="35" t="str">
        <f>IFERROR(VLOOKUP(H27,装备!$B:$E,3,FALSE),"")</f>
        <v/>
      </c>
      <c r="W27" s="30" t="str">
        <f t="shared" si="9"/>
        <v/>
      </c>
      <c r="X27" s="30" t="str">
        <f t="shared" si="10"/>
        <v/>
      </c>
      <c r="Y27" s="30" t="str">
        <f t="shared" si="11"/>
        <v/>
      </c>
      <c r="Z27" s="30" t="str">
        <f t="shared" si="12"/>
        <v/>
      </c>
      <c r="AA27" s="30" t="str">
        <f t="shared" si="13"/>
        <v/>
      </c>
      <c r="AB27" s="30" t="str">
        <f t="shared" si="14"/>
        <v>|n=0</v>
      </c>
    </row>
    <row r="28" spans="1:28">
      <c r="A28" s="31">
        <f>装备!A29</f>
        <v>0</v>
      </c>
      <c r="B28" s="31" t="str">
        <f>"'"&amp;装备!B29&amp;"'"</f>
        <v>'E102'</v>
      </c>
      <c r="C28" s="31">
        <f>装备!J29</f>
        <v>0</v>
      </c>
      <c r="D28" s="31">
        <f>装备!K29</f>
        <v>0</v>
      </c>
      <c r="E28" s="31">
        <f>装备!L29</f>
        <v>0</v>
      </c>
      <c r="F28" s="31">
        <f>装备!M29</f>
        <v>0</v>
      </c>
      <c r="G28" s="31">
        <f>装备!N29</f>
        <v>0</v>
      </c>
      <c r="H28" s="31">
        <f>装备!O29</f>
        <v>0</v>
      </c>
      <c r="I28" s="31">
        <f>IF(装备!J29=0,0,"'"&amp;装备!J29&amp;"'")</f>
        <v>0</v>
      </c>
      <c r="J28" s="31">
        <f>IF(装备!K29=0,0,"'"&amp;装备!K29&amp;"'")</f>
        <v>0</v>
      </c>
      <c r="K28" s="31">
        <f>IF(装备!L29=0,0,"'"&amp;装备!L29&amp;"'")</f>
        <v>0</v>
      </c>
      <c r="L28" s="31">
        <f>IF(装备!M29=0,0,"'"&amp;装备!M29&amp;"'")</f>
        <v>0</v>
      </c>
      <c r="M28" s="31">
        <f>IF(装备!N29=0,0,"'"&amp;装备!N29&amp;"'")</f>
        <v>0</v>
      </c>
      <c r="N28" s="31">
        <f>IF(装备!O29=0,0,"'"&amp;装备!O29&amp;"'")</f>
        <v>0</v>
      </c>
      <c r="O28" s="31" t="str">
        <f t="shared" si="8"/>
        <v/>
      </c>
      <c r="P28" s="31" t="str">
        <f t="shared" si="1"/>
        <v/>
      </c>
      <c r="Q28" s="35" t="str">
        <f>IFERROR(VLOOKUP(C28,装备!$B:$E,3,FALSE),"")</f>
        <v/>
      </c>
      <c r="R28" s="35" t="str">
        <f>IFERROR(VLOOKUP(D28,装备!$B:$E,3,FALSE),"")</f>
        <v/>
      </c>
      <c r="S28" s="35" t="str">
        <f>IFERROR(VLOOKUP(E28,装备!$B:$E,3,FALSE),"")</f>
        <v/>
      </c>
      <c r="T28" s="35" t="str">
        <f>IFERROR(VLOOKUP(F28,装备!$B:$E,3,FALSE),"")</f>
        <v/>
      </c>
      <c r="U28" s="35" t="str">
        <f>IFERROR(VLOOKUP(G28,装备!$B:$E,3,FALSE),"")</f>
        <v/>
      </c>
      <c r="V28" s="35" t="str">
        <f>IFERROR(VLOOKUP(H28,装备!$B:$E,3,FALSE),"")</f>
        <v/>
      </c>
      <c r="W28" s="30" t="str">
        <f t="shared" si="9"/>
        <v/>
      </c>
      <c r="X28" s="30" t="str">
        <f t="shared" si="10"/>
        <v/>
      </c>
      <c r="Y28" s="30" t="str">
        <f t="shared" si="11"/>
        <v/>
      </c>
      <c r="Z28" s="30" t="str">
        <f t="shared" si="12"/>
        <v/>
      </c>
      <c r="AA28" s="30" t="str">
        <f t="shared" si="13"/>
        <v/>
      </c>
      <c r="AB28" s="30" t="str">
        <f t="shared" si="14"/>
        <v>|n=0</v>
      </c>
    </row>
    <row r="29" spans="1:28">
      <c r="A29" s="31">
        <f>装备!A30</f>
        <v>0</v>
      </c>
      <c r="B29" s="31" t="str">
        <f>"'"&amp;装备!B30&amp;"'"</f>
        <v>'E103'</v>
      </c>
      <c r="C29" s="31">
        <f>装备!J30</f>
        <v>0</v>
      </c>
      <c r="D29" s="31">
        <f>装备!K30</f>
        <v>0</v>
      </c>
      <c r="E29" s="31">
        <f>装备!L30</f>
        <v>0</v>
      </c>
      <c r="F29" s="31">
        <f>装备!M30</f>
        <v>0</v>
      </c>
      <c r="G29" s="31">
        <f>装备!N30</f>
        <v>0</v>
      </c>
      <c r="H29" s="31">
        <f>装备!O30</f>
        <v>0</v>
      </c>
      <c r="I29" s="31">
        <f>IF(装备!J30=0,0,"'"&amp;装备!J30&amp;"'")</f>
        <v>0</v>
      </c>
      <c r="J29" s="31">
        <f>IF(装备!K30=0,0,"'"&amp;装备!K30&amp;"'")</f>
        <v>0</v>
      </c>
      <c r="K29" s="31">
        <f>IF(装备!L30=0,0,"'"&amp;装备!L30&amp;"'")</f>
        <v>0</v>
      </c>
      <c r="L29" s="31">
        <f>IF(装备!M30=0,0,"'"&amp;装备!M30&amp;"'")</f>
        <v>0</v>
      </c>
      <c r="M29" s="31">
        <f>IF(装备!N30=0,0,"'"&amp;装备!N30&amp;"'")</f>
        <v>0</v>
      </c>
      <c r="N29" s="31">
        <f>IF(装备!O30=0,0,"'"&amp;装备!O30&amp;"'")</f>
        <v>0</v>
      </c>
      <c r="O29" s="31" t="str">
        <f t="shared" si="8"/>
        <v/>
      </c>
      <c r="P29" s="31" t="str">
        <f t="shared" si="1"/>
        <v/>
      </c>
      <c r="Q29" s="35" t="str">
        <f>IFERROR(VLOOKUP(C29,装备!$B:$E,3,FALSE),"")</f>
        <v/>
      </c>
      <c r="R29" s="35" t="str">
        <f>IFERROR(VLOOKUP(D29,装备!$B:$E,3,FALSE),"")</f>
        <v/>
      </c>
      <c r="S29" s="35" t="str">
        <f>IFERROR(VLOOKUP(E29,装备!$B:$E,3,FALSE),"")</f>
        <v/>
      </c>
      <c r="T29" s="35" t="str">
        <f>IFERROR(VLOOKUP(F29,装备!$B:$E,3,FALSE),"")</f>
        <v/>
      </c>
      <c r="U29" s="35" t="str">
        <f>IFERROR(VLOOKUP(G29,装备!$B:$E,3,FALSE),"")</f>
        <v/>
      </c>
      <c r="V29" s="35" t="str">
        <f>IFERROR(VLOOKUP(H29,装备!$B:$E,3,FALSE),"")</f>
        <v/>
      </c>
      <c r="W29" s="30" t="str">
        <f t="shared" si="9"/>
        <v/>
      </c>
      <c r="X29" s="30" t="str">
        <f t="shared" si="10"/>
        <v/>
      </c>
      <c r="Y29" s="30" t="str">
        <f t="shared" si="11"/>
        <v/>
      </c>
      <c r="Z29" s="30" t="str">
        <f t="shared" si="12"/>
        <v/>
      </c>
      <c r="AA29" s="30" t="str">
        <f t="shared" si="13"/>
        <v/>
      </c>
      <c r="AB29" s="30" t="str">
        <f t="shared" si="14"/>
        <v>|n=0</v>
      </c>
    </row>
    <row r="30" spans="1:28">
      <c r="A30" s="31">
        <f>装备!A31</f>
        <v>0</v>
      </c>
      <c r="B30" s="31" t="str">
        <f>"'"&amp;装备!B31&amp;"'"</f>
        <v>'E104'</v>
      </c>
      <c r="C30" s="31">
        <f>装备!J31</f>
        <v>0</v>
      </c>
      <c r="D30" s="31">
        <f>装备!K31</f>
        <v>0</v>
      </c>
      <c r="E30" s="31">
        <f>装备!L31</f>
        <v>0</v>
      </c>
      <c r="F30" s="31">
        <f>装备!M31</f>
        <v>0</v>
      </c>
      <c r="G30" s="31">
        <f>装备!N31</f>
        <v>0</v>
      </c>
      <c r="H30" s="31">
        <f>装备!O31</f>
        <v>0</v>
      </c>
      <c r="I30" s="31">
        <f>IF(装备!J31=0,0,"'"&amp;装备!J31&amp;"'")</f>
        <v>0</v>
      </c>
      <c r="J30" s="31">
        <f>IF(装备!K31=0,0,"'"&amp;装备!K31&amp;"'")</f>
        <v>0</v>
      </c>
      <c r="K30" s="31">
        <f>IF(装备!L31=0,0,"'"&amp;装备!L31&amp;"'")</f>
        <v>0</v>
      </c>
      <c r="L30" s="31">
        <f>IF(装备!M31=0,0,"'"&amp;装备!M31&amp;"'")</f>
        <v>0</v>
      </c>
      <c r="M30" s="31">
        <f>IF(装备!N31=0,0,"'"&amp;装备!N31&amp;"'")</f>
        <v>0</v>
      </c>
      <c r="N30" s="31">
        <f>IF(装备!O31=0,0,"'"&amp;装备!O31&amp;"'")</f>
        <v>0</v>
      </c>
      <c r="O30" s="31" t="str">
        <f t="shared" si="8"/>
        <v/>
      </c>
      <c r="P30" s="31" t="str">
        <f t="shared" si="1"/>
        <v/>
      </c>
      <c r="Q30" s="35" t="str">
        <f>IFERROR(VLOOKUP(C30,装备!$B:$E,3,FALSE),"")</f>
        <v/>
      </c>
      <c r="R30" s="35" t="str">
        <f>IFERROR(VLOOKUP(D30,装备!$B:$E,3,FALSE),"")</f>
        <v/>
      </c>
      <c r="S30" s="35" t="str">
        <f>IFERROR(VLOOKUP(E30,装备!$B:$E,3,FALSE),"")</f>
        <v/>
      </c>
      <c r="T30" s="35" t="str">
        <f>IFERROR(VLOOKUP(F30,装备!$B:$E,3,FALSE),"")</f>
        <v/>
      </c>
      <c r="U30" s="35" t="str">
        <f>IFERROR(VLOOKUP(G30,装备!$B:$E,3,FALSE),"")</f>
        <v/>
      </c>
      <c r="V30" s="35" t="str">
        <f>IFERROR(VLOOKUP(H30,装备!$B:$E,3,FALSE),"")</f>
        <v/>
      </c>
      <c r="W30" s="30" t="str">
        <f t="shared" si="9"/>
        <v/>
      </c>
      <c r="X30" s="30" t="str">
        <f t="shared" si="10"/>
        <v/>
      </c>
      <c r="Y30" s="30" t="str">
        <f t="shared" si="11"/>
        <v/>
      </c>
      <c r="Z30" s="30" t="str">
        <f t="shared" si="12"/>
        <v/>
      </c>
      <c r="AA30" s="30" t="str">
        <f t="shared" si="13"/>
        <v/>
      </c>
      <c r="AB30" s="30" t="str">
        <f t="shared" si="14"/>
        <v>|n=0</v>
      </c>
    </row>
    <row r="31" spans="1:28">
      <c r="A31" s="31">
        <f>装备!A32</f>
        <v>0</v>
      </c>
      <c r="B31" s="31" t="str">
        <f>"'"&amp;装备!B32&amp;"'"</f>
        <v>'E105'</v>
      </c>
      <c r="C31" s="31">
        <f>装备!J32</f>
        <v>0</v>
      </c>
      <c r="D31" s="31">
        <f>装备!K32</f>
        <v>0</v>
      </c>
      <c r="E31" s="31">
        <f>装备!L32</f>
        <v>0</v>
      </c>
      <c r="F31" s="31">
        <f>装备!M32</f>
        <v>0</v>
      </c>
      <c r="G31" s="31">
        <f>装备!N32</f>
        <v>0</v>
      </c>
      <c r="H31" s="31">
        <f>装备!O32</f>
        <v>0</v>
      </c>
      <c r="I31" s="31">
        <f>IF(装备!J32=0,0,"'"&amp;装备!J32&amp;"'")</f>
        <v>0</v>
      </c>
      <c r="J31" s="31">
        <f>IF(装备!K32=0,0,"'"&amp;装备!K32&amp;"'")</f>
        <v>0</v>
      </c>
      <c r="K31" s="31">
        <f>IF(装备!L32=0,0,"'"&amp;装备!L32&amp;"'")</f>
        <v>0</v>
      </c>
      <c r="L31" s="31">
        <f>IF(装备!M32=0,0,"'"&amp;装备!M32&amp;"'")</f>
        <v>0</v>
      </c>
      <c r="M31" s="31">
        <f>IF(装备!N32=0,0,"'"&amp;装备!N32&amp;"'")</f>
        <v>0</v>
      </c>
      <c r="N31" s="31">
        <f>IF(装备!O32=0,0,"'"&amp;装备!O32&amp;"'")</f>
        <v>0</v>
      </c>
      <c r="O31" s="31" t="str">
        <f t="shared" si="8"/>
        <v/>
      </c>
      <c r="P31" s="31" t="str">
        <f t="shared" si="1"/>
        <v/>
      </c>
      <c r="Q31" s="35" t="str">
        <f>IFERROR(VLOOKUP(C31,装备!$B:$E,3,FALSE),"")</f>
        <v/>
      </c>
      <c r="R31" s="35" t="str">
        <f>IFERROR(VLOOKUP(D31,装备!$B:$E,3,FALSE),"")</f>
        <v/>
      </c>
      <c r="S31" s="35" t="str">
        <f>IFERROR(VLOOKUP(E31,装备!$B:$E,3,FALSE),"")</f>
        <v/>
      </c>
      <c r="T31" s="35" t="str">
        <f>IFERROR(VLOOKUP(F31,装备!$B:$E,3,FALSE),"")</f>
        <v/>
      </c>
      <c r="U31" s="35" t="str">
        <f>IFERROR(VLOOKUP(G31,装备!$B:$E,3,FALSE),"")</f>
        <v/>
      </c>
      <c r="V31" s="35" t="str">
        <f>IFERROR(VLOOKUP(H31,装备!$B:$E,3,FALSE),"")</f>
        <v/>
      </c>
      <c r="W31" s="30" t="str">
        <f t="shared" si="9"/>
        <v/>
      </c>
      <c r="X31" s="30" t="str">
        <f t="shared" si="10"/>
        <v/>
      </c>
      <c r="Y31" s="30" t="str">
        <f t="shared" si="11"/>
        <v/>
      </c>
      <c r="Z31" s="30" t="str">
        <f t="shared" si="12"/>
        <v/>
      </c>
      <c r="AA31" s="30" t="str">
        <f t="shared" si="13"/>
        <v/>
      </c>
      <c r="AB31" s="30" t="str">
        <f t="shared" si="14"/>
        <v>|n=0</v>
      </c>
    </row>
    <row r="32" spans="1:28">
      <c r="A32" s="31">
        <f>装备!A33</f>
        <v>0</v>
      </c>
      <c r="B32" s="31" t="str">
        <f>"'"&amp;装备!B33&amp;"'"</f>
        <v>'E106'</v>
      </c>
      <c r="C32" s="31">
        <f>装备!J33</f>
        <v>0</v>
      </c>
      <c r="D32" s="31">
        <f>装备!K33</f>
        <v>0</v>
      </c>
      <c r="E32" s="31">
        <f>装备!L33</f>
        <v>0</v>
      </c>
      <c r="F32" s="31">
        <f>装备!M33</f>
        <v>0</v>
      </c>
      <c r="G32" s="31">
        <f>装备!N33</f>
        <v>0</v>
      </c>
      <c r="H32" s="31">
        <f>装备!O33</f>
        <v>0</v>
      </c>
      <c r="I32" s="31">
        <f>IF(装备!J33=0,0,"'"&amp;装备!J33&amp;"'")</f>
        <v>0</v>
      </c>
      <c r="J32" s="31">
        <f>IF(装备!K33=0,0,"'"&amp;装备!K33&amp;"'")</f>
        <v>0</v>
      </c>
      <c r="K32" s="31">
        <f>IF(装备!L33=0,0,"'"&amp;装备!L33&amp;"'")</f>
        <v>0</v>
      </c>
      <c r="L32" s="31">
        <f>IF(装备!M33=0,0,"'"&amp;装备!M33&amp;"'")</f>
        <v>0</v>
      </c>
      <c r="M32" s="31">
        <f>IF(装备!N33=0,0,"'"&amp;装备!N33&amp;"'")</f>
        <v>0</v>
      </c>
      <c r="N32" s="31">
        <f>IF(装备!O33=0,0,"'"&amp;装备!O33&amp;"'")</f>
        <v>0</v>
      </c>
      <c r="O32" s="31" t="str">
        <f t="shared" si="8"/>
        <v/>
      </c>
      <c r="P32" s="31" t="str">
        <f t="shared" si="1"/>
        <v/>
      </c>
      <c r="Q32" s="35" t="str">
        <f>IFERROR(VLOOKUP(C32,装备!$B:$E,3,FALSE),"")</f>
        <v/>
      </c>
      <c r="R32" s="35" t="str">
        <f>IFERROR(VLOOKUP(D32,装备!$B:$E,3,FALSE),"")</f>
        <v/>
      </c>
      <c r="S32" s="35" t="str">
        <f>IFERROR(VLOOKUP(E32,装备!$B:$E,3,FALSE),"")</f>
        <v/>
      </c>
      <c r="T32" s="35" t="str">
        <f>IFERROR(VLOOKUP(F32,装备!$B:$E,3,FALSE),"")</f>
        <v/>
      </c>
      <c r="U32" s="35" t="str">
        <f>IFERROR(VLOOKUP(G32,装备!$B:$E,3,FALSE),"")</f>
        <v/>
      </c>
      <c r="V32" s="35" t="str">
        <f>IFERROR(VLOOKUP(H32,装备!$B:$E,3,FALSE),"")</f>
        <v/>
      </c>
      <c r="W32" s="30" t="str">
        <f t="shared" si="9"/>
        <v/>
      </c>
      <c r="X32" s="30" t="str">
        <f t="shared" si="10"/>
        <v/>
      </c>
      <c r="Y32" s="30" t="str">
        <f t="shared" si="11"/>
        <v/>
      </c>
      <c r="Z32" s="30" t="str">
        <f t="shared" si="12"/>
        <v/>
      </c>
      <c r="AA32" s="30" t="str">
        <f t="shared" si="13"/>
        <v/>
      </c>
      <c r="AB32" s="30" t="str">
        <f t="shared" si="14"/>
        <v>|n=0</v>
      </c>
    </row>
    <row r="33" spans="1:28">
      <c r="A33" s="31">
        <f>装备!A34</f>
        <v>0</v>
      </c>
      <c r="B33" s="31" t="str">
        <f>"'"&amp;装备!B34&amp;"'"</f>
        <v>'E107'</v>
      </c>
      <c r="C33" s="31">
        <f>装备!J34</f>
        <v>0</v>
      </c>
      <c r="D33" s="31">
        <f>装备!K34</f>
        <v>0</v>
      </c>
      <c r="E33" s="31">
        <f>装备!L34</f>
        <v>0</v>
      </c>
      <c r="F33" s="31">
        <f>装备!M34</f>
        <v>0</v>
      </c>
      <c r="G33" s="31">
        <f>装备!N34</f>
        <v>0</v>
      </c>
      <c r="H33" s="31">
        <f>装备!O34</f>
        <v>0</v>
      </c>
      <c r="I33" s="31">
        <f>IF(装备!J34=0,0,"'"&amp;装备!J34&amp;"'")</f>
        <v>0</v>
      </c>
      <c r="J33" s="31">
        <f>IF(装备!K34=0,0,"'"&amp;装备!K34&amp;"'")</f>
        <v>0</v>
      </c>
      <c r="K33" s="31">
        <f>IF(装备!L34=0,0,"'"&amp;装备!L34&amp;"'")</f>
        <v>0</v>
      </c>
      <c r="L33" s="31">
        <f>IF(装备!M34=0,0,"'"&amp;装备!M34&amp;"'")</f>
        <v>0</v>
      </c>
      <c r="M33" s="31">
        <f>IF(装备!N34=0,0,"'"&amp;装备!N34&amp;"'")</f>
        <v>0</v>
      </c>
      <c r="N33" s="31">
        <f>IF(装备!O34=0,0,"'"&amp;装备!O34&amp;"'")</f>
        <v>0</v>
      </c>
      <c r="O33" s="31" t="str">
        <f t="shared" si="8"/>
        <v/>
      </c>
      <c r="P33" s="31" t="str">
        <f t="shared" si="1"/>
        <v/>
      </c>
      <c r="Q33" s="35" t="str">
        <f>IFERROR(VLOOKUP(C33,装备!$B:$E,3,FALSE),"")</f>
        <v/>
      </c>
      <c r="R33" s="35" t="str">
        <f>IFERROR(VLOOKUP(D33,装备!$B:$E,3,FALSE),"")</f>
        <v/>
      </c>
      <c r="S33" s="35" t="str">
        <f>IFERROR(VLOOKUP(E33,装备!$B:$E,3,FALSE),"")</f>
        <v/>
      </c>
      <c r="T33" s="35" t="str">
        <f>IFERROR(VLOOKUP(F33,装备!$B:$E,3,FALSE),"")</f>
        <v/>
      </c>
      <c r="U33" s="35" t="str">
        <f>IFERROR(VLOOKUP(G33,装备!$B:$E,3,FALSE),"")</f>
        <v/>
      </c>
      <c r="V33" s="35" t="str">
        <f>IFERROR(VLOOKUP(H33,装备!$B:$E,3,FALSE),"")</f>
        <v/>
      </c>
      <c r="W33" s="30" t="str">
        <f t="shared" si="9"/>
        <v/>
      </c>
      <c r="X33" s="30" t="str">
        <f t="shared" si="10"/>
        <v/>
      </c>
      <c r="Y33" s="30" t="str">
        <f t="shared" si="11"/>
        <v/>
      </c>
      <c r="Z33" s="30" t="str">
        <f t="shared" si="12"/>
        <v/>
      </c>
      <c r="AA33" s="30" t="str">
        <f t="shared" si="13"/>
        <v/>
      </c>
      <c r="AB33" s="30" t="str">
        <f t="shared" si="14"/>
        <v>|n=0</v>
      </c>
    </row>
    <row r="34" spans="1:28">
      <c r="A34" s="31">
        <f>装备!A35</f>
        <v>0</v>
      </c>
      <c r="B34" s="31" t="str">
        <f>"'"&amp;装备!B35&amp;"'"</f>
        <v>'E108'</v>
      </c>
      <c r="C34" s="31">
        <f>装备!J35</f>
        <v>0</v>
      </c>
      <c r="D34" s="31">
        <f>装备!K35</f>
        <v>0</v>
      </c>
      <c r="E34" s="31">
        <f>装备!L35</f>
        <v>0</v>
      </c>
      <c r="F34" s="31">
        <f>装备!M35</f>
        <v>0</v>
      </c>
      <c r="G34" s="31">
        <f>装备!N35</f>
        <v>0</v>
      </c>
      <c r="H34" s="31">
        <f>装备!O35</f>
        <v>0</v>
      </c>
      <c r="I34" s="31">
        <f>IF(装备!J35=0,0,"'"&amp;装备!J35&amp;"'")</f>
        <v>0</v>
      </c>
      <c r="J34" s="31">
        <f>IF(装备!K35=0,0,"'"&amp;装备!K35&amp;"'")</f>
        <v>0</v>
      </c>
      <c r="K34" s="31">
        <f>IF(装备!L35=0,0,"'"&amp;装备!L35&amp;"'")</f>
        <v>0</v>
      </c>
      <c r="L34" s="31">
        <f>IF(装备!M35=0,0,"'"&amp;装备!M35&amp;"'")</f>
        <v>0</v>
      </c>
      <c r="M34" s="31">
        <f>IF(装备!N35=0,0,"'"&amp;装备!N35&amp;"'")</f>
        <v>0</v>
      </c>
      <c r="N34" s="31">
        <f>IF(装备!O35=0,0,"'"&amp;装备!O35&amp;"'")</f>
        <v>0</v>
      </c>
      <c r="O34" s="31" t="str">
        <f t="shared" si="8"/>
        <v/>
      </c>
      <c r="P34" s="31" t="str">
        <f t="shared" ref="P34:P65" si="15">IFERROR(VLOOKUP(A34,Q:AB,12,FALSE),IFERROR(VLOOKUP(A34,R:AB,11,FALSE),IFERROR(VLOOKUP(A34,S:AB,10,FALSE),"")))</f>
        <v/>
      </c>
      <c r="Q34" s="35" t="str">
        <f>IFERROR(VLOOKUP(C34,装备!$B:$E,3,FALSE),"")</f>
        <v/>
      </c>
      <c r="R34" s="35" t="str">
        <f>IFERROR(VLOOKUP(D34,装备!$B:$E,3,FALSE),"")</f>
        <v/>
      </c>
      <c r="S34" s="35" t="str">
        <f>IFERROR(VLOOKUP(E34,装备!$B:$E,3,FALSE),"")</f>
        <v/>
      </c>
      <c r="T34" s="35" t="str">
        <f>IFERROR(VLOOKUP(F34,装备!$B:$E,3,FALSE),"")</f>
        <v/>
      </c>
      <c r="U34" s="35" t="str">
        <f>IFERROR(VLOOKUP(G34,装备!$B:$E,3,FALSE),"")</f>
        <v/>
      </c>
      <c r="V34" s="35" t="str">
        <f>IFERROR(VLOOKUP(H34,装备!$B:$E,3,FALSE),"")</f>
        <v/>
      </c>
      <c r="W34" s="30" t="str">
        <f t="shared" si="9"/>
        <v/>
      </c>
      <c r="X34" s="30" t="str">
        <f t="shared" si="10"/>
        <v/>
      </c>
      <c r="Y34" s="30" t="str">
        <f t="shared" si="11"/>
        <v/>
      </c>
      <c r="Z34" s="30" t="str">
        <f t="shared" si="12"/>
        <v/>
      </c>
      <c r="AA34" s="30" t="str">
        <f t="shared" si="13"/>
        <v/>
      </c>
      <c r="AB34" s="30" t="str">
        <f t="shared" si="14"/>
        <v>|n=0</v>
      </c>
    </row>
    <row r="35" spans="1:28">
      <c r="A35" s="31">
        <f>装备!A36</f>
        <v>0</v>
      </c>
      <c r="B35" s="31" t="str">
        <f>"'"&amp;装备!B36&amp;"'"</f>
        <v>'E109'</v>
      </c>
      <c r="C35" s="31">
        <f>装备!J36</f>
        <v>0</v>
      </c>
      <c r="D35" s="31">
        <f>装备!K36</f>
        <v>0</v>
      </c>
      <c r="E35" s="31">
        <f>装备!L36</f>
        <v>0</v>
      </c>
      <c r="F35" s="31">
        <f>装备!M36</f>
        <v>0</v>
      </c>
      <c r="G35" s="31">
        <f>装备!N36</f>
        <v>0</v>
      </c>
      <c r="H35" s="31">
        <f>装备!O36</f>
        <v>0</v>
      </c>
      <c r="I35" s="31">
        <f>IF(装备!J36=0,0,"'"&amp;装备!J36&amp;"'")</f>
        <v>0</v>
      </c>
      <c r="J35" s="31">
        <f>IF(装备!K36=0,0,"'"&amp;装备!K36&amp;"'")</f>
        <v>0</v>
      </c>
      <c r="K35" s="31">
        <f>IF(装备!L36=0,0,"'"&amp;装备!L36&amp;"'")</f>
        <v>0</v>
      </c>
      <c r="L35" s="31">
        <f>IF(装备!M36=0,0,"'"&amp;装备!M36&amp;"'")</f>
        <v>0</v>
      </c>
      <c r="M35" s="31">
        <f>IF(装备!N36=0,0,"'"&amp;装备!N36&amp;"'")</f>
        <v>0</v>
      </c>
      <c r="N35" s="31">
        <f>IF(装备!O36=0,0,"'"&amp;装备!O36&amp;"'")</f>
        <v>0</v>
      </c>
      <c r="O35" s="31" t="str">
        <f t="shared" si="8"/>
        <v/>
      </c>
      <c r="P35" s="31" t="str">
        <f t="shared" si="15"/>
        <v/>
      </c>
      <c r="Q35" s="35" t="str">
        <f>IFERROR(VLOOKUP(C35,装备!$B:$E,3,FALSE),"")</f>
        <v/>
      </c>
      <c r="R35" s="35" t="str">
        <f>IFERROR(VLOOKUP(D35,装备!$B:$E,3,FALSE),"")</f>
        <v/>
      </c>
      <c r="S35" s="35" t="str">
        <f>IFERROR(VLOOKUP(E35,装备!$B:$E,3,FALSE),"")</f>
        <v/>
      </c>
      <c r="T35" s="35" t="str">
        <f>IFERROR(VLOOKUP(F35,装备!$B:$E,3,FALSE),"")</f>
        <v/>
      </c>
      <c r="U35" s="35" t="str">
        <f>IFERROR(VLOOKUP(G35,装备!$B:$E,3,FALSE),"")</f>
        <v/>
      </c>
      <c r="V35" s="35" t="str">
        <f>IFERROR(VLOOKUP(H35,装备!$B:$E,3,FALSE),"")</f>
        <v/>
      </c>
      <c r="W35" s="30" t="str">
        <f t="shared" si="9"/>
        <v/>
      </c>
      <c r="X35" s="30" t="str">
        <f t="shared" si="10"/>
        <v/>
      </c>
      <c r="Y35" s="30" t="str">
        <f t="shared" si="11"/>
        <v/>
      </c>
      <c r="Z35" s="30" t="str">
        <f t="shared" si="12"/>
        <v/>
      </c>
      <c r="AA35" s="30" t="str">
        <f t="shared" si="13"/>
        <v/>
      </c>
      <c r="AB35" s="30" t="str">
        <f t="shared" si="14"/>
        <v>|n=0</v>
      </c>
    </row>
    <row r="36" spans="1:28">
      <c r="A36" s="31">
        <f>装备!A37</f>
        <v>0</v>
      </c>
      <c r="B36" s="31" t="str">
        <f>"'"&amp;装备!B37&amp;"'"</f>
        <v>'E110'</v>
      </c>
      <c r="C36" s="31">
        <f>装备!J37</f>
        <v>0</v>
      </c>
      <c r="D36" s="31">
        <f>装备!K37</f>
        <v>0</v>
      </c>
      <c r="E36" s="31">
        <f>装备!L37</f>
        <v>0</v>
      </c>
      <c r="F36" s="31">
        <f>装备!M37</f>
        <v>0</v>
      </c>
      <c r="G36" s="31">
        <f>装备!N37</f>
        <v>0</v>
      </c>
      <c r="H36" s="31">
        <f>装备!O37</f>
        <v>0</v>
      </c>
      <c r="I36" s="31">
        <f>IF(装备!J37=0,0,"'"&amp;装备!J37&amp;"'")</f>
        <v>0</v>
      </c>
      <c r="J36" s="31">
        <f>IF(装备!K37=0,0,"'"&amp;装备!K37&amp;"'")</f>
        <v>0</v>
      </c>
      <c r="K36" s="31">
        <f>IF(装备!L37=0,0,"'"&amp;装备!L37&amp;"'")</f>
        <v>0</v>
      </c>
      <c r="L36" s="31">
        <f>IF(装备!M37=0,0,"'"&amp;装备!M37&amp;"'")</f>
        <v>0</v>
      </c>
      <c r="M36" s="31">
        <f>IF(装备!N37=0,0,"'"&amp;装备!N37&amp;"'")</f>
        <v>0</v>
      </c>
      <c r="N36" s="31">
        <f>IF(装备!O37=0,0,"'"&amp;装备!O37&amp;"'")</f>
        <v>0</v>
      </c>
      <c r="O36" s="31" t="str">
        <f t="shared" si="8"/>
        <v/>
      </c>
      <c r="P36" s="31" t="str">
        <f t="shared" si="15"/>
        <v/>
      </c>
      <c r="Q36" s="35" t="str">
        <f>IFERROR(VLOOKUP(C36,装备!$B:$E,3,FALSE),"")</f>
        <v/>
      </c>
      <c r="R36" s="35" t="str">
        <f>IFERROR(VLOOKUP(D36,装备!$B:$E,3,FALSE),"")</f>
        <v/>
      </c>
      <c r="S36" s="35" t="str">
        <f>IFERROR(VLOOKUP(E36,装备!$B:$E,3,FALSE),"")</f>
        <v/>
      </c>
      <c r="T36" s="35" t="str">
        <f>IFERROR(VLOOKUP(F36,装备!$B:$E,3,FALSE),"")</f>
        <v/>
      </c>
      <c r="U36" s="35" t="str">
        <f>IFERROR(VLOOKUP(G36,装备!$B:$E,3,FALSE),"")</f>
        <v/>
      </c>
      <c r="V36" s="35" t="str">
        <f>IFERROR(VLOOKUP(H36,装备!$B:$E,3,FALSE),"")</f>
        <v/>
      </c>
      <c r="W36" s="30" t="str">
        <f t="shared" si="9"/>
        <v/>
      </c>
      <c r="X36" s="30" t="str">
        <f t="shared" si="10"/>
        <v/>
      </c>
      <c r="Y36" s="30" t="str">
        <f t="shared" si="11"/>
        <v/>
      </c>
      <c r="Z36" s="30" t="str">
        <f t="shared" si="12"/>
        <v/>
      </c>
      <c r="AA36" s="30" t="str">
        <f t="shared" si="13"/>
        <v/>
      </c>
      <c r="AB36" s="30" t="str">
        <f t="shared" si="14"/>
        <v>|n=0</v>
      </c>
    </row>
    <row r="37" spans="1:28">
      <c r="A37" s="31">
        <f>装备!A38</f>
        <v>0</v>
      </c>
      <c r="B37" s="31" t="str">
        <f>"'"&amp;装备!B38&amp;"'"</f>
        <v>'E111'</v>
      </c>
      <c r="C37" s="31">
        <f>装备!J38</f>
        <v>0</v>
      </c>
      <c r="D37" s="31">
        <f>装备!K38</f>
        <v>0</v>
      </c>
      <c r="E37" s="31">
        <f>装备!L38</f>
        <v>0</v>
      </c>
      <c r="F37" s="31">
        <f>装备!M38</f>
        <v>0</v>
      </c>
      <c r="G37" s="31">
        <f>装备!N38</f>
        <v>0</v>
      </c>
      <c r="H37" s="31">
        <f>装备!O38</f>
        <v>0</v>
      </c>
      <c r="I37" s="31">
        <f>IF(装备!J38=0,0,"'"&amp;装备!J38&amp;"'")</f>
        <v>0</v>
      </c>
      <c r="J37" s="31">
        <f>IF(装备!K38=0,0,"'"&amp;装备!K38&amp;"'")</f>
        <v>0</v>
      </c>
      <c r="K37" s="31">
        <f>IF(装备!L38=0,0,"'"&amp;装备!L38&amp;"'")</f>
        <v>0</v>
      </c>
      <c r="L37" s="31">
        <f>IF(装备!M38=0,0,"'"&amp;装备!M38&amp;"'")</f>
        <v>0</v>
      </c>
      <c r="M37" s="31">
        <f>IF(装备!N38=0,0,"'"&amp;装备!N38&amp;"'")</f>
        <v>0</v>
      </c>
      <c r="N37" s="31">
        <f>IF(装备!O38=0,0,"'"&amp;装备!O38&amp;"'")</f>
        <v>0</v>
      </c>
      <c r="O37" s="31" t="str">
        <f t="shared" si="8"/>
        <v/>
      </c>
      <c r="P37" s="31" t="str">
        <f t="shared" si="15"/>
        <v/>
      </c>
      <c r="Q37" s="35" t="str">
        <f>IFERROR(VLOOKUP(C37,装备!$B:$E,3,FALSE),"")</f>
        <v/>
      </c>
      <c r="R37" s="35" t="str">
        <f>IFERROR(VLOOKUP(D37,装备!$B:$E,3,FALSE),"")</f>
        <v/>
      </c>
      <c r="S37" s="35" t="str">
        <f>IFERROR(VLOOKUP(E37,装备!$B:$E,3,FALSE),"")</f>
        <v/>
      </c>
      <c r="T37" s="35" t="str">
        <f>IFERROR(VLOOKUP(F37,装备!$B:$E,3,FALSE),"")</f>
        <v/>
      </c>
      <c r="U37" s="35" t="str">
        <f>IFERROR(VLOOKUP(G37,装备!$B:$E,3,FALSE),"")</f>
        <v/>
      </c>
      <c r="V37" s="35" t="str">
        <f>IFERROR(VLOOKUP(H37,装备!$B:$E,3,FALSE),"")</f>
        <v/>
      </c>
      <c r="W37" s="30" t="str">
        <f t="shared" si="9"/>
        <v/>
      </c>
      <c r="X37" s="30" t="str">
        <f t="shared" si="10"/>
        <v/>
      </c>
      <c r="Y37" s="30" t="str">
        <f t="shared" si="11"/>
        <v/>
      </c>
      <c r="Z37" s="30" t="str">
        <f t="shared" si="12"/>
        <v/>
      </c>
      <c r="AA37" s="30" t="str">
        <f t="shared" si="13"/>
        <v/>
      </c>
      <c r="AB37" s="30" t="str">
        <f t="shared" si="14"/>
        <v>|n=0</v>
      </c>
    </row>
    <row r="38" spans="1:28">
      <c r="A38" s="31">
        <f>装备!A39</f>
        <v>0</v>
      </c>
      <c r="B38" s="31" t="str">
        <f>"'"&amp;装备!B39&amp;"'"</f>
        <v>'E112'</v>
      </c>
      <c r="C38" s="31">
        <f>装备!J39</f>
        <v>0</v>
      </c>
      <c r="D38" s="31">
        <f>装备!K39</f>
        <v>0</v>
      </c>
      <c r="E38" s="31">
        <f>装备!L39</f>
        <v>0</v>
      </c>
      <c r="F38" s="31">
        <f>装备!M39</f>
        <v>0</v>
      </c>
      <c r="G38" s="31">
        <f>装备!N39</f>
        <v>0</v>
      </c>
      <c r="H38" s="31">
        <f>装备!O39</f>
        <v>0</v>
      </c>
      <c r="I38" s="31">
        <f>IF(装备!J39=0,0,"'"&amp;装备!J39&amp;"'")</f>
        <v>0</v>
      </c>
      <c r="J38" s="31">
        <f>IF(装备!K39=0,0,"'"&amp;装备!K39&amp;"'")</f>
        <v>0</v>
      </c>
      <c r="K38" s="31">
        <f>IF(装备!L39=0,0,"'"&amp;装备!L39&amp;"'")</f>
        <v>0</v>
      </c>
      <c r="L38" s="31">
        <f>IF(装备!M39=0,0,"'"&amp;装备!M39&amp;"'")</f>
        <v>0</v>
      </c>
      <c r="M38" s="31">
        <f>IF(装备!N39=0,0,"'"&amp;装备!N39&amp;"'")</f>
        <v>0</v>
      </c>
      <c r="N38" s="31">
        <f>IF(装备!O39=0,0,"'"&amp;装备!O39&amp;"'")</f>
        <v>0</v>
      </c>
      <c r="O38" s="31" t="str">
        <f t="shared" si="8"/>
        <v/>
      </c>
      <c r="P38" s="31" t="str">
        <f t="shared" si="15"/>
        <v/>
      </c>
      <c r="Q38" s="35" t="str">
        <f>IFERROR(VLOOKUP(C38,装备!$B:$E,3,FALSE),"")</f>
        <v/>
      </c>
      <c r="R38" s="35" t="str">
        <f>IFERROR(VLOOKUP(D38,装备!$B:$E,3,FALSE),"")</f>
        <v/>
      </c>
      <c r="S38" s="35" t="str">
        <f>IFERROR(VLOOKUP(E38,装备!$B:$E,3,FALSE),"")</f>
        <v/>
      </c>
      <c r="T38" s="35" t="str">
        <f>IFERROR(VLOOKUP(F38,装备!$B:$E,3,FALSE),"")</f>
        <v/>
      </c>
      <c r="U38" s="35" t="str">
        <f>IFERROR(VLOOKUP(G38,装备!$B:$E,3,FALSE),"")</f>
        <v/>
      </c>
      <c r="V38" s="35" t="str">
        <f>IFERROR(VLOOKUP(H38,装备!$B:$E,3,FALSE),"")</f>
        <v/>
      </c>
      <c r="W38" s="30" t="str">
        <f t="shared" si="9"/>
        <v/>
      </c>
      <c r="X38" s="30" t="str">
        <f t="shared" si="10"/>
        <v/>
      </c>
      <c r="Y38" s="30" t="str">
        <f t="shared" si="11"/>
        <v/>
      </c>
      <c r="Z38" s="30" t="str">
        <f t="shared" si="12"/>
        <v/>
      </c>
      <c r="AA38" s="30" t="str">
        <f t="shared" si="13"/>
        <v/>
      </c>
      <c r="AB38" s="30" t="str">
        <f t="shared" si="14"/>
        <v>|n=0</v>
      </c>
    </row>
    <row r="39" spans="1:28">
      <c r="A39" s="31">
        <f>装备!A40</f>
        <v>0</v>
      </c>
      <c r="B39" s="31" t="str">
        <f>"'"&amp;装备!B40&amp;"'"</f>
        <v>'E113'</v>
      </c>
      <c r="C39" s="31">
        <f>装备!J40</f>
        <v>0</v>
      </c>
      <c r="D39" s="31">
        <f>装备!K40</f>
        <v>0</v>
      </c>
      <c r="E39" s="31">
        <f>装备!L40</f>
        <v>0</v>
      </c>
      <c r="F39" s="31">
        <f>装备!M40</f>
        <v>0</v>
      </c>
      <c r="G39" s="31">
        <f>装备!N40</f>
        <v>0</v>
      </c>
      <c r="H39" s="31">
        <f>装备!O40</f>
        <v>0</v>
      </c>
      <c r="I39" s="31">
        <f>IF(装备!J40=0,0,"'"&amp;装备!J40&amp;"'")</f>
        <v>0</v>
      </c>
      <c r="J39" s="31">
        <f>IF(装备!K40=0,0,"'"&amp;装备!K40&amp;"'")</f>
        <v>0</v>
      </c>
      <c r="K39" s="31">
        <f>IF(装备!L40=0,0,"'"&amp;装备!L40&amp;"'")</f>
        <v>0</v>
      </c>
      <c r="L39" s="31">
        <f>IF(装备!M40=0,0,"'"&amp;装备!M40&amp;"'")</f>
        <v>0</v>
      </c>
      <c r="M39" s="31">
        <f>IF(装备!N40=0,0,"'"&amp;装备!N40&amp;"'")</f>
        <v>0</v>
      </c>
      <c r="N39" s="31">
        <f>IF(装备!O40=0,0,"'"&amp;装备!O40&amp;"'")</f>
        <v>0</v>
      </c>
      <c r="O39" s="31" t="str">
        <f t="shared" si="8"/>
        <v/>
      </c>
      <c r="P39" s="31" t="str">
        <f t="shared" si="15"/>
        <v/>
      </c>
      <c r="Q39" s="35" t="str">
        <f>IFERROR(VLOOKUP(C39,装备!$B:$E,3,FALSE),"")</f>
        <v/>
      </c>
      <c r="R39" s="35" t="str">
        <f>IFERROR(VLOOKUP(D39,装备!$B:$E,3,FALSE),"")</f>
        <v/>
      </c>
      <c r="S39" s="35" t="str">
        <f>IFERROR(VLOOKUP(E39,装备!$B:$E,3,FALSE),"")</f>
        <v/>
      </c>
      <c r="T39" s="35" t="str">
        <f>IFERROR(VLOOKUP(F39,装备!$B:$E,3,FALSE),"")</f>
        <v/>
      </c>
      <c r="U39" s="35" t="str">
        <f>IFERROR(VLOOKUP(G39,装备!$B:$E,3,FALSE),"")</f>
        <v/>
      </c>
      <c r="V39" s="35" t="str">
        <f>IFERROR(VLOOKUP(H39,装备!$B:$E,3,FALSE),"")</f>
        <v/>
      </c>
      <c r="W39" s="30" t="str">
        <f t="shared" si="9"/>
        <v/>
      </c>
      <c r="X39" s="30" t="str">
        <f t="shared" si="10"/>
        <v/>
      </c>
      <c r="Y39" s="30" t="str">
        <f t="shared" si="11"/>
        <v/>
      </c>
      <c r="Z39" s="30" t="str">
        <f t="shared" si="12"/>
        <v/>
      </c>
      <c r="AA39" s="30" t="str">
        <f t="shared" si="13"/>
        <v/>
      </c>
      <c r="AB39" s="30" t="str">
        <f t="shared" si="14"/>
        <v>|n=0</v>
      </c>
    </row>
    <row r="40" spans="1:28">
      <c r="A40" s="31">
        <f>装备!A41</f>
        <v>0</v>
      </c>
      <c r="B40" s="31" t="str">
        <f>"'"&amp;装备!B41&amp;"'"</f>
        <v>'E114'</v>
      </c>
      <c r="C40" s="31">
        <f>装备!J41</f>
        <v>0</v>
      </c>
      <c r="D40" s="31">
        <f>装备!K41</f>
        <v>0</v>
      </c>
      <c r="E40" s="31">
        <f>装备!L41</f>
        <v>0</v>
      </c>
      <c r="F40" s="31">
        <f>装备!M41</f>
        <v>0</v>
      </c>
      <c r="G40" s="31">
        <f>装备!N41</f>
        <v>0</v>
      </c>
      <c r="H40" s="31">
        <f>装备!O41</f>
        <v>0</v>
      </c>
      <c r="I40" s="31">
        <f>IF(装备!J41=0,0,"'"&amp;装备!J41&amp;"'")</f>
        <v>0</v>
      </c>
      <c r="J40" s="31">
        <f>IF(装备!K41=0,0,"'"&amp;装备!K41&amp;"'")</f>
        <v>0</v>
      </c>
      <c r="K40" s="31">
        <f>IF(装备!L41=0,0,"'"&amp;装备!L41&amp;"'")</f>
        <v>0</v>
      </c>
      <c r="L40" s="31">
        <f>IF(装备!M41=0,0,"'"&amp;装备!M41&amp;"'")</f>
        <v>0</v>
      </c>
      <c r="M40" s="31">
        <f>IF(装备!N41=0,0,"'"&amp;装备!N41&amp;"'")</f>
        <v>0</v>
      </c>
      <c r="N40" s="31">
        <f>IF(装备!O41=0,0,"'"&amp;装备!O41&amp;"'")</f>
        <v>0</v>
      </c>
      <c r="O40" s="31" t="str">
        <f t="shared" si="8"/>
        <v/>
      </c>
      <c r="P40" s="31" t="str">
        <f t="shared" si="15"/>
        <v/>
      </c>
      <c r="Q40" s="35" t="str">
        <f>IFERROR(VLOOKUP(C40,装备!$B:$E,3,FALSE),"")</f>
        <v/>
      </c>
      <c r="R40" s="35" t="str">
        <f>IFERROR(VLOOKUP(D40,装备!$B:$E,3,FALSE),"")</f>
        <v/>
      </c>
      <c r="S40" s="35" t="str">
        <f>IFERROR(VLOOKUP(E40,装备!$B:$E,3,FALSE),"")</f>
        <v/>
      </c>
      <c r="T40" s="35" t="str">
        <f>IFERROR(VLOOKUP(F40,装备!$B:$E,3,FALSE),"")</f>
        <v/>
      </c>
      <c r="U40" s="35" t="str">
        <f>IFERROR(VLOOKUP(G40,装备!$B:$E,3,FALSE),"")</f>
        <v/>
      </c>
      <c r="V40" s="35" t="str">
        <f>IFERROR(VLOOKUP(H40,装备!$B:$E,3,FALSE),"")</f>
        <v/>
      </c>
      <c r="W40" s="30" t="str">
        <f t="shared" si="9"/>
        <v/>
      </c>
      <c r="X40" s="30" t="str">
        <f t="shared" si="10"/>
        <v/>
      </c>
      <c r="Y40" s="30" t="str">
        <f t="shared" si="11"/>
        <v/>
      </c>
      <c r="Z40" s="30" t="str">
        <f t="shared" si="12"/>
        <v/>
      </c>
      <c r="AA40" s="30" t="str">
        <f t="shared" si="13"/>
        <v/>
      </c>
      <c r="AB40" s="30" t="str">
        <f t="shared" si="14"/>
        <v>|n=0</v>
      </c>
    </row>
    <row r="41" spans="1:28">
      <c r="A41" s="31">
        <f>装备!A42</f>
        <v>0</v>
      </c>
      <c r="B41" s="31" t="str">
        <f>"'"&amp;装备!B42&amp;"'"</f>
        <v>'E115'</v>
      </c>
      <c r="C41" s="31">
        <f>装备!J42</f>
        <v>0</v>
      </c>
      <c r="D41" s="31">
        <f>装备!K42</f>
        <v>0</v>
      </c>
      <c r="E41" s="31">
        <f>装备!L42</f>
        <v>0</v>
      </c>
      <c r="F41" s="31">
        <f>装备!M42</f>
        <v>0</v>
      </c>
      <c r="G41" s="31">
        <f>装备!N42</f>
        <v>0</v>
      </c>
      <c r="H41" s="31">
        <f>装备!O42</f>
        <v>0</v>
      </c>
      <c r="I41" s="31">
        <f>IF(装备!J42=0,0,"'"&amp;装备!J42&amp;"'")</f>
        <v>0</v>
      </c>
      <c r="J41" s="31">
        <f>IF(装备!K42=0,0,"'"&amp;装备!K42&amp;"'")</f>
        <v>0</v>
      </c>
      <c r="K41" s="31">
        <f>IF(装备!L42=0,0,"'"&amp;装备!L42&amp;"'")</f>
        <v>0</v>
      </c>
      <c r="L41" s="31">
        <f>IF(装备!M42=0,0,"'"&amp;装备!M42&amp;"'")</f>
        <v>0</v>
      </c>
      <c r="M41" s="31">
        <f>IF(装备!N42=0,0,"'"&amp;装备!N42&amp;"'")</f>
        <v>0</v>
      </c>
      <c r="N41" s="31">
        <f>IF(装备!O42=0,0,"'"&amp;装备!O42&amp;"'")</f>
        <v>0</v>
      </c>
      <c r="O41" s="31" t="str">
        <f t="shared" si="8"/>
        <v/>
      </c>
      <c r="P41" s="31" t="str">
        <f t="shared" si="15"/>
        <v/>
      </c>
      <c r="Q41" s="35" t="str">
        <f>IFERROR(VLOOKUP(C41,装备!$B:$E,3,FALSE),"")</f>
        <v/>
      </c>
      <c r="R41" s="35" t="str">
        <f>IFERROR(VLOOKUP(D41,装备!$B:$E,3,FALSE),"")</f>
        <v/>
      </c>
      <c r="S41" s="35" t="str">
        <f>IFERROR(VLOOKUP(E41,装备!$B:$E,3,FALSE),"")</f>
        <v/>
      </c>
      <c r="T41" s="35" t="str">
        <f>IFERROR(VLOOKUP(F41,装备!$B:$E,3,FALSE),"")</f>
        <v/>
      </c>
      <c r="U41" s="35" t="str">
        <f>IFERROR(VLOOKUP(G41,装备!$B:$E,3,FALSE),"")</f>
        <v/>
      </c>
      <c r="V41" s="35" t="str">
        <f>IFERROR(VLOOKUP(H41,装备!$B:$E,3,FALSE),"")</f>
        <v/>
      </c>
      <c r="W41" s="30" t="str">
        <f t="shared" si="9"/>
        <v/>
      </c>
      <c r="X41" s="30" t="str">
        <f t="shared" si="10"/>
        <v/>
      </c>
      <c r="Y41" s="30" t="str">
        <f t="shared" si="11"/>
        <v/>
      </c>
      <c r="Z41" s="30" t="str">
        <f t="shared" si="12"/>
        <v/>
      </c>
      <c r="AA41" s="30" t="str">
        <f t="shared" si="13"/>
        <v/>
      </c>
      <c r="AB41" s="30" t="str">
        <f t="shared" si="14"/>
        <v>|n=0</v>
      </c>
    </row>
    <row r="42" spans="1:28">
      <c r="A42" s="31">
        <f>装备!A43</f>
        <v>0</v>
      </c>
      <c r="B42" s="31" t="str">
        <f>"'"&amp;装备!B43&amp;"'"</f>
        <v>'E116'</v>
      </c>
      <c r="C42" s="31">
        <f>装备!J43</f>
        <v>0</v>
      </c>
      <c r="D42" s="31">
        <f>装备!K43</f>
        <v>0</v>
      </c>
      <c r="E42" s="31">
        <f>装备!L43</f>
        <v>0</v>
      </c>
      <c r="F42" s="31">
        <f>装备!M43</f>
        <v>0</v>
      </c>
      <c r="G42" s="31">
        <f>装备!N43</f>
        <v>0</v>
      </c>
      <c r="H42" s="31">
        <f>装备!O43</f>
        <v>0</v>
      </c>
      <c r="I42" s="31">
        <f>IF(装备!J43=0,0,"'"&amp;装备!J43&amp;"'")</f>
        <v>0</v>
      </c>
      <c r="J42" s="31">
        <f>IF(装备!K43=0,0,"'"&amp;装备!K43&amp;"'")</f>
        <v>0</v>
      </c>
      <c r="K42" s="31">
        <f>IF(装备!L43=0,0,"'"&amp;装备!L43&amp;"'")</f>
        <v>0</v>
      </c>
      <c r="L42" s="31">
        <f>IF(装备!M43=0,0,"'"&amp;装备!M43&amp;"'")</f>
        <v>0</v>
      </c>
      <c r="M42" s="31">
        <f>IF(装备!N43=0,0,"'"&amp;装备!N43&amp;"'")</f>
        <v>0</v>
      </c>
      <c r="N42" s="31">
        <f>IF(装备!O43=0,0,"'"&amp;装备!O43&amp;"'")</f>
        <v>0</v>
      </c>
      <c r="O42" s="31" t="str">
        <f t="shared" si="8"/>
        <v/>
      </c>
      <c r="P42" s="31" t="str">
        <f t="shared" si="15"/>
        <v/>
      </c>
      <c r="Q42" s="35" t="str">
        <f>IFERROR(VLOOKUP(C42,装备!$B:$E,3,FALSE),"")</f>
        <v/>
      </c>
      <c r="R42" s="35" t="str">
        <f>IFERROR(VLOOKUP(D42,装备!$B:$E,3,FALSE),"")</f>
        <v/>
      </c>
      <c r="S42" s="35" t="str">
        <f>IFERROR(VLOOKUP(E42,装备!$B:$E,3,FALSE),"")</f>
        <v/>
      </c>
      <c r="T42" s="35" t="str">
        <f>IFERROR(VLOOKUP(F42,装备!$B:$E,3,FALSE),"")</f>
        <v/>
      </c>
      <c r="U42" s="35" t="str">
        <f>IFERROR(VLOOKUP(G42,装备!$B:$E,3,FALSE),"")</f>
        <v/>
      </c>
      <c r="V42" s="35" t="str">
        <f>IFERROR(VLOOKUP(H42,装备!$B:$E,3,FALSE),"")</f>
        <v/>
      </c>
      <c r="W42" s="30" t="str">
        <f t="shared" si="9"/>
        <v/>
      </c>
      <c r="X42" s="30" t="str">
        <f t="shared" si="10"/>
        <v/>
      </c>
      <c r="Y42" s="30" t="str">
        <f t="shared" si="11"/>
        <v/>
      </c>
      <c r="Z42" s="30" t="str">
        <f t="shared" si="12"/>
        <v/>
      </c>
      <c r="AA42" s="30" t="str">
        <f t="shared" si="13"/>
        <v/>
      </c>
      <c r="AB42" s="30" t="str">
        <f t="shared" si="14"/>
        <v>|n=0</v>
      </c>
    </row>
    <row r="43" spans="1:28">
      <c r="A43" s="31">
        <f>装备!A44</f>
        <v>0</v>
      </c>
      <c r="B43" s="31" t="str">
        <f>"'"&amp;装备!B44&amp;"'"</f>
        <v>'E117'</v>
      </c>
      <c r="C43" s="31">
        <f>装备!J44</f>
        <v>0</v>
      </c>
      <c r="D43" s="31">
        <f>装备!K44</f>
        <v>0</v>
      </c>
      <c r="E43" s="31">
        <f>装备!L44</f>
        <v>0</v>
      </c>
      <c r="F43" s="31">
        <f>装备!M44</f>
        <v>0</v>
      </c>
      <c r="G43" s="31">
        <f>装备!N44</f>
        <v>0</v>
      </c>
      <c r="H43" s="31">
        <f>装备!O44</f>
        <v>0</v>
      </c>
      <c r="I43" s="31">
        <f>IF(装备!J44=0,0,"'"&amp;装备!J44&amp;"'")</f>
        <v>0</v>
      </c>
      <c r="J43" s="31">
        <f>IF(装备!K44=0,0,"'"&amp;装备!K44&amp;"'")</f>
        <v>0</v>
      </c>
      <c r="K43" s="31">
        <f>IF(装备!L44=0,0,"'"&amp;装备!L44&amp;"'")</f>
        <v>0</v>
      </c>
      <c r="L43" s="31">
        <f>IF(装备!M44=0,0,"'"&amp;装备!M44&amp;"'")</f>
        <v>0</v>
      </c>
      <c r="M43" s="31">
        <f>IF(装备!N44=0,0,"'"&amp;装备!N44&amp;"'")</f>
        <v>0</v>
      </c>
      <c r="N43" s="31">
        <f>IF(装备!O44=0,0,"'"&amp;装备!O44&amp;"'")</f>
        <v>0</v>
      </c>
      <c r="O43" s="31" t="str">
        <f t="shared" si="8"/>
        <v/>
      </c>
      <c r="P43" s="31" t="str">
        <f t="shared" si="15"/>
        <v/>
      </c>
      <c r="Q43" s="35" t="str">
        <f>IFERROR(VLOOKUP(C43,装备!$B:$E,3,FALSE),"")</f>
        <v/>
      </c>
      <c r="R43" s="35" t="str">
        <f>IFERROR(VLOOKUP(D43,装备!$B:$E,3,FALSE),"")</f>
        <v/>
      </c>
      <c r="S43" s="35" t="str">
        <f>IFERROR(VLOOKUP(E43,装备!$B:$E,3,FALSE),"")</f>
        <v/>
      </c>
      <c r="T43" s="35" t="str">
        <f>IFERROR(VLOOKUP(F43,装备!$B:$E,3,FALSE),"")</f>
        <v/>
      </c>
      <c r="U43" s="35" t="str">
        <f>IFERROR(VLOOKUP(G43,装备!$B:$E,3,FALSE),"")</f>
        <v/>
      </c>
      <c r="V43" s="35" t="str">
        <f>IFERROR(VLOOKUP(H43,装备!$B:$E,3,FALSE),"")</f>
        <v/>
      </c>
      <c r="W43" s="30" t="str">
        <f t="shared" si="9"/>
        <v/>
      </c>
      <c r="X43" s="30" t="str">
        <f t="shared" si="10"/>
        <v/>
      </c>
      <c r="Y43" s="30" t="str">
        <f t="shared" si="11"/>
        <v/>
      </c>
      <c r="Z43" s="30" t="str">
        <f t="shared" si="12"/>
        <v/>
      </c>
      <c r="AA43" s="30" t="str">
        <f t="shared" si="13"/>
        <v/>
      </c>
      <c r="AB43" s="30" t="str">
        <f t="shared" si="14"/>
        <v>|n=0</v>
      </c>
    </row>
    <row r="44" spans="1:28">
      <c r="A44" s="31">
        <f>装备!A45</f>
        <v>0</v>
      </c>
      <c r="B44" s="31" t="str">
        <f>"'"&amp;装备!B45&amp;"'"</f>
        <v>'E118'</v>
      </c>
      <c r="C44" s="31">
        <f>装备!J45</f>
        <v>0</v>
      </c>
      <c r="D44" s="31">
        <f>装备!K45</f>
        <v>0</v>
      </c>
      <c r="E44" s="31">
        <f>装备!L45</f>
        <v>0</v>
      </c>
      <c r="F44" s="31">
        <f>装备!M45</f>
        <v>0</v>
      </c>
      <c r="G44" s="31">
        <f>装备!N45</f>
        <v>0</v>
      </c>
      <c r="H44" s="31">
        <f>装备!O45</f>
        <v>0</v>
      </c>
      <c r="I44" s="31">
        <f>IF(装备!J45=0,0,"'"&amp;装备!J45&amp;"'")</f>
        <v>0</v>
      </c>
      <c r="J44" s="31">
        <f>IF(装备!K45=0,0,"'"&amp;装备!K45&amp;"'")</f>
        <v>0</v>
      </c>
      <c r="K44" s="31">
        <f>IF(装备!L45=0,0,"'"&amp;装备!L45&amp;"'")</f>
        <v>0</v>
      </c>
      <c r="L44" s="31">
        <f>IF(装备!M45=0,0,"'"&amp;装备!M45&amp;"'")</f>
        <v>0</v>
      </c>
      <c r="M44" s="31">
        <f>IF(装备!N45=0,0,"'"&amp;装备!N45&amp;"'")</f>
        <v>0</v>
      </c>
      <c r="N44" s="31">
        <f>IF(装备!O45=0,0,"'"&amp;装备!O45&amp;"'")</f>
        <v>0</v>
      </c>
      <c r="O44" s="31" t="str">
        <f t="shared" si="8"/>
        <v/>
      </c>
      <c r="P44" s="31" t="str">
        <f t="shared" si="15"/>
        <v/>
      </c>
      <c r="Q44" s="35" t="str">
        <f>IFERROR(VLOOKUP(C44,装备!$B:$E,3,FALSE),"")</f>
        <v/>
      </c>
      <c r="R44" s="35" t="str">
        <f>IFERROR(VLOOKUP(D44,装备!$B:$E,3,FALSE),"")</f>
        <v/>
      </c>
      <c r="S44" s="35" t="str">
        <f>IFERROR(VLOOKUP(E44,装备!$B:$E,3,FALSE),"")</f>
        <v/>
      </c>
      <c r="T44" s="35" t="str">
        <f>IFERROR(VLOOKUP(F44,装备!$B:$E,3,FALSE),"")</f>
        <v/>
      </c>
      <c r="U44" s="35" t="str">
        <f>IFERROR(VLOOKUP(G44,装备!$B:$E,3,FALSE),"")</f>
        <v/>
      </c>
      <c r="V44" s="35" t="str">
        <f>IFERROR(VLOOKUP(H44,装备!$B:$E,3,FALSE),"")</f>
        <v/>
      </c>
      <c r="W44" s="30" t="str">
        <f t="shared" si="9"/>
        <v/>
      </c>
      <c r="X44" s="30" t="str">
        <f t="shared" si="10"/>
        <v/>
      </c>
      <c r="Y44" s="30" t="str">
        <f t="shared" si="11"/>
        <v/>
      </c>
      <c r="Z44" s="30" t="str">
        <f t="shared" si="12"/>
        <v/>
      </c>
      <c r="AA44" s="30" t="str">
        <f t="shared" si="13"/>
        <v/>
      </c>
      <c r="AB44" s="30" t="str">
        <f t="shared" si="14"/>
        <v>|n=0</v>
      </c>
    </row>
    <row r="45" spans="1:28">
      <c r="A45" s="31">
        <f>装备!A46</f>
        <v>0</v>
      </c>
      <c r="B45" s="31" t="str">
        <f>"'"&amp;装备!B46&amp;"'"</f>
        <v>'E119'</v>
      </c>
      <c r="C45" s="31">
        <f>装备!J46</f>
        <v>0</v>
      </c>
      <c r="D45" s="31">
        <f>装备!K46</f>
        <v>0</v>
      </c>
      <c r="E45" s="31">
        <f>装备!L46</f>
        <v>0</v>
      </c>
      <c r="F45" s="31">
        <f>装备!M46</f>
        <v>0</v>
      </c>
      <c r="G45" s="31">
        <f>装备!N46</f>
        <v>0</v>
      </c>
      <c r="H45" s="31">
        <f>装备!O46</f>
        <v>0</v>
      </c>
      <c r="I45" s="31">
        <f>IF(装备!J46=0,0,"'"&amp;装备!J46&amp;"'")</f>
        <v>0</v>
      </c>
      <c r="J45" s="31">
        <f>IF(装备!K46=0,0,"'"&amp;装备!K46&amp;"'")</f>
        <v>0</v>
      </c>
      <c r="K45" s="31">
        <f>IF(装备!L46=0,0,"'"&amp;装备!L46&amp;"'")</f>
        <v>0</v>
      </c>
      <c r="L45" s="31">
        <f>IF(装备!M46=0,0,"'"&amp;装备!M46&amp;"'")</f>
        <v>0</v>
      </c>
      <c r="M45" s="31">
        <f>IF(装备!N46=0,0,"'"&amp;装备!N46&amp;"'")</f>
        <v>0</v>
      </c>
      <c r="N45" s="31">
        <f>IF(装备!O46=0,0,"'"&amp;装备!O46&amp;"'")</f>
        <v>0</v>
      </c>
      <c r="O45" s="31" t="str">
        <f t="shared" si="8"/>
        <v/>
      </c>
      <c r="P45" s="31" t="str">
        <f t="shared" si="15"/>
        <v/>
      </c>
      <c r="Q45" s="35" t="str">
        <f>IFERROR(VLOOKUP(C45,装备!$B:$E,3,FALSE),"")</f>
        <v/>
      </c>
      <c r="R45" s="35" t="str">
        <f>IFERROR(VLOOKUP(D45,装备!$B:$E,3,FALSE),"")</f>
        <v/>
      </c>
      <c r="S45" s="35" t="str">
        <f>IFERROR(VLOOKUP(E45,装备!$B:$E,3,FALSE),"")</f>
        <v/>
      </c>
      <c r="T45" s="35" t="str">
        <f>IFERROR(VLOOKUP(F45,装备!$B:$E,3,FALSE),"")</f>
        <v/>
      </c>
      <c r="U45" s="35" t="str">
        <f>IFERROR(VLOOKUP(G45,装备!$B:$E,3,FALSE),"")</f>
        <v/>
      </c>
      <c r="V45" s="35" t="str">
        <f>IFERROR(VLOOKUP(H45,装备!$B:$E,3,FALSE),"")</f>
        <v/>
      </c>
      <c r="W45" s="30" t="str">
        <f t="shared" si="9"/>
        <v/>
      </c>
      <c r="X45" s="30" t="str">
        <f t="shared" si="10"/>
        <v/>
      </c>
      <c r="Y45" s="30" t="str">
        <f t="shared" si="11"/>
        <v/>
      </c>
      <c r="Z45" s="30" t="str">
        <f t="shared" si="12"/>
        <v/>
      </c>
      <c r="AA45" s="30" t="str">
        <f t="shared" si="13"/>
        <v/>
      </c>
      <c r="AB45" s="30" t="str">
        <f t="shared" si="14"/>
        <v>|n=0</v>
      </c>
    </row>
    <row r="46" spans="1:28">
      <c r="A46" s="31">
        <f>装备!A47</f>
        <v>0</v>
      </c>
      <c r="B46" s="31" t="str">
        <f>"'"&amp;装备!B47&amp;"'"</f>
        <v>'E120'</v>
      </c>
      <c r="C46" s="31">
        <f>装备!J47</f>
        <v>0</v>
      </c>
      <c r="D46" s="31">
        <f>装备!K47</f>
        <v>0</v>
      </c>
      <c r="E46" s="31">
        <f>装备!L47</f>
        <v>0</v>
      </c>
      <c r="F46" s="31">
        <f>装备!M47</f>
        <v>0</v>
      </c>
      <c r="G46" s="31">
        <f>装备!N47</f>
        <v>0</v>
      </c>
      <c r="H46" s="31">
        <f>装备!O47</f>
        <v>0</v>
      </c>
      <c r="I46" s="31">
        <f>IF(装备!J47=0,0,"'"&amp;装备!J47&amp;"'")</f>
        <v>0</v>
      </c>
      <c r="J46" s="31">
        <f>IF(装备!K47=0,0,"'"&amp;装备!K47&amp;"'")</f>
        <v>0</v>
      </c>
      <c r="K46" s="31">
        <f>IF(装备!L47=0,0,"'"&amp;装备!L47&amp;"'")</f>
        <v>0</v>
      </c>
      <c r="L46" s="31">
        <f>IF(装备!M47=0,0,"'"&amp;装备!M47&amp;"'")</f>
        <v>0</v>
      </c>
      <c r="M46" s="31">
        <f>IF(装备!N47=0,0,"'"&amp;装备!N47&amp;"'")</f>
        <v>0</v>
      </c>
      <c r="N46" s="31">
        <f>IF(装备!O47=0,0,"'"&amp;装备!O47&amp;"'")</f>
        <v>0</v>
      </c>
      <c r="O46" s="31" t="str">
        <f t="shared" ref="O46:O76" si="16">IF(I46=0,"","AddItemFormula("&amp;I46&amp;","&amp;J46&amp;","&amp;K46&amp;","&amp;L46&amp;","&amp;M46&amp;","&amp;N46&amp;","&amp;B46&amp;")")</f>
        <v/>
      </c>
      <c r="P46" s="31" t="str">
        <f t="shared" si="15"/>
        <v/>
      </c>
      <c r="Q46" s="35" t="str">
        <f>IFERROR(VLOOKUP(C46,装备!$B:$E,3,FALSE),"")</f>
        <v/>
      </c>
      <c r="R46" s="35" t="str">
        <f>IFERROR(VLOOKUP(D46,装备!$B:$E,3,FALSE),"")</f>
        <v/>
      </c>
      <c r="S46" s="35" t="str">
        <f>IFERROR(VLOOKUP(E46,装备!$B:$E,3,FALSE),"")</f>
        <v/>
      </c>
      <c r="T46" s="35" t="str">
        <f>IFERROR(VLOOKUP(F46,装备!$B:$E,3,FALSE),"")</f>
        <v/>
      </c>
      <c r="U46" s="35" t="str">
        <f>IFERROR(VLOOKUP(G46,装备!$B:$E,3,FALSE),"")</f>
        <v/>
      </c>
      <c r="V46" s="35" t="str">
        <f>IFERROR(VLOOKUP(H46,装备!$B:$E,3,FALSE),"")</f>
        <v/>
      </c>
      <c r="W46" s="30" t="str">
        <f t="shared" ref="W46:W76" si="17">IF(R46="","","+"&amp;R46)</f>
        <v/>
      </c>
      <c r="X46" s="30" t="str">
        <f t="shared" ref="X46:X76" si="18">IF(S46="","","+"&amp;S46)</f>
        <v/>
      </c>
      <c r="Y46" s="30" t="str">
        <f t="shared" ref="Y46:Y76" si="19">IF(T46="","","+"&amp;T46)</f>
        <v/>
      </c>
      <c r="Z46" s="30" t="str">
        <f t="shared" ref="Z46:Z76" si="20">IF(U46="","","+"&amp;U46)</f>
        <v/>
      </c>
      <c r="AA46" s="30" t="str">
        <f t="shared" ref="AA46:AA76" si="21">IF(V46="","","+"&amp;V46)</f>
        <v/>
      </c>
      <c r="AB46" s="30" t="str">
        <f t="shared" ref="AB46:AB76" si="22">"|n"&amp;Q46&amp;W46&amp;X46&amp;Y46&amp;Z46&amp;AA46&amp;"="&amp;A46</f>
        <v>|n=0</v>
      </c>
    </row>
    <row r="47" spans="1:28">
      <c r="A47" s="31">
        <f>装备!A48</f>
        <v>0</v>
      </c>
      <c r="B47" s="31" t="str">
        <f>"'"&amp;装备!B48&amp;"'"</f>
        <v>'E121'</v>
      </c>
      <c r="C47" s="31">
        <f>装备!J48</f>
        <v>0</v>
      </c>
      <c r="D47" s="31">
        <f>装备!K48</f>
        <v>0</v>
      </c>
      <c r="E47" s="31">
        <f>装备!L48</f>
        <v>0</v>
      </c>
      <c r="F47" s="31">
        <f>装备!M48</f>
        <v>0</v>
      </c>
      <c r="G47" s="31">
        <f>装备!N48</f>
        <v>0</v>
      </c>
      <c r="H47" s="31">
        <f>装备!O48</f>
        <v>0</v>
      </c>
      <c r="I47" s="31">
        <f>IF(装备!J48=0,0,"'"&amp;装备!J48&amp;"'")</f>
        <v>0</v>
      </c>
      <c r="J47" s="31">
        <f>IF(装备!K48=0,0,"'"&amp;装备!K48&amp;"'")</f>
        <v>0</v>
      </c>
      <c r="K47" s="31">
        <f>IF(装备!L48=0,0,"'"&amp;装备!L48&amp;"'")</f>
        <v>0</v>
      </c>
      <c r="L47" s="31">
        <f>IF(装备!M48=0,0,"'"&amp;装备!M48&amp;"'")</f>
        <v>0</v>
      </c>
      <c r="M47" s="31">
        <f>IF(装备!N48=0,0,"'"&amp;装备!N48&amp;"'")</f>
        <v>0</v>
      </c>
      <c r="N47" s="31">
        <f>IF(装备!O48=0,0,"'"&amp;装备!O48&amp;"'")</f>
        <v>0</v>
      </c>
      <c r="O47" s="31" t="str">
        <f t="shared" si="16"/>
        <v/>
      </c>
      <c r="P47" s="31" t="str">
        <f t="shared" si="15"/>
        <v/>
      </c>
      <c r="Q47" s="35" t="str">
        <f>IFERROR(VLOOKUP(C47,装备!$B:$E,3,FALSE),"")</f>
        <v/>
      </c>
      <c r="R47" s="35" t="str">
        <f>IFERROR(VLOOKUP(D47,装备!$B:$E,3,FALSE),"")</f>
        <v/>
      </c>
      <c r="S47" s="35" t="str">
        <f>IFERROR(VLOOKUP(E47,装备!$B:$E,3,FALSE),"")</f>
        <v/>
      </c>
      <c r="T47" s="35" t="str">
        <f>IFERROR(VLOOKUP(F47,装备!$B:$E,3,FALSE),"")</f>
        <v/>
      </c>
      <c r="U47" s="35" t="str">
        <f>IFERROR(VLOOKUP(G47,装备!$B:$E,3,FALSE),"")</f>
        <v/>
      </c>
      <c r="V47" s="35" t="str">
        <f>IFERROR(VLOOKUP(H47,装备!$B:$E,3,FALSE),"")</f>
        <v/>
      </c>
      <c r="W47" s="30" t="str">
        <f t="shared" si="17"/>
        <v/>
      </c>
      <c r="X47" s="30" t="str">
        <f t="shared" si="18"/>
        <v/>
      </c>
      <c r="Y47" s="30" t="str">
        <f t="shared" si="19"/>
        <v/>
      </c>
      <c r="Z47" s="30" t="str">
        <f t="shared" si="20"/>
        <v/>
      </c>
      <c r="AA47" s="30" t="str">
        <f t="shared" si="21"/>
        <v/>
      </c>
      <c r="AB47" s="30" t="str">
        <f t="shared" si="22"/>
        <v>|n=0</v>
      </c>
    </row>
    <row r="48" spans="1:28">
      <c r="A48" s="31">
        <f>装备!A49</f>
        <v>0</v>
      </c>
      <c r="B48" s="31" t="str">
        <f>"'"&amp;装备!B49&amp;"'"</f>
        <v>'E122'</v>
      </c>
      <c r="C48" s="31">
        <f>装备!J49</f>
        <v>0</v>
      </c>
      <c r="D48" s="31">
        <f>装备!K49</f>
        <v>0</v>
      </c>
      <c r="E48" s="31">
        <f>装备!L49</f>
        <v>0</v>
      </c>
      <c r="F48" s="31">
        <f>装备!M49</f>
        <v>0</v>
      </c>
      <c r="G48" s="31">
        <f>装备!N49</f>
        <v>0</v>
      </c>
      <c r="H48" s="31">
        <f>装备!O49</f>
        <v>0</v>
      </c>
      <c r="I48" s="31">
        <f>IF(装备!J49=0,0,"'"&amp;装备!J49&amp;"'")</f>
        <v>0</v>
      </c>
      <c r="J48" s="31">
        <f>IF(装备!K49=0,0,"'"&amp;装备!K49&amp;"'")</f>
        <v>0</v>
      </c>
      <c r="K48" s="31">
        <f>IF(装备!L49=0,0,"'"&amp;装备!L49&amp;"'")</f>
        <v>0</v>
      </c>
      <c r="L48" s="31">
        <f>IF(装备!M49=0,0,"'"&amp;装备!M49&amp;"'")</f>
        <v>0</v>
      </c>
      <c r="M48" s="31">
        <f>IF(装备!N49=0,0,"'"&amp;装备!N49&amp;"'")</f>
        <v>0</v>
      </c>
      <c r="N48" s="31">
        <f>IF(装备!O49=0,0,"'"&amp;装备!O49&amp;"'")</f>
        <v>0</v>
      </c>
      <c r="O48" s="31" t="str">
        <f t="shared" si="16"/>
        <v/>
      </c>
      <c r="P48" s="31" t="str">
        <f t="shared" si="15"/>
        <v/>
      </c>
      <c r="Q48" s="35" t="str">
        <f>IFERROR(VLOOKUP(C48,装备!$B:$E,3,FALSE),"")</f>
        <v/>
      </c>
      <c r="R48" s="35" t="str">
        <f>IFERROR(VLOOKUP(D48,装备!$B:$E,3,FALSE),"")</f>
        <v/>
      </c>
      <c r="S48" s="35" t="str">
        <f>IFERROR(VLOOKUP(E48,装备!$B:$E,3,FALSE),"")</f>
        <v/>
      </c>
      <c r="T48" s="35" t="str">
        <f>IFERROR(VLOOKUP(F48,装备!$B:$E,3,FALSE),"")</f>
        <v/>
      </c>
      <c r="U48" s="35" t="str">
        <f>IFERROR(VLOOKUP(G48,装备!$B:$E,3,FALSE),"")</f>
        <v/>
      </c>
      <c r="V48" s="35" t="str">
        <f>IFERROR(VLOOKUP(H48,装备!$B:$E,3,FALSE),"")</f>
        <v/>
      </c>
      <c r="W48" s="30" t="str">
        <f t="shared" si="17"/>
        <v/>
      </c>
      <c r="X48" s="30" t="str">
        <f t="shared" si="18"/>
        <v/>
      </c>
      <c r="Y48" s="30" t="str">
        <f t="shared" si="19"/>
        <v/>
      </c>
      <c r="Z48" s="30" t="str">
        <f t="shared" si="20"/>
        <v/>
      </c>
      <c r="AA48" s="30" t="str">
        <f t="shared" si="21"/>
        <v/>
      </c>
      <c r="AB48" s="30" t="str">
        <f t="shared" si="22"/>
        <v>|n=0</v>
      </c>
    </row>
    <row r="49" spans="1:28">
      <c r="A49" s="31">
        <f>装备!A50</f>
        <v>0</v>
      </c>
      <c r="B49" s="31" t="str">
        <f>"'"&amp;装备!B50&amp;"'"</f>
        <v>'E123'</v>
      </c>
      <c r="C49" s="31">
        <f>装备!J50</f>
        <v>0</v>
      </c>
      <c r="D49" s="31">
        <f>装备!K50</f>
        <v>0</v>
      </c>
      <c r="E49" s="31">
        <f>装备!L50</f>
        <v>0</v>
      </c>
      <c r="F49" s="31">
        <f>装备!M50</f>
        <v>0</v>
      </c>
      <c r="G49" s="31">
        <f>装备!N50</f>
        <v>0</v>
      </c>
      <c r="H49" s="31">
        <f>装备!O50</f>
        <v>0</v>
      </c>
      <c r="I49" s="31">
        <f>IF(装备!J50=0,0,"'"&amp;装备!J50&amp;"'")</f>
        <v>0</v>
      </c>
      <c r="J49" s="31">
        <f>IF(装备!K50=0,0,"'"&amp;装备!K50&amp;"'")</f>
        <v>0</v>
      </c>
      <c r="K49" s="31">
        <f>IF(装备!L50=0,0,"'"&amp;装备!L50&amp;"'")</f>
        <v>0</v>
      </c>
      <c r="L49" s="31">
        <f>IF(装备!M50=0,0,"'"&amp;装备!M50&amp;"'")</f>
        <v>0</v>
      </c>
      <c r="M49" s="31">
        <f>IF(装备!N50=0,0,"'"&amp;装备!N50&amp;"'")</f>
        <v>0</v>
      </c>
      <c r="N49" s="31">
        <f>IF(装备!O50=0,0,"'"&amp;装备!O50&amp;"'")</f>
        <v>0</v>
      </c>
      <c r="O49" s="31" t="str">
        <f t="shared" si="16"/>
        <v/>
      </c>
      <c r="P49" s="31" t="str">
        <f t="shared" si="15"/>
        <v/>
      </c>
      <c r="Q49" s="35" t="str">
        <f>IFERROR(VLOOKUP(C49,装备!$B:$E,3,FALSE),"")</f>
        <v/>
      </c>
      <c r="R49" s="35" t="str">
        <f>IFERROR(VLOOKUP(D49,装备!$B:$E,3,FALSE),"")</f>
        <v/>
      </c>
      <c r="S49" s="35" t="str">
        <f>IFERROR(VLOOKUP(E49,装备!$B:$E,3,FALSE),"")</f>
        <v/>
      </c>
      <c r="T49" s="35" t="str">
        <f>IFERROR(VLOOKUP(F49,装备!$B:$E,3,FALSE),"")</f>
        <v/>
      </c>
      <c r="U49" s="35" t="str">
        <f>IFERROR(VLOOKUP(G49,装备!$B:$E,3,FALSE),"")</f>
        <v/>
      </c>
      <c r="V49" s="35" t="str">
        <f>IFERROR(VLOOKUP(H49,装备!$B:$E,3,FALSE),"")</f>
        <v/>
      </c>
      <c r="W49" s="30" t="str">
        <f t="shared" si="17"/>
        <v/>
      </c>
      <c r="X49" s="30" t="str">
        <f t="shared" si="18"/>
        <v/>
      </c>
      <c r="Y49" s="30" t="str">
        <f t="shared" si="19"/>
        <v/>
      </c>
      <c r="Z49" s="30" t="str">
        <f t="shared" si="20"/>
        <v/>
      </c>
      <c r="AA49" s="30" t="str">
        <f t="shared" si="21"/>
        <v/>
      </c>
      <c r="AB49" s="30" t="str">
        <f t="shared" si="22"/>
        <v>|n=0</v>
      </c>
    </row>
    <row r="50" spans="1:28">
      <c r="A50" s="31">
        <f>装备!A51</f>
        <v>0</v>
      </c>
      <c r="B50" s="31" t="str">
        <f>"'"&amp;装备!B51&amp;"'"</f>
        <v>'E124'</v>
      </c>
      <c r="C50" s="31">
        <f>装备!J51</f>
        <v>0</v>
      </c>
      <c r="D50" s="31">
        <f>装备!K51</f>
        <v>0</v>
      </c>
      <c r="E50" s="31">
        <f>装备!L51</f>
        <v>0</v>
      </c>
      <c r="F50" s="31">
        <f>装备!M51</f>
        <v>0</v>
      </c>
      <c r="G50" s="31">
        <f>装备!N51</f>
        <v>0</v>
      </c>
      <c r="H50" s="31">
        <f>装备!O51</f>
        <v>0</v>
      </c>
      <c r="I50" s="31">
        <f>IF(装备!J51=0,0,"'"&amp;装备!J51&amp;"'")</f>
        <v>0</v>
      </c>
      <c r="J50" s="31">
        <f>IF(装备!K51=0,0,"'"&amp;装备!K51&amp;"'")</f>
        <v>0</v>
      </c>
      <c r="K50" s="31">
        <f>IF(装备!L51=0,0,"'"&amp;装备!L51&amp;"'")</f>
        <v>0</v>
      </c>
      <c r="L50" s="31">
        <f>IF(装备!M51=0,0,"'"&amp;装备!M51&amp;"'")</f>
        <v>0</v>
      </c>
      <c r="M50" s="31">
        <f>IF(装备!N51=0,0,"'"&amp;装备!N51&amp;"'")</f>
        <v>0</v>
      </c>
      <c r="N50" s="31">
        <f>IF(装备!O51=0,0,"'"&amp;装备!O51&amp;"'")</f>
        <v>0</v>
      </c>
      <c r="O50" s="31" t="str">
        <f t="shared" si="16"/>
        <v/>
      </c>
      <c r="P50" s="31" t="str">
        <f t="shared" si="15"/>
        <v/>
      </c>
      <c r="Q50" s="35" t="str">
        <f>IFERROR(VLOOKUP(C50,装备!$B:$E,3,FALSE),"")</f>
        <v/>
      </c>
      <c r="R50" s="35" t="str">
        <f>IFERROR(VLOOKUP(D50,装备!$B:$E,3,FALSE),"")</f>
        <v/>
      </c>
      <c r="S50" s="35" t="str">
        <f>IFERROR(VLOOKUP(E50,装备!$B:$E,3,FALSE),"")</f>
        <v/>
      </c>
      <c r="T50" s="35" t="str">
        <f>IFERROR(VLOOKUP(F50,装备!$B:$E,3,FALSE),"")</f>
        <v/>
      </c>
      <c r="U50" s="35" t="str">
        <f>IFERROR(VLOOKUP(G50,装备!$B:$E,3,FALSE),"")</f>
        <v/>
      </c>
      <c r="V50" s="35" t="str">
        <f>IFERROR(VLOOKUP(H50,装备!$B:$E,3,FALSE),"")</f>
        <v/>
      </c>
      <c r="W50" s="30" t="str">
        <f t="shared" si="17"/>
        <v/>
      </c>
      <c r="X50" s="30" t="str">
        <f t="shared" si="18"/>
        <v/>
      </c>
      <c r="Y50" s="30" t="str">
        <f t="shared" si="19"/>
        <v/>
      </c>
      <c r="Z50" s="30" t="str">
        <f t="shared" si="20"/>
        <v/>
      </c>
      <c r="AA50" s="30" t="str">
        <f t="shared" si="21"/>
        <v/>
      </c>
      <c r="AB50" s="30" t="str">
        <f t="shared" si="22"/>
        <v>|n=0</v>
      </c>
    </row>
    <row r="51" spans="1:28">
      <c r="A51" s="31">
        <f>装备!A52</f>
        <v>0</v>
      </c>
      <c r="B51" s="31" t="str">
        <f>"'"&amp;装备!B52&amp;"'"</f>
        <v>'E125'</v>
      </c>
      <c r="C51" s="31">
        <f>装备!J52</f>
        <v>0</v>
      </c>
      <c r="D51" s="31">
        <f>装备!K52</f>
        <v>0</v>
      </c>
      <c r="E51" s="31">
        <f>装备!L52</f>
        <v>0</v>
      </c>
      <c r="F51" s="31">
        <f>装备!M52</f>
        <v>0</v>
      </c>
      <c r="G51" s="31">
        <f>装备!N52</f>
        <v>0</v>
      </c>
      <c r="H51" s="31">
        <f>装备!O52</f>
        <v>0</v>
      </c>
      <c r="I51" s="31">
        <f>IF(装备!J52=0,0,"'"&amp;装备!J52&amp;"'")</f>
        <v>0</v>
      </c>
      <c r="J51" s="31">
        <f>IF(装备!K52=0,0,"'"&amp;装备!K52&amp;"'")</f>
        <v>0</v>
      </c>
      <c r="K51" s="31">
        <f>IF(装备!L52=0,0,"'"&amp;装备!L52&amp;"'")</f>
        <v>0</v>
      </c>
      <c r="L51" s="31">
        <f>IF(装备!M52=0,0,"'"&amp;装备!M52&amp;"'")</f>
        <v>0</v>
      </c>
      <c r="M51" s="31">
        <f>IF(装备!N52=0,0,"'"&amp;装备!N52&amp;"'")</f>
        <v>0</v>
      </c>
      <c r="N51" s="31">
        <f>IF(装备!O52=0,0,"'"&amp;装备!O52&amp;"'")</f>
        <v>0</v>
      </c>
      <c r="O51" s="31" t="str">
        <f t="shared" si="16"/>
        <v/>
      </c>
      <c r="P51" s="31" t="str">
        <f t="shared" si="15"/>
        <v/>
      </c>
      <c r="Q51" s="35" t="str">
        <f>IFERROR(VLOOKUP(C51,装备!$B:$E,3,FALSE),"")</f>
        <v/>
      </c>
      <c r="R51" s="35" t="str">
        <f>IFERROR(VLOOKUP(D51,装备!$B:$E,3,FALSE),"")</f>
        <v/>
      </c>
      <c r="S51" s="35" t="str">
        <f>IFERROR(VLOOKUP(E51,装备!$B:$E,3,FALSE),"")</f>
        <v/>
      </c>
      <c r="T51" s="35" t="str">
        <f>IFERROR(VLOOKUP(F51,装备!$B:$E,3,FALSE),"")</f>
        <v/>
      </c>
      <c r="U51" s="35" t="str">
        <f>IFERROR(VLOOKUP(G51,装备!$B:$E,3,FALSE),"")</f>
        <v/>
      </c>
      <c r="V51" s="35" t="str">
        <f>IFERROR(VLOOKUP(H51,装备!$B:$E,3,FALSE),"")</f>
        <v/>
      </c>
      <c r="W51" s="30" t="str">
        <f t="shared" si="17"/>
        <v/>
      </c>
      <c r="X51" s="30" t="str">
        <f t="shared" si="18"/>
        <v/>
      </c>
      <c r="Y51" s="30" t="str">
        <f t="shared" si="19"/>
        <v/>
      </c>
      <c r="Z51" s="30" t="str">
        <f t="shared" si="20"/>
        <v/>
      </c>
      <c r="AA51" s="30" t="str">
        <f t="shared" si="21"/>
        <v/>
      </c>
      <c r="AB51" s="30" t="str">
        <f t="shared" si="22"/>
        <v>|n=0</v>
      </c>
    </row>
    <row r="52" spans="1:28">
      <c r="A52" s="31">
        <f>装备!A53</f>
        <v>0</v>
      </c>
      <c r="B52" s="31" t="str">
        <f>"'"&amp;装备!B53&amp;"'"</f>
        <v>'E201'</v>
      </c>
      <c r="C52" s="31">
        <f>装备!J53</f>
        <v>0</v>
      </c>
      <c r="D52" s="31">
        <f>装备!K53</f>
        <v>0</v>
      </c>
      <c r="E52" s="31">
        <f>装备!L53</f>
        <v>0</v>
      </c>
      <c r="F52" s="31">
        <f>装备!M53</f>
        <v>0</v>
      </c>
      <c r="G52" s="31">
        <f>装备!N53</f>
        <v>0</v>
      </c>
      <c r="H52" s="31">
        <f>装备!O53</f>
        <v>0</v>
      </c>
      <c r="I52" s="31">
        <f>IF(装备!J53=0,0,"'"&amp;装备!J53&amp;"'")</f>
        <v>0</v>
      </c>
      <c r="J52" s="31">
        <f>IF(装备!K53=0,0,"'"&amp;装备!K53&amp;"'")</f>
        <v>0</v>
      </c>
      <c r="K52" s="31">
        <f>IF(装备!L53=0,0,"'"&amp;装备!L53&amp;"'")</f>
        <v>0</v>
      </c>
      <c r="L52" s="31">
        <f>IF(装备!M53=0,0,"'"&amp;装备!M53&amp;"'")</f>
        <v>0</v>
      </c>
      <c r="M52" s="31">
        <f>IF(装备!N53=0,0,"'"&amp;装备!N53&amp;"'")</f>
        <v>0</v>
      </c>
      <c r="N52" s="31">
        <f>IF(装备!O53=0,0,"'"&amp;装备!O53&amp;"'")</f>
        <v>0</v>
      </c>
      <c r="O52" s="31" t="str">
        <f t="shared" si="16"/>
        <v/>
      </c>
      <c r="P52" s="31" t="str">
        <f t="shared" si="15"/>
        <v/>
      </c>
      <c r="Q52" s="35" t="str">
        <f>IFERROR(VLOOKUP(C52,装备!$B:$E,3,FALSE),"")</f>
        <v/>
      </c>
      <c r="R52" s="35" t="str">
        <f>IFERROR(VLOOKUP(D52,装备!$B:$E,3,FALSE),"")</f>
        <v/>
      </c>
      <c r="S52" s="35" t="str">
        <f>IFERROR(VLOOKUP(E52,装备!$B:$E,3,FALSE),"")</f>
        <v/>
      </c>
      <c r="T52" s="35" t="str">
        <f>IFERROR(VLOOKUP(F52,装备!$B:$E,3,FALSE),"")</f>
        <v/>
      </c>
      <c r="U52" s="35" t="str">
        <f>IFERROR(VLOOKUP(G52,装备!$B:$E,3,FALSE),"")</f>
        <v/>
      </c>
      <c r="V52" s="35" t="str">
        <f>IFERROR(VLOOKUP(H52,装备!$B:$E,3,FALSE),"")</f>
        <v/>
      </c>
      <c r="W52" s="30" t="str">
        <f t="shared" si="17"/>
        <v/>
      </c>
      <c r="X52" s="30" t="str">
        <f t="shared" si="18"/>
        <v/>
      </c>
      <c r="Y52" s="30" t="str">
        <f t="shared" si="19"/>
        <v/>
      </c>
      <c r="Z52" s="30" t="str">
        <f t="shared" si="20"/>
        <v/>
      </c>
      <c r="AA52" s="30" t="str">
        <f t="shared" si="21"/>
        <v/>
      </c>
      <c r="AB52" s="30" t="str">
        <f t="shared" si="22"/>
        <v>|n=0</v>
      </c>
    </row>
    <row r="53" spans="1:28">
      <c r="A53" s="31">
        <f>装备!A54</f>
        <v>0</v>
      </c>
      <c r="B53" s="31" t="str">
        <f>"'"&amp;装备!B54&amp;"'"</f>
        <v>'E202'</v>
      </c>
      <c r="C53" s="31">
        <f>装备!J54</f>
        <v>0</v>
      </c>
      <c r="D53" s="31">
        <f>装备!K54</f>
        <v>0</v>
      </c>
      <c r="E53" s="31">
        <f>装备!L54</f>
        <v>0</v>
      </c>
      <c r="F53" s="31">
        <f>装备!M54</f>
        <v>0</v>
      </c>
      <c r="G53" s="31">
        <f>装备!N54</f>
        <v>0</v>
      </c>
      <c r="H53" s="31">
        <f>装备!O54</f>
        <v>0</v>
      </c>
      <c r="I53" s="31">
        <f>IF(装备!J54=0,0,"'"&amp;装备!J54&amp;"'")</f>
        <v>0</v>
      </c>
      <c r="J53" s="31">
        <f>IF(装备!K54=0,0,"'"&amp;装备!K54&amp;"'")</f>
        <v>0</v>
      </c>
      <c r="K53" s="31">
        <f>IF(装备!L54=0,0,"'"&amp;装备!L54&amp;"'")</f>
        <v>0</v>
      </c>
      <c r="L53" s="31">
        <f>IF(装备!M54=0,0,"'"&amp;装备!M54&amp;"'")</f>
        <v>0</v>
      </c>
      <c r="M53" s="31">
        <f>IF(装备!N54=0,0,"'"&amp;装备!N54&amp;"'")</f>
        <v>0</v>
      </c>
      <c r="N53" s="31">
        <f>IF(装备!O54=0,0,"'"&amp;装备!O54&amp;"'")</f>
        <v>0</v>
      </c>
      <c r="O53" s="31" t="str">
        <f t="shared" si="16"/>
        <v/>
      </c>
      <c r="P53" s="31" t="str">
        <f t="shared" si="15"/>
        <v/>
      </c>
      <c r="Q53" s="35" t="str">
        <f>IFERROR(VLOOKUP(C53,装备!$B:$E,3,FALSE),"")</f>
        <v/>
      </c>
      <c r="R53" s="35" t="str">
        <f>IFERROR(VLOOKUP(D53,装备!$B:$E,3,FALSE),"")</f>
        <v/>
      </c>
      <c r="S53" s="35" t="str">
        <f>IFERROR(VLOOKUP(E53,装备!$B:$E,3,FALSE),"")</f>
        <v/>
      </c>
      <c r="T53" s="35" t="str">
        <f>IFERROR(VLOOKUP(F53,装备!$B:$E,3,FALSE),"")</f>
        <v/>
      </c>
      <c r="U53" s="35" t="str">
        <f>IFERROR(VLOOKUP(G53,装备!$B:$E,3,FALSE),"")</f>
        <v/>
      </c>
      <c r="V53" s="35" t="str">
        <f>IFERROR(VLOOKUP(H53,装备!$B:$E,3,FALSE),"")</f>
        <v/>
      </c>
      <c r="W53" s="30" t="str">
        <f t="shared" si="17"/>
        <v/>
      </c>
      <c r="X53" s="30" t="str">
        <f t="shared" si="18"/>
        <v/>
      </c>
      <c r="Y53" s="30" t="str">
        <f t="shared" si="19"/>
        <v/>
      </c>
      <c r="Z53" s="30" t="str">
        <f t="shared" si="20"/>
        <v/>
      </c>
      <c r="AA53" s="30" t="str">
        <f t="shared" si="21"/>
        <v/>
      </c>
      <c r="AB53" s="30" t="str">
        <f t="shared" si="22"/>
        <v>|n=0</v>
      </c>
    </row>
    <row r="54" spans="1:28">
      <c r="A54" s="31">
        <f>装备!A55</f>
        <v>0</v>
      </c>
      <c r="B54" s="31" t="str">
        <f>"'"&amp;装备!B55&amp;"'"</f>
        <v>'E203'</v>
      </c>
      <c r="C54" s="31">
        <f>装备!J55</f>
        <v>0</v>
      </c>
      <c r="D54" s="31">
        <f>装备!K55</f>
        <v>0</v>
      </c>
      <c r="E54" s="31">
        <f>装备!L55</f>
        <v>0</v>
      </c>
      <c r="F54" s="31">
        <f>装备!M55</f>
        <v>0</v>
      </c>
      <c r="G54" s="31">
        <f>装备!N55</f>
        <v>0</v>
      </c>
      <c r="H54" s="31">
        <f>装备!O55</f>
        <v>0</v>
      </c>
      <c r="I54" s="31">
        <f>IF(装备!J55=0,0,"'"&amp;装备!J55&amp;"'")</f>
        <v>0</v>
      </c>
      <c r="J54" s="31">
        <f>IF(装备!K55=0,0,"'"&amp;装备!K55&amp;"'")</f>
        <v>0</v>
      </c>
      <c r="K54" s="31">
        <f>IF(装备!L55=0,0,"'"&amp;装备!L55&amp;"'")</f>
        <v>0</v>
      </c>
      <c r="L54" s="31">
        <f>IF(装备!M55=0,0,"'"&amp;装备!M55&amp;"'")</f>
        <v>0</v>
      </c>
      <c r="M54" s="31">
        <f>IF(装备!N55=0,0,"'"&amp;装备!N55&amp;"'")</f>
        <v>0</v>
      </c>
      <c r="N54" s="31">
        <f>IF(装备!O55=0,0,"'"&amp;装备!O55&amp;"'")</f>
        <v>0</v>
      </c>
      <c r="O54" s="31" t="str">
        <f t="shared" si="16"/>
        <v/>
      </c>
      <c r="P54" s="31" t="str">
        <f t="shared" si="15"/>
        <v/>
      </c>
      <c r="Q54" s="35" t="str">
        <f>IFERROR(VLOOKUP(C54,装备!$B:$E,3,FALSE),"")</f>
        <v/>
      </c>
      <c r="R54" s="35" t="str">
        <f>IFERROR(VLOOKUP(D54,装备!$B:$E,3,FALSE),"")</f>
        <v/>
      </c>
      <c r="S54" s="35" t="str">
        <f>IFERROR(VLOOKUP(E54,装备!$B:$E,3,FALSE),"")</f>
        <v/>
      </c>
      <c r="T54" s="35" t="str">
        <f>IFERROR(VLOOKUP(F54,装备!$B:$E,3,FALSE),"")</f>
        <v/>
      </c>
      <c r="U54" s="35" t="str">
        <f>IFERROR(VLOOKUP(G54,装备!$B:$E,3,FALSE),"")</f>
        <v/>
      </c>
      <c r="V54" s="35" t="str">
        <f>IFERROR(VLOOKUP(H54,装备!$B:$E,3,FALSE),"")</f>
        <v/>
      </c>
      <c r="W54" s="30" t="str">
        <f t="shared" si="17"/>
        <v/>
      </c>
      <c r="X54" s="30" t="str">
        <f t="shared" si="18"/>
        <v/>
      </c>
      <c r="Y54" s="30" t="str">
        <f t="shared" si="19"/>
        <v/>
      </c>
      <c r="Z54" s="30" t="str">
        <f t="shared" si="20"/>
        <v/>
      </c>
      <c r="AA54" s="30" t="str">
        <f t="shared" si="21"/>
        <v/>
      </c>
      <c r="AB54" s="30" t="str">
        <f t="shared" si="22"/>
        <v>|n=0</v>
      </c>
    </row>
    <row r="55" spans="1:28">
      <c r="A55" s="31">
        <f>装备!A56</f>
        <v>0</v>
      </c>
      <c r="B55" s="31" t="str">
        <f>"'"&amp;装备!B56&amp;"'"</f>
        <v>'E204'</v>
      </c>
      <c r="C55" s="31">
        <f>装备!J56</f>
        <v>0</v>
      </c>
      <c r="D55" s="31">
        <f>装备!K56</f>
        <v>0</v>
      </c>
      <c r="E55" s="31">
        <f>装备!L56</f>
        <v>0</v>
      </c>
      <c r="F55" s="31">
        <f>装备!M56</f>
        <v>0</v>
      </c>
      <c r="G55" s="31">
        <f>装备!N56</f>
        <v>0</v>
      </c>
      <c r="H55" s="31">
        <f>装备!O56</f>
        <v>0</v>
      </c>
      <c r="I55" s="31">
        <f>IF(装备!J56=0,0,"'"&amp;装备!J56&amp;"'")</f>
        <v>0</v>
      </c>
      <c r="J55" s="31">
        <f>IF(装备!K56=0,0,"'"&amp;装备!K56&amp;"'")</f>
        <v>0</v>
      </c>
      <c r="K55" s="31">
        <f>IF(装备!L56=0,0,"'"&amp;装备!L56&amp;"'")</f>
        <v>0</v>
      </c>
      <c r="L55" s="31">
        <f>IF(装备!M56=0,0,"'"&amp;装备!M56&amp;"'")</f>
        <v>0</v>
      </c>
      <c r="M55" s="31">
        <f>IF(装备!N56=0,0,"'"&amp;装备!N56&amp;"'")</f>
        <v>0</v>
      </c>
      <c r="N55" s="31">
        <f>IF(装备!O56=0,0,"'"&amp;装备!O56&amp;"'")</f>
        <v>0</v>
      </c>
      <c r="O55" s="31" t="str">
        <f t="shared" si="16"/>
        <v/>
      </c>
      <c r="P55" s="31" t="str">
        <f t="shared" si="15"/>
        <v/>
      </c>
      <c r="Q55" s="35" t="str">
        <f>IFERROR(VLOOKUP(C55,装备!$B:$E,3,FALSE),"")</f>
        <v/>
      </c>
      <c r="R55" s="35" t="str">
        <f>IFERROR(VLOOKUP(D55,装备!$B:$E,3,FALSE),"")</f>
        <v/>
      </c>
      <c r="S55" s="35" t="str">
        <f>IFERROR(VLOOKUP(E55,装备!$B:$E,3,FALSE),"")</f>
        <v/>
      </c>
      <c r="T55" s="35" t="str">
        <f>IFERROR(VLOOKUP(F55,装备!$B:$E,3,FALSE),"")</f>
        <v/>
      </c>
      <c r="U55" s="35" t="str">
        <f>IFERROR(VLOOKUP(G55,装备!$B:$E,3,FALSE),"")</f>
        <v/>
      </c>
      <c r="V55" s="35" t="str">
        <f>IFERROR(VLOOKUP(H55,装备!$B:$E,3,FALSE),"")</f>
        <v/>
      </c>
      <c r="W55" s="30" t="str">
        <f t="shared" si="17"/>
        <v/>
      </c>
      <c r="X55" s="30" t="str">
        <f t="shared" si="18"/>
        <v/>
      </c>
      <c r="Y55" s="30" t="str">
        <f t="shared" si="19"/>
        <v/>
      </c>
      <c r="Z55" s="30" t="str">
        <f t="shared" si="20"/>
        <v/>
      </c>
      <c r="AA55" s="30" t="str">
        <f t="shared" si="21"/>
        <v/>
      </c>
      <c r="AB55" s="30" t="str">
        <f t="shared" si="22"/>
        <v>|n=0</v>
      </c>
    </row>
    <row r="56" spans="1:28">
      <c r="A56" s="31">
        <f>装备!A57</f>
        <v>0</v>
      </c>
      <c r="B56" s="31" t="str">
        <f>"'"&amp;装备!B57&amp;"'"</f>
        <v>'E205'</v>
      </c>
      <c r="C56" s="31">
        <f>装备!J57</f>
        <v>0</v>
      </c>
      <c r="D56" s="31">
        <f>装备!K57</f>
        <v>0</v>
      </c>
      <c r="E56" s="31">
        <f>装备!L57</f>
        <v>0</v>
      </c>
      <c r="F56" s="31">
        <f>装备!M57</f>
        <v>0</v>
      </c>
      <c r="G56" s="31">
        <f>装备!N57</f>
        <v>0</v>
      </c>
      <c r="H56" s="31">
        <f>装备!O57</f>
        <v>0</v>
      </c>
      <c r="I56" s="31">
        <f>IF(装备!J57=0,0,"'"&amp;装备!J57&amp;"'")</f>
        <v>0</v>
      </c>
      <c r="J56" s="31">
        <f>IF(装备!K57=0,0,"'"&amp;装备!K57&amp;"'")</f>
        <v>0</v>
      </c>
      <c r="K56" s="31">
        <f>IF(装备!L57=0,0,"'"&amp;装备!L57&amp;"'")</f>
        <v>0</v>
      </c>
      <c r="L56" s="31">
        <f>IF(装备!M57=0,0,"'"&amp;装备!M57&amp;"'")</f>
        <v>0</v>
      </c>
      <c r="M56" s="31">
        <f>IF(装备!N57=0,0,"'"&amp;装备!N57&amp;"'")</f>
        <v>0</v>
      </c>
      <c r="N56" s="31">
        <f>IF(装备!O57=0,0,"'"&amp;装备!O57&amp;"'")</f>
        <v>0</v>
      </c>
      <c r="O56" s="31" t="str">
        <f t="shared" si="16"/>
        <v/>
      </c>
      <c r="P56" s="31" t="str">
        <f t="shared" si="15"/>
        <v/>
      </c>
      <c r="Q56" s="35" t="str">
        <f>IFERROR(VLOOKUP(C56,装备!$B:$E,3,FALSE),"")</f>
        <v/>
      </c>
      <c r="R56" s="35" t="str">
        <f>IFERROR(VLOOKUP(D56,装备!$B:$E,3,FALSE),"")</f>
        <v/>
      </c>
      <c r="S56" s="35" t="str">
        <f>IFERROR(VLOOKUP(E56,装备!$B:$E,3,FALSE),"")</f>
        <v/>
      </c>
      <c r="T56" s="35" t="str">
        <f>IFERROR(VLOOKUP(F56,装备!$B:$E,3,FALSE),"")</f>
        <v/>
      </c>
      <c r="U56" s="35" t="str">
        <f>IFERROR(VLOOKUP(G56,装备!$B:$E,3,FALSE),"")</f>
        <v/>
      </c>
      <c r="V56" s="35" t="str">
        <f>IFERROR(VLOOKUP(H56,装备!$B:$E,3,FALSE),"")</f>
        <v/>
      </c>
      <c r="W56" s="30" t="str">
        <f t="shared" si="17"/>
        <v/>
      </c>
      <c r="X56" s="30" t="str">
        <f t="shared" si="18"/>
        <v/>
      </c>
      <c r="Y56" s="30" t="str">
        <f t="shared" si="19"/>
        <v/>
      </c>
      <c r="Z56" s="30" t="str">
        <f t="shared" si="20"/>
        <v/>
      </c>
      <c r="AA56" s="30" t="str">
        <f t="shared" si="21"/>
        <v/>
      </c>
      <c r="AB56" s="30" t="str">
        <f t="shared" si="22"/>
        <v>|n=0</v>
      </c>
    </row>
    <row r="57" spans="1:28">
      <c r="A57" s="31">
        <f>装备!A58</f>
        <v>0</v>
      </c>
      <c r="B57" s="31" t="str">
        <f>"'"&amp;装备!B58&amp;"'"</f>
        <v>'E206'</v>
      </c>
      <c r="C57" s="31">
        <f>装备!J58</f>
        <v>0</v>
      </c>
      <c r="D57" s="31">
        <f>装备!K58</f>
        <v>0</v>
      </c>
      <c r="E57" s="31">
        <f>装备!L58</f>
        <v>0</v>
      </c>
      <c r="F57" s="31">
        <f>装备!M58</f>
        <v>0</v>
      </c>
      <c r="G57" s="31">
        <f>装备!N58</f>
        <v>0</v>
      </c>
      <c r="H57" s="31">
        <f>装备!O58</f>
        <v>0</v>
      </c>
      <c r="I57" s="31">
        <f>IF(装备!J58=0,0,"'"&amp;装备!J58&amp;"'")</f>
        <v>0</v>
      </c>
      <c r="J57" s="31">
        <f>IF(装备!K58=0,0,"'"&amp;装备!K58&amp;"'")</f>
        <v>0</v>
      </c>
      <c r="K57" s="31">
        <f>IF(装备!L58=0,0,"'"&amp;装备!L58&amp;"'")</f>
        <v>0</v>
      </c>
      <c r="L57" s="31">
        <f>IF(装备!M58=0,0,"'"&amp;装备!M58&amp;"'")</f>
        <v>0</v>
      </c>
      <c r="M57" s="31">
        <f>IF(装备!N58=0,0,"'"&amp;装备!N58&amp;"'")</f>
        <v>0</v>
      </c>
      <c r="N57" s="31">
        <f>IF(装备!O58=0,0,"'"&amp;装备!O58&amp;"'")</f>
        <v>0</v>
      </c>
      <c r="O57" s="31" t="str">
        <f t="shared" si="16"/>
        <v/>
      </c>
      <c r="P57" s="31" t="str">
        <f t="shared" si="15"/>
        <v/>
      </c>
      <c r="Q57" s="35" t="str">
        <f>IFERROR(VLOOKUP(C57,装备!$B:$E,3,FALSE),"")</f>
        <v/>
      </c>
      <c r="R57" s="35" t="str">
        <f>IFERROR(VLOOKUP(D57,装备!$B:$E,3,FALSE),"")</f>
        <v/>
      </c>
      <c r="S57" s="35" t="str">
        <f>IFERROR(VLOOKUP(E57,装备!$B:$E,3,FALSE),"")</f>
        <v/>
      </c>
      <c r="T57" s="35" t="str">
        <f>IFERROR(VLOOKUP(F57,装备!$B:$E,3,FALSE),"")</f>
        <v/>
      </c>
      <c r="U57" s="35" t="str">
        <f>IFERROR(VLOOKUP(G57,装备!$B:$E,3,FALSE),"")</f>
        <v/>
      </c>
      <c r="V57" s="35" t="str">
        <f>IFERROR(VLOOKUP(H57,装备!$B:$E,3,FALSE),"")</f>
        <v/>
      </c>
      <c r="W57" s="30" t="str">
        <f t="shared" si="17"/>
        <v/>
      </c>
      <c r="X57" s="30" t="str">
        <f t="shared" si="18"/>
        <v/>
      </c>
      <c r="Y57" s="30" t="str">
        <f t="shared" si="19"/>
        <v/>
      </c>
      <c r="Z57" s="30" t="str">
        <f t="shared" si="20"/>
        <v/>
      </c>
      <c r="AA57" s="30" t="str">
        <f t="shared" si="21"/>
        <v/>
      </c>
      <c r="AB57" s="30" t="str">
        <f t="shared" si="22"/>
        <v>|n=0</v>
      </c>
    </row>
    <row r="58" spans="1:28">
      <c r="A58" s="31">
        <f>装备!A59</f>
        <v>0</v>
      </c>
      <c r="B58" s="31" t="str">
        <f>"'"&amp;装备!B59&amp;"'"</f>
        <v>'E207'</v>
      </c>
      <c r="C58" s="31">
        <f>装备!J59</f>
        <v>0</v>
      </c>
      <c r="D58" s="31">
        <f>装备!K59</f>
        <v>0</v>
      </c>
      <c r="E58" s="31">
        <f>装备!L59</f>
        <v>0</v>
      </c>
      <c r="F58" s="31">
        <f>装备!M59</f>
        <v>0</v>
      </c>
      <c r="G58" s="31">
        <f>装备!N59</f>
        <v>0</v>
      </c>
      <c r="H58" s="31">
        <f>装备!O59</f>
        <v>0</v>
      </c>
      <c r="I58" s="31">
        <f>IF(装备!J59=0,0,"'"&amp;装备!J59&amp;"'")</f>
        <v>0</v>
      </c>
      <c r="J58" s="31">
        <f>IF(装备!K59=0,0,"'"&amp;装备!K59&amp;"'")</f>
        <v>0</v>
      </c>
      <c r="K58" s="31">
        <f>IF(装备!L59=0,0,"'"&amp;装备!L59&amp;"'")</f>
        <v>0</v>
      </c>
      <c r="L58" s="31">
        <f>IF(装备!M59=0,0,"'"&amp;装备!M59&amp;"'")</f>
        <v>0</v>
      </c>
      <c r="M58" s="31">
        <f>IF(装备!N59=0,0,"'"&amp;装备!N59&amp;"'")</f>
        <v>0</v>
      </c>
      <c r="N58" s="31">
        <f>IF(装备!O59=0,0,"'"&amp;装备!O59&amp;"'")</f>
        <v>0</v>
      </c>
      <c r="O58" s="31" t="str">
        <f t="shared" si="16"/>
        <v/>
      </c>
      <c r="P58" s="31" t="str">
        <f t="shared" si="15"/>
        <v/>
      </c>
      <c r="Q58" s="35" t="str">
        <f>IFERROR(VLOOKUP(C58,装备!$B:$E,3,FALSE),"")</f>
        <v/>
      </c>
      <c r="R58" s="35" t="str">
        <f>IFERROR(VLOOKUP(D58,装备!$B:$E,3,FALSE),"")</f>
        <v/>
      </c>
      <c r="S58" s="35" t="str">
        <f>IFERROR(VLOOKUP(E58,装备!$B:$E,3,FALSE),"")</f>
        <v/>
      </c>
      <c r="T58" s="35" t="str">
        <f>IFERROR(VLOOKUP(F58,装备!$B:$E,3,FALSE),"")</f>
        <v/>
      </c>
      <c r="U58" s="35" t="str">
        <f>IFERROR(VLOOKUP(G58,装备!$B:$E,3,FALSE),"")</f>
        <v/>
      </c>
      <c r="V58" s="35" t="str">
        <f>IFERROR(VLOOKUP(H58,装备!$B:$E,3,FALSE),"")</f>
        <v/>
      </c>
      <c r="W58" s="30" t="str">
        <f t="shared" si="17"/>
        <v/>
      </c>
      <c r="X58" s="30" t="str">
        <f t="shared" si="18"/>
        <v/>
      </c>
      <c r="Y58" s="30" t="str">
        <f t="shared" si="19"/>
        <v/>
      </c>
      <c r="Z58" s="30" t="str">
        <f t="shared" si="20"/>
        <v/>
      </c>
      <c r="AA58" s="30" t="str">
        <f t="shared" si="21"/>
        <v/>
      </c>
      <c r="AB58" s="30" t="str">
        <f t="shared" si="22"/>
        <v>|n=0</v>
      </c>
    </row>
    <row r="59" spans="1:28">
      <c r="A59" s="31">
        <f>装备!A60</f>
        <v>0</v>
      </c>
      <c r="B59" s="31" t="str">
        <f>"'"&amp;装备!B60&amp;"'"</f>
        <v>'E208'</v>
      </c>
      <c r="C59" s="31">
        <f>装备!J60</f>
        <v>0</v>
      </c>
      <c r="D59" s="31">
        <f>装备!K60</f>
        <v>0</v>
      </c>
      <c r="E59" s="31">
        <f>装备!L60</f>
        <v>0</v>
      </c>
      <c r="F59" s="31">
        <f>装备!M60</f>
        <v>0</v>
      </c>
      <c r="G59" s="31">
        <f>装备!N60</f>
        <v>0</v>
      </c>
      <c r="H59" s="31">
        <f>装备!O60</f>
        <v>0</v>
      </c>
      <c r="I59" s="31">
        <f>IF(装备!J60=0,0,"'"&amp;装备!J60&amp;"'")</f>
        <v>0</v>
      </c>
      <c r="J59" s="31">
        <f>IF(装备!K60=0,0,"'"&amp;装备!K60&amp;"'")</f>
        <v>0</v>
      </c>
      <c r="K59" s="31">
        <f>IF(装备!L60=0,0,"'"&amp;装备!L60&amp;"'")</f>
        <v>0</v>
      </c>
      <c r="L59" s="31">
        <f>IF(装备!M60=0,0,"'"&amp;装备!M60&amp;"'")</f>
        <v>0</v>
      </c>
      <c r="M59" s="31">
        <f>IF(装备!N60=0,0,"'"&amp;装备!N60&amp;"'")</f>
        <v>0</v>
      </c>
      <c r="N59" s="31">
        <f>IF(装备!O60=0,0,"'"&amp;装备!O60&amp;"'")</f>
        <v>0</v>
      </c>
      <c r="O59" s="31" t="str">
        <f t="shared" si="16"/>
        <v/>
      </c>
      <c r="P59" s="31" t="str">
        <f t="shared" si="15"/>
        <v/>
      </c>
      <c r="Q59" s="35" t="str">
        <f>IFERROR(VLOOKUP(C59,装备!$B:$E,3,FALSE),"")</f>
        <v/>
      </c>
      <c r="R59" s="35" t="str">
        <f>IFERROR(VLOOKUP(D59,装备!$B:$E,3,FALSE),"")</f>
        <v/>
      </c>
      <c r="S59" s="35" t="str">
        <f>IFERROR(VLOOKUP(E59,装备!$B:$E,3,FALSE),"")</f>
        <v/>
      </c>
      <c r="T59" s="35" t="str">
        <f>IFERROR(VLOOKUP(F59,装备!$B:$E,3,FALSE),"")</f>
        <v/>
      </c>
      <c r="U59" s="35" t="str">
        <f>IFERROR(VLOOKUP(G59,装备!$B:$E,3,FALSE),"")</f>
        <v/>
      </c>
      <c r="V59" s="35" t="str">
        <f>IFERROR(VLOOKUP(H59,装备!$B:$E,3,FALSE),"")</f>
        <v/>
      </c>
      <c r="W59" s="30" t="str">
        <f t="shared" si="17"/>
        <v/>
      </c>
      <c r="X59" s="30" t="str">
        <f t="shared" si="18"/>
        <v/>
      </c>
      <c r="Y59" s="30" t="str">
        <f t="shared" si="19"/>
        <v/>
      </c>
      <c r="Z59" s="30" t="str">
        <f t="shared" si="20"/>
        <v/>
      </c>
      <c r="AA59" s="30" t="str">
        <f t="shared" si="21"/>
        <v/>
      </c>
      <c r="AB59" s="30" t="str">
        <f t="shared" si="22"/>
        <v>|n=0</v>
      </c>
    </row>
    <row r="60" spans="1:28">
      <c r="A60" s="31">
        <f>装备!A61</f>
        <v>0</v>
      </c>
      <c r="B60" s="31" t="str">
        <f>"'"&amp;装备!B61&amp;"'"</f>
        <v>'E209'</v>
      </c>
      <c r="C60" s="31">
        <f>装备!J61</f>
        <v>0</v>
      </c>
      <c r="D60" s="31">
        <f>装备!K61</f>
        <v>0</v>
      </c>
      <c r="E60" s="31">
        <f>装备!L61</f>
        <v>0</v>
      </c>
      <c r="F60" s="31">
        <f>装备!M61</f>
        <v>0</v>
      </c>
      <c r="G60" s="31">
        <f>装备!N61</f>
        <v>0</v>
      </c>
      <c r="H60" s="31">
        <f>装备!O61</f>
        <v>0</v>
      </c>
      <c r="I60" s="31">
        <f>IF(装备!J61=0,0,"'"&amp;装备!J61&amp;"'")</f>
        <v>0</v>
      </c>
      <c r="J60" s="31">
        <f>IF(装备!K61=0,0,"'"&amp;装备!K61&amp;"'")</f>
        <v>0</v>
      </c>
      <c r="K60" s="31">
        <f>IF(装备!L61=0,0,"'"&amp;装备!L61&amp;"'")</f>
        <v>0</v>
      </c>
      <c r="L60" s="31">
        <f>IF(装备!M61=0,0,"'"&amp;装备!M61&amp;"'")</f>
        <v>0</v>
      </c>
      <c r="M60" s="31">
        <f>IF(装备!N61=0,0,"'"&amp;装备!N61&amp;"'")</f>
        <v>0</v>
      </c>
      <c r="N60" s="31">
        <f>IF(装备!O61=0,0,"'"&amp;装备!O61&amp;"'")</f>
        <v>0</v>
      </c>
      <c r="O60" s="31" t="str">
        <f t="shared" si="16"/>
        <v/>
      </c>
      <c r="P60" s="31" t="str">
        <f t="shared" si="15"/>
        <v/>
      </c>
      <c r="Q60" s="35" t="str">
        <f>IFERROR(VLOOKUP(C60,装备!$B:$E,3,FALSE),"")</f>
        <v/>
      </c>
      <c r="R60" s="35" t="str">
        <f>IFERROR(VLOOKUP(D60,装备!$B:$E,3,FALSE),"")</f>
        <v/>
      </c>
      <c r="S60" s="35" t="str">
        <f>IFERROR(VLOOKUP(E60,装备!$B:$E,3,FALSE),"")</f>
        <v/>
      </c>
      <c r="T60" s="35" t="str">
        <f>IFERROR(VLOOKUP(F60,装备!$B:$E,3,FALSE),"")</f>
        <v/>
      </c>
      <c r="U60" s="35" t="str">
        <f>IFERROR(VLOOKUP(G60,装备!$B:$E,3,FALSE),"")</f>
        <v/>
      </c>
      <c r="V60" s="35" t="str">
        <f>IFERROR(VLOOKUP(H60,装备!$B:$E,3,FALSE),"")</f>
        <v/>
      </c>
      <c r="W60" s="30" t="str">
        <f t="shared" si="17"/>
        <v/>
      </c>
      <c r="X60" s="30" t="str">
        <f t="shared" si="18"/>
        <v/>
      </c>
      <c r="Y60" s="30" t="str">
        <f t="shared" si="19"/>
        <v/>
      </c>
      <c r="Z60" s="30" t="str">
        <f t="shared" si="20"/>
        <v/>
      </c>
      <c r="AA60" s="30" t="str">
        <f t="shared" si="21"/>
        <v/>
      </c>
      <c r="AB60" s="30" t="str">
        <f t="shared" si="22"/>
        <v>|n=0</v>
      </c>
    </row>
    <row r="61" spans="1:28">
      <c r="A61" s="31">
        <f>装备!A62</f>
        <v>0</v>
      </c>
      <c r="B61" s="31" t="str">
        <f>"'"&amp;装备!B62&amp;"'"</f>
        <v>'E210'</v>
      </c>
      <c r="C61" s="31">
        <f>装备!J62</f>
        <v>0</v>
      </c>
      <c r="D61" s="31">
        <f>装备!K62</f>
        <v>0</v>
      </c>
      <c r="E61" s="31">
        <f>装备!L62</f>
        <v>0</v>
      </c>
      <c r="F61" s="31">
        <f>装备!M62</f>
        <v>0</v>
      </c>
      <c r="G61" s="31">
        <f>装备!N62</f>
        <v>0</v>
      </c>
      <c r="H61" s="31">
        <f>装备!O62</f>
        <v>0</v>
      </c>
      <c r="I61" s="31">
        <f>IF(装备!J62=0,0,"'"&amp;装备!J62&amp;"'")</f>
        <v>0</v>
      </c>
      <c r="J61" s="31">
        <f>IF(装备!K62=0,0,"'"&amp;装备!K62&amp;"'")</f>
        <v>0</v>
      </c>
      <c r="K61" s="31">
        <f>IF(装备!L62=0,0,"'"&amp;装备!L62&amp;"'")</f>
        <v>0</v>
      </c>
      <c r="L61" s="31">
        <f>IF(装备!M62=0,0,"'"&amp;装备!M62&amp;"'")</f>
        <v>0</v>
      </c>
      <c r="M61" s="31">
        <f>IF(装备!N62=0,0,"'"&amp;装备!N62&amp;"'")</f>
        <v>0</v>
      </c>
      <c r="N61" s="31">
        <f>IF(装备!O62=0,0,"'"&amp;装备!O62&amp;"'")</f>
        <v>0</v>
      </c>
      <c r="O61" s="31" t="str">
        <f t="shared" si="16"/>
        <v/>
      </c>
      <c r="P61" s="31" t="str">
        <f t="shared" si="15"/>
        <v/>
      </c>
      <c r="Q61" s="35" t="str">
        <f>IFERROR(VLOOKUP(C61,装备!$B:$E,3,FALSE),"")</f>
        <v/>
      </c>
      <c r="R61" s="35" t="str">
        <f>IFERROR(VLOOKUP(D61,装备!$B:$E,3,FALSE),"")</f>
        <v/>
      </c>
      <c r="S61" s="35" t="str">
        <f>IFERROR(VLOOKUP(E61,装备!$B:$E,3,FALSE),"")</f>
        <v/>
      </c>
      <c r="T61" s="35" t="str">
        <f>IFERROR(VLOOKUP(F61,装备!$B:$E,3,FALSE),"")</f>
        <v/>
      </c>
      <c r="U61" s="35" t="str">
        <f>IFERROR(VLOOKUP(G61,装备!$B:$E,3,FALSE),"")</f>
        <v/>
      </c>
      <c r="V61" s="35" t="str">
        <f>IFERROR(VLOOKUP(H61,装备!$B:$E,3,FALSE),"")</f>
        <v/>
      </c>
      <c r="W61" s="30" t="str">
        <f t="shared" si="17"/>
        <v/>
      </c>
      <c r="X61" s="30" t="str">
        <f t="shared" si="18"/>
        <v/>
      </c>
      <c r="Y61" s="30" t="str">
        <f t="shared" si="19"/>
        <v/>
      </c>
      <c r="Z61" s="30" t="str">
        <f t="shared" si="20"/>
        <v/>
      </c>
      <c r="AA61" s="30" t="str">
        <f t="shared" si="21"/>
        <v/>
      </c>
      <c r="AB61" s="30" t="str">
        <f t="shared" si="22"/>
        <v>|n=0</v>
      </c>
    </row>
    <row r="62" spans="1:28">
      <c r="A62" s="31">
        <f>装备!A63</f>
        <v>0</v>
      </c>
      <c r="B62" s="31" t="str">
        <f>"'"&amp;装备!B63&amp;"'"</f>
        <v>'E211'</v>
      </c>
      <c r="C62" s="31">
        <f>装备!J63</f>
        <v>0</v>
      </c>
      <c r="D62" s="31">
        <f>装备!K63</f>
        <v>0</v>
      </c>
      <c r="E62" s="31">
        <f>装备!L63</f>
        <v>0</v>
      </c>
      <c r="F62" s="31">
        <f>装备!M63</f>
        <v>0</v>
      </c>
      <c r="G62" s="31">
        <f>装备!N63</f>
        <v>0</v>
      </c>
      <c r="H62" s="31">
        <f>装备!O63</f>
        <v>0</v>
      </c>
      <c r="I62" s="31">
        <f>IF(装备!J63=0,0,"'"&amp;装备!J63&amp;"'")</f>
        <v>0</v>
      </c>
      <c r="J62" s="31">
        <f>IF(装备!K63=0,0,"'"&amp;装备!K63&amp;"'")</f>
        <v>0</v>
      </c>
      <c r="K62" s="31">
        <f>IF(装备!L63=0,0,"'"&amp;装备!L63&amp;"'")</f>
        <v>0</v>
      </c>
      <c r="L62" s="31">
        <f>IF(装备!M63=0,0,"'"&amp;装备!M63&amp;"'")</f>
        <v>0</v>
      </c>
      <c r="M62" s="31">
        <f>IF(装备!N63=0,0,"'"&amp;装备!N63&amp;"'")</f>
        <v>0</v>
      </c>
      <c r="N62" s="31">
        <f>IF(装备!O63=0,0,"'"&amp;装备!O63&amp;"'")</f>
        <v>0</v>
      </c>
      <c r="O62" s="31" t="str">
        <f t="shared" si="16"/>
        <v/>
      </c>
      <c r="P62" s="31" t="str">
        <f t="shared" si="15"/>
        <v/>
      </c>
      <c r="Q62" s="35" t="str">
        <f>IFERROR(VLOOKUP(C62,装备!$B:$E,3,FALSE),"")</f>
        <v/>
      </c>
      <c r="R62" s="35" t="str">
        <f>IFERROR(VLOOKUP(D62,装备!$B:$E,3,FALSE),"")</f>
        <v/>
      </c>
      <c r="S62" s="35" t="str">
        <f>IFERROR(VLOOKUP(E62,装备!$B:$E,3,FALSE),"")</f>
        <v/>
      </c>
      <c r="T62" s="35" t="str">
        <f>IFERROR(VLOOKUP(F62,装备!$B:$E,3,FALSE),"")</f>
        <v/>
      </c>
      <c r="U62" s="35" t="str">
        <f>IFERROR(VLOOKUP(G62,装备!$B:$E,3,FALSE),"")</f>
        <v/>
      </c>
      <c r="V62" s="35" t="str">
        <f>IFERROR(VLOOKUP(H62,装备!$B:$E,3,FALSE),"")</f>
        <v/>
      </c>
      <c r="W62" s="30" t="str">
        <f t="shared" si="17"/>
        <v/>
      </c>
      <c r="X62" s="30" t="str">
        <f t="shared" si="18"/>
        <v/>
      </c>
      <c r="Y62" s="30" t="str">
        <f t="shared" si="19"/>
        <v/>
      </c>
      <c r="Z62" s="30" t="str">
        <f t="shared" si="20"/>
        <v/>
      </c>
      <c r="AA62" s="30" t="str">
        <f t="shared" si="21"/>
        <v/>
      </c>
      <c r="AB62" s="30" t="str">
        <f t="shared" si="22"/>
        <v>|n=0</v>
      </c>
    </row>
    <row r="63" spans="1:28">
      <c r="A63" s="31">
        <f>装备!A64</f>
        <v>0</v>
      </c>
      <c r="B63" s="31" t="str">
        <f>"'"&amp;装备!B64&amp;"'"</f>
        <v>'E212'</v>
      </c>
      <c r="C63" s="31">
        <f>装备!J64</f>
        <v>0</v>
      </c>
      <c r="D63" s="31">
        <f>装备!K64</f>
        <v>0</v>
      </c>
      <c r="E63" s="31">
        <f>装备!L64</f>
        <v>0</v>
      </c>
      <c r="F63" s="31">
        <f>装备!M64</f>
        <v>0</v>
      </c>
      <c r="G63" s="31">
        <f>装备!N64</f>
        <v>0</v>
      </c>
      <c r="H63" s="31">
        <f>装备!O64</f>
        <v>0</v>
      </c>
      <c r="I63" s="31">
        <f>IF(装备!J64=0,0,"'"&amp;装备!J64&amp;"'")</f>
        <v>0</v>
      </c>
      <c r="J63" s="31">
        <f>IF(装备!K64=0,0,"'"&amp;装备!K64&amp;"'")</f>
        <v>0</v>
      </c>
      <c r="K63" s="31">
        <f>IF(装备!L64=0,0,"'"&amp;装备!L64&amp;"'")</f>
        <v>0</v>
      </c>
      <c r="L63" s="31">
        <f>IF(装备!M64=0,0,"'"&amp;装备!M64&amp;"'")</f>
        <v>0</v>
      </c>
      <c r="M63" s="31">
        <f>IF(装备!N64=0,0,"'"&amp;装备!N64&amp;"'")</f>
        <v>0</v>
      </c>
      <c r="N63" s="31">
        <f>IF(装备!O64=0,0,"'"&amp;装备!O64&amp;"'")</f>
        <v>0</v>
      </c>
      <c r="O63" s="31" t="str">
        <f t="shared" si="16"/>
        <v/>
      </c>
      <c r="P63" s="31" t="str">
        <f t="shared" si="15"/>
        <v/>
      </c>
      <c r="Q63" s="35" t="str">
        <f>IFERROR(VLOOKUP(C63,装备!$B:$E,3,FALSE),"")</f>
        <v/>
      </c>
      <c r="R63" s="35" t="str">
        <f>IFERROR(VLOOKUP(D63,装备!$B:$E,3,FALSE),"")</f>
        <v/>
      </c>
      <c r="S63" s="35" t="str">
        <f>IFERROR(VLOOKUP(E63,装备!$B:$E,3,FALSE),"")</f>
        <v/>
      </c>
      <c r="T63" s="35" t="str">
        <f>IFERROR(VLOOKUP(F63,装备!$B:$E,3,FALSE),"")</f>
        <v/>
      </c>
      <c r="U63" s="35" t="str">
        <f>IFERROR(VLOOKUP(G63,装备!$B:$E,3,FALSE),"")</f>
        <v/>
      </c>
      <c r="V63" s="35" t="str">
        <f>IFERROR(VLOOKUP(H63,装备!$B:$E,3,FALSE),"")</f>
        <v/>
      </c>
      <c r="W63" s="30" t="str">
        <f t="shared" si="17"/>
        <v/>
      </c>
      <c r="X63" s="30" t="str">
        <f t="shared" si="18"/>
        <v/>
      </c>
      <c r="Y63" s="30" t="str">
        <f t="shared" si="19"/>
        <v/>
      </c>
      <c r="Z63" s="30" t="str">
        <f t="shared" si="20"/>
        <v/>
      </c>
      <c r="AA63" s="30" t="str">
        <f t="shared" si="21"/>
        <v/>
      </c>
      <c r="AB63" s="30" t="str">
        <f t="shared" si="22"/>
        <v>|n=0</v>
      </c>
    </row>
    <row r="64" spans="1:28">
      <c r="A64" s="31">
        <f>装备!A65</f>
        <v>0</v>
      </c>
      <c r="B64" s="31" t="str">
        <f>"'"&amp;装备!B65&amp;"'"</f>
        <v>'E213'</v>
      </c>
      <c r="C64" s="31">
        <f>装备!J65</f>
        <v>0</v>
      </c>
      <c r="D64" s="31">
        <f>装备!K65</f>
        <v>0</v>
      </c>
      <c r="E64" s="31">
        <f>装备!L65</f>
        <v>0</v>
      </c>
      <c r="F64" s="31">
        <f>装备!M65</f>
        <v>0</v>
      </c>
      <c r="G64" s="31">
        <f>装备!N65</f>
        <v>0</v>
      </c>
      <c r="H64" s="31">
        <f>装备!O65</f>
        <v>0</v>
      </c>
      <c r="I64" s="31">
        <f>IF(装备!J65=0,0,"'"&amp;装备!J65&amp;"'")</f>
        <v>0</v>
      </c>
      <c r="J64" s="31">
        <f>IF(装备!K65=0,0,"'"&amp;装备!K65&amp;"'")</f>
        <v>0</v>
      </c>
      <c r="K64" s="31">
        <f>IF(装备!L65=0,0,"'"&amp;装备!L65&amp;"'")</f>
        <v>0</v>
      </c>
      <c r="L64" s="31">
        <f>IF(装备!M65=0,0,"'"&amp;装备!M65&amp;"'")</f>
        <v>0</v>
      </c>
      <c r="M64" s="31">
        <f>IF(装备!N65=0,0,"'"&amp;装备!N65&amp;"'")</f>
        <v>0</v>
      </c>
      <c r="N64" s="31">
        <f>IF(装备!O65=0,0,"'"&amp;装备!O65&amp;"'")</f>
        <v>0</v>
      </c>
      <c r="O64" s="31" t="str">
        <f t="shared" si="16"/>
        <v/>
      </c>
      <c r="P64" s="31" t="str">
        <f t="shared" si="15"/>
        <v/>
      </c>
      <c r="Q64" s="35" t="str">
        <f>IFERROR(VLOOKUP(C64,装备!$B:$E,3,FALSE),"")</f>
        <v/>
      </c>
      <c r="R64" s="35" t="str">
        <f>IFERROR(VLOOKUP(D64,装备!$B:$E,3,FALSE),"")</f>
        <v/>
      </c>
      <c r="S64" s="35" t="str">
        <f>IFERROR(VLOOKUP(E64,装备!$B:$E,3,FALSE),"")</f>
        <v/>
      </c>
      <c r="T64" s="35" t="str">
        <f>IFERROR(VLOOKUP(F64,装备!$B:$E,3,FALSE),"")</f>
        <v/>
      </c>
      <c r="U64" s="35" t="str">
        <f>IFERROR(VLOOKUP(G64,装备!$B:$E,3,FALSE),"")</f>
        <v/>
      </c>
      <c r="V64" s="35" t="str">
        <f>IFERROR(VLOOKUP(H64,装备!$B:$E,3,FALSE),"")</f>
        <v/>
      </c>
      <c r="W64" s="30" t="str">
        <f t="shared" si="17"/>
        <v/>
      </c>
      <c r="X64" s="30" t="str">
        <f t="shared" si="18"/>
        <v/>
      </c>
      <c r="Y64" s="30" t="str">
        <f t="shared" si="19"/>
        <v/>
      </c>
      <c r="Z64" s="30" t="str">
        <f t="shared" si="20"/>
        <v/>
      </c>
      <c r="AA64" s="30" t="str">
        <f t="shared" si="21"/>
        <v/>
      </c>
      <c r="AB64" s="30" t="str">
        <f t="shared" si="22"/>
        <v>|n=0</v>
      </c>
    </row>
    <row r="65" spans="1:28">
      <c r="A65" s="31">
        <f>装备!A66</f>
        <v>0</v>
      </c>
      <c r="B65" s="31" t="str">
        <f>"'"&amp;装备!B66&amp;"'"</f>
        <v>'E214'</v>
      </c>
      <c r="C65" s="31">
        <f>装备!J66</f>
        <v>0</v>
      </c>
      <c r="D65" s="31">
        <f>装备!K66</f>
        <v>0</v>
      </c>
      <c r="E65" s="31">
        <f>装备!L66</f>
        <v>0</v>
      </c>
      <c r="F65" s="31">
        <f>装备!M66</f>
        <v>0</v>
      </c>
      <c r="G65" s="31">
        <f>装备!N66</f>
        <v>0</v>
      </c>
      <c r="H65" s="31">
        <f>装备!O66</f>
        <v>0</v>
      </c>
      <c r="I65" s="31">
        <f>IF(装备!J66=0,0,"'"&amp;装备!J66&amp;"'")</f>
        <v>0</v>
      </c>
      <c r="J65" s="31">
        <f>IF(装备!K66=0,0,"'"&amp;装备!K66&amp;"'")</f>
        <v>0</v>
      </c>
      <c r="K65" s="31">
        <f>IF(装备!L66=0,0,"'"&amp;装备!L66&amp;"'")</f>
        <v>0</v>
      </c>
      <c r="L65" s="31">
        <f>IF(装备!M66=0,0,"'"&amp;装备!M66&amp;"'")</f>
        <v>0</v>
      </c>
      <c r="M65" s="31">
        <f>IF(装备!N66=0,0,"'"&amp;装备!N66&amp;"'")</f>
        <v>0</v>
      </c>
      <c r="N65" s="31">
        <f>IF(装备!O66=0,0,"'"&amp;装备!O66&amp;"'")</f>
        <v>0</v>
      </c>
      <c r="O65" s="31" t="str">
        <f t="shared" si="16"/>
        <v/>
      </c>
      <c r="P65" s="31" t="str">
        <f t="shared" si="15"/>
        <v/>
      </c>
      <c r="Q65" s="35" t="str">
        <f>IFERROR(VLOOKUP(C65,装备!$B:$E,3,FALSE),"")</f>
        <v/>
      </c>
      <c r="R65" s="35" t="str">
        <f>IFERROR(VLOOKUP(D65,装备!$B:$E,3,FALSE),"")</f>
        <v/>
      </c>
      <c r="S65" s="35" t="str">
        <f>IFERROR(VLOOKUP(E65,装备!$B:$E,3,FALSE),"")</f>
        <v/>
      </c>
      <c r="T65" s="35" t="str">
        <f>IFERROR(VLOOKUP(F65,装备!$B:$E,3,FALSE),"")</f>
        <v/>
      </c>
      <c r="U65" s="35" t="str">
        <f>IFERROR(VLOOKUP(G65,装备!$B:$E,3,FALSE),"")</f>
        <v/>
      </c>
      <c r="V65" s="35" t="str">
        <f>IFERROR(VLOOKUP(H65,装备!$B:$E,3,FALSE),"")</f>
        <v/>
      </c>
      <c r="W65" s="30" t="str">
        <f t="shared" si="17"/>
        <v/>
      </c>
      <c r="X65" s="30" t="str">
        <f t="shared" si="18"/>
        <v/>
      </c>
      <c r="Y65" s="30" t="str">
        <f t="shared" si="19"/>
        <v/>
      </c>
      <c r="Z65" s="30" t="str">
        <f t="shared" si="20"/>
        <v/>
      </c>
      <c r="AA65" s="30" t="str">
        <f t="shared" si="21"/>
        <v/>
      </c>
      <c r="AB65" s="30" t="str">
        <f t="shared" si="22"/>
        <v>|n=0</v>
      </c>
    </row>
    <row r="66" spans="1:28">
      <c r="A66" s="31">
        <f>装备!A67</f>
        <v>0</v>
      </c>
      <c r="B66" s="31" t="str">
        <f>"'"&amp;装备!B67&amp;"'"</f>
        <v>'E215'</v>
      </c>
      <c r="C66" s="31">
        <f>装备!J67</f>
        <v>0</v>
      </c>
      <c r="D66" s="31">
        <f>装备!K67</f>
        <v>0</v>
      </c>
      <c r="E66" s="31">
        <f>装备!L67</f>
        <v>0</v>
      </c>
      <c r="F66" s="31">
        <f>装备!M67</f>
        <v>0</v>
      </c>
      <c r="G66" s="31">
        <f>装备!N67</f>
        <v>0</v>
      </c>
      <c r="H66" s="31">
        <f>装备!O67</f>
        <v>0</v>
      </c>
      <c r="I66" s="31">
        <f>IF(装备!J67=0,0,"'"&amp;装备!J67&amp;"'")</f>
        <v>0</v>
      </c>
      <c r="J66" s="31">
        <f>IF(装备!K67=0,0,"'"&amp;装备!K67&amp;"'")</f>
        <v>0</v>
      </c>
      <c r="K66" s="31">
        <f>IF(装备!L67=0,0,"'"&amp;装备!L67&amp;"'")</f>
        <v>0</v>
      </c>
      <c r="L66" s="31">
        <f>IF(装备!M67=0,0,"'"&amp;装备!M67&amp;"'")</f>
        <v>0</v>
      </c>
      <c r="M66" s="31">
        <f>IF(装备!N67=0,0,"'"&amp;装备!N67&amp;"'")</f>
        <v>0</v>
      </c>
      <c r="N66" s="31">
        <f>IF(装备!O67=0,0,"'"&amp;装备!O67&amp;"'")</f>
        <v>0</v>
      </c>
      <c r="O66" s="31" t="str">
        <f t="shared" si="16"/>
        <v/>
      </c>
      <c r="P66" s="31" t="str">
        <f t="shared" ref="P66:P76" si="23">IFERROR(VLOOKUP(A66,Q:AB,12,FALSE),IFERROR(VLOOKUP(A66,R:AB,11,FALSE),IFERROR(VLOOKUP(A66,S:AB,10,FALSE),"")))</f>
        <v/>
      </c>
      <c r="Q66" s="35" t="str">
        <f>IFERROR(VLOOKUP(C66,装备!$B:$E,3,FALSE),"")</f>
        <v/>
      </c>
      <c r="R66" s="35" t="str">
        <f>IFERROR(VLOOKUP(D66,装备!$B:$E,3,FALSE),"")</f>
        <v/>
      </c>
      <c r="S66" s="35" t="str">
        <f>IFERROR(VLOOKUP(E66,装备!$B:$E,3,FALSE),"")</f>
        <v/>
      </c>
      <c r="T66" s="35" t="str">
        <f>IFERROR(VLOOKUP(F66,装备!$B:$E,3,FALSE),"")</f>
        <v/>
      </c>
      <c r="U66" s="35" t="str">
        <f>IFERROR(VLOOKUP(G66,装备!$B:$E,3,FALSE),"")</f>
        <v/>
      </c>
      <c r="V66" s="35" t="str">
        <f>IFERROR(VLOOKUP(H66,装备!$B:$E,3,FALSE),"")</f>
        <v/>
      </c>
      <c r="W66" s="30" t="str">
        <f t="shared" si="17"/>
        <v/>
      </c>
      <c r="X66" s="30" t="str">
        <f t="shared" si="18"/>
        <v/>
      </c>
      <c r="Y66" s="30" t="str">
        <f t="shared" si="19"/>
        <v/>
      </c>
      <c r="Z66" s="30" t="str">
        <f t="shared" si="20"/>
        <v/>
      </c>
      <c r="AA66" s="30" t="str">
        <f t="shared" si="21"/>
        <v/>
      </c>
      <c r="AB66" s="30" t="str">
        <f t="shared" si="22"/>
        <v>|n=0</v>
      </c>
    </row>
    <row r="67" spans="1:28">
      <c r="A67" s="31">
        <f>装备!A68</f>
        <v>0</v>
      </c>
      <c r="B67" s="31" t="str">
        <f>"'"&amp;装备!B68&amp;"'"</f>
        <v>'E216'</v>
      </c>
      <c r="C67" s="31">
        <f>装备!J68</f>
        <v>0</v>
      </c>
      <c r="D67" s="31">
        <f>装备!K68</f>
        <v>0</v>
      </c>
      <c r="E67" s="31">
        <f>装备!L68</f>
        <v>0</v>
      </c>
      <c r="F67" s="31">
        <f>装备!M68</f>
        <v>0</v>
      </c>
      <c r="G67" s="31">
        <f>装备!N68</f>
        <v>0</v>
      </c>
      <c r="H67" s="31">
        <f>装备!O68</f>
        <v>0</v>
      </c>
      <c r="I67" s="31">
        <f>IF(装备!J68=0,0,"'"&amp;装备!J68&amp;"'")</f>
        <v>0</v>
      </c>
      <c r="J67" s="31">
        <f>IF(装备!K68=0,0,"'"&amp;装备!K68&amp;"'")</f>
        <v>0</v>
      </c>
      <c r="K67" s="31">
        <f>IF(装备!L68=0,0,"'"&amp;装备!L68&amp;"'")</f>
        <v>0</v>
      </c>
      <c r="L67" s="31">
        <f>IF(装备!M68=0,0,"'"&amp;装备!M68&amp;"'")</f>
        <v>0</v>
      </c>
      <c r="M67" s="31">
        <f>IF(装备!N68=0,0,"'"&amp;装备!N68&amp;"'")</f>
        <v>0</v>
      </c>
      <c r="N67" s="31">
        <f>IF(装备!O68=0,0,"'"&amp;装备!O68&amp;"'")</f>
        <v>0</v>
      </c>
      <c r="O67" s="31" t="str">
        <f t="shared" si="16"/>
        <v/>
      </c>
      <c r="P67" s="31" t="str">
        <f t="shared" si="23"/>
        <v/>
      </c>
      <c r="Q67" s="35" t="str">
        <f>IFERROR(VLOOKUP(C67,装备!$B:$E,3,FALSE),"")</f>
        <v/>
      </c>
      <c r="R67" s="35" t="str">
        <f>IFERROR(VLOOKUP(D67,装备!$B:$E,3,FALSE),"")</f>
        <v/>
      </c>
      <c r="S67" s="35" t="str">
        <f>IFERROR(VLOOKUP(E67,装备!$B:$E,3,FALSE),"")</f>
        <v/>
      </c>
      <c r="T67" s="35" t="str">
        <f>IFERROR(VLOOKUP(F67,装备!$B:$E,3,FALSE),"")</f>
        <v/>
      </c>
      <c r="U67" s="35" t="str">
        <f>IFERROR(VLOOKUP(G67,装备!$B:$E,3,FALSE),"")</f>
        <v/>
      </c>
      <c r="V67" s="35" t="str">
        <f>IFERROR(VLOOKUP(H67,装备!$B:$E,3,FALSE),"")</f>
        <v/>
      </c>
      <c r="W67" s="30" t="str">
        <f t="shared" si="17"/>
        <v/>
      </c>
      <c r="X67" s="30" t="str">
        <f t="shared" si="18"/>
        <v/>
      </c>
      <c r="Y67" s="30" t="str">
        <f t="shared" si="19"/>
        <v/>
      </c>
      <c r="Z67" s="30" t="str">
        <f t="shared" si="20"/>
        <v/>
      </c>
      <c r="AA67" s="30" t="str">
        <f t="shared" si="21"/>
        <v/>
      </c>
      <c r="AB67" s="30" t="str">
        <f t="shared" si="22"/>
        <v>|n=0</v>
      </c>
    </row>
    <row r="68" spans="1:28">
      <c r="A68" s="31">
        <f>装备!A69</f>
        <v>0</v>
      </c>
      <c r="B68" s="31" t="str">
        <f>"'"&amp;装备!B69&amp;"'"</f>
        <v>'E217'</v>
      </c>
      <c r="C68" s="31">
        <f>装备!J69</f>
        <v>0</v>
      </c>
      <c r="D68" s="31">
        <f>装备!K69</f>
        <v>0</v>
      </c>
      <c r="E68" s="31">
        <f>装备!L69</f>
        <v>0</v>
      </c>
      <c r="F68" s="31">
        <f>装备!M69</f>
        <v>0</v>
      </c>
      <c r="G68" s="31">
        <f>装备!N69</f>
        <v>0</v>
      </c>
      <c r="H68" s="31">
        <f>装备!O69</f>
        <v>0</v>
      </c>
      <c r="I68" s="31">
        <f>IF(装备!J69=0,0,"'"&amp;装备!J69&amp;"'")</f>
        <v>0</v>
      </c>
      <c r="J68" s="31">
        <f>IF(装备!K69=0,0,"'"&amp;装备!K69&amp;"'")</f>
        <v>0</v>
      </c>
      <c r="K68" s="31">
        <f>IF(装备!L69=0,0,"'"&amp;装备!L69&amp;"'")</f>
        <v>0</v>
      </c>
      <c r="L68" s="31">
        <f>IF(装备!M69=0,0,"'"&amp;装备!M69&amp;"'")</f>
        <v>0</v>
      </c>
      <c r="M68" s="31">
        <f>IF(装备!N69=0,0,"'"&amp;装备!N69&amp;"'")</f>
        <v>0</v>
      </c>
      <c r="N68" s="31">
        <f>IF(装备!O69=0,0,"'"&amp;装备!O69&amp;"'")</f>
        <v>0</v>
      </c>
      <c r="O68" s="31" t="str">
        <f t="shared" si="16"/>
        <v/>
      </c>
      <c r="P68" s="31" t="str">
        <f t="shared" si="23"/>
        <v/>
      </c>
      <c r="Q68" s="35" t="str">
        <f>IFERROR(VLOOKUP(C68,装备!$B:$E,3,FALSE),"")</f>
        <v/>
      </c>
      <c r="R68" s="35" t="str">
        <f>IFERROR(VLOOKUP(D68,装备!$B:$E,3,FALSE),"")</f>
        <v/>
      </c>
      <c r="S68" s="35" t="str">
        <f>IFERROR(VLOOKUP(E68,装备!$B:$E,3,FALSE),"")</f>
        <v/>
      </c>
      <c r="T68" s="35" t="str">
        <f>IFERROR(VLOOKUP(F68,装备!$B:$E,3,FALSE),"")</f>
        <v/>
      </c>
      <c r="U68" s="35" t="str">
        <f>IFERROR(VLOOKUP(G68,装备!$B:$E,3,FALSE),"")</f>
        <v/>
      </c>
      <c r="V68" s="35" t="str">
        <f>IFERROR(VLOOKUP(H68,装备!$B:$E,3,FALSE),"")</f>
        <v/>
      </c>
      <c r="W68" s="30" t="str">
        <f t="shared" si="17"/>
        <v/>
      </c>
      <c r="X68" s="30" t="str">
        <f t="shared" si="18"/>
        <v/>
      </c>
      <c r="Y68" s="30" t="str">
        <f t="shared" si="19"/>
        <v/>
      </c>
      <c r="Z68" s="30" t="str">
        <f t="shared" si="20"/>
        <v/>
      </c>
      <c r="AA68" s="30" t="str">
        <f t="shared" si="21"/>
        <v/>
      </c>
      <c r="AB68" s="30" t="str">
        <f t="shared" si="22"/>
        <v>|n=0</v>
      </c>
    </row>
    <row r="69" spans="1:28">
      <c r="A69" s="31">
        <f>装备!A70</f>
        <v>0</v>
      </c>
      <c r="B69" s="31" t="str">
        <f>"'"&amp;装备!B70&amp;"'"</f>
        <v>'E218'</v>
      </c>
      <c r="C69" s="31">
        <f>装备!J70</f>
        <v>0</v>
      </c>
      <c r="D69" s="31">
        <f>装备!K70</f>
        <v>0</v>
      </c>
      <c r="E69" s="31">
        <f>装备!L70</f>
        <v>0</v>
      </c>
      <c r="F69" s="31">
        <f>装备!M70</f>
        <v>0</v>
      </c>
      <c r="G69" s="31">
        <f>装备!N70</f>
        <v>0</v>
      </c>
      <c r="H69" s="31">
        <f>装备!O70</f>
        <v>0</v>
      </c>
      <c r="I69" s="31">
        <f>IF(装备!J70=0,0,"'"&amp;装备!J70&amp;"'")</f>
        <v>0</v>
      </c>
      <c r="J69" s="31">
        <f>IF(装备!K70=0,0,"'"&amp;装备!K70&amp;"'")</f>
        <v>0</v>
      </c>
      <c r="K69" s="31">
        <f>IF(装备!L70=0,0,"'"&amp;装备!L70&amp;"'")</f>
        <v>0</v>
      </c>
      <c r="L69" s="31">
        <f>IF(装备!M70=0,0,"'"&amp;装备!M70&amp;"'")</f>
        <v>0</v>
      </c>
      <c r="M69" s="31">
        <f>IF(装备!N70=0,0,"'"&amp;装备!N70&amp;"'")</f>
        <v>0</v>
      </c>
      <c r="N69" s="31">
        <f>IF(装备!O70=0,0,"'"&amp;装备!O70&amp;"'")</f>
        <v>0</v>
      </c>
      <c r="O69" s="31" t="str">
        <f t="shared" si="16"/>
        <v/>
      </c>
      <c r="P69" s="31" t="str">
        <f t="shared" si="23"/>
        <v/>
      </c>
      <c r="Q69" s="35" t="str">
        <f>IFERROR(VLOOKUP(C69,装备!$B:$E,3,FALSE),"")</f>
        <v/>
      </c>
      <c r="R69" s="35" t="str">
        <f>IFERROR(VLOOKUP(D69,装备!$B:$E,3,FALSE),"")</f>
        <v/>
      </c>
      <c r="S69" s="35" t="str">
        <f>IFERROR(VLOOKUP(E69,装备!$B:$E,3,FALSE),"")</f>
        <v/>
      </c>
      <c r="T69" s="35" t="str">
        <f>IFERROR(VLOOKUP(F69,装备!$B:$E,3,FALSE),"")</f>
        <v/>
      </c>
      <c r="U69" s="35" t="str">
        <f>IFERROR(VLOOKUP(G69,装备!$B:$E,3,FALSE),"")</f>
        <v/>
      </c>
      <c r="V69" s="35" t="str">
        <f>IFERROR(VLOOKUP(H69,装备!$B:$E,3,FALSE),"")</f>
        <v/>
      </c>
      <c r="W69" s="30" t="str">
        <f t="shared" si="17"/>
        <v/>
      </c>
      <c r="X69" s="30" t="str">
        <f t="shared" si="18"/>
        <v/>
      </c>
      <c r="Y69" s="30" t="str">
        <f t="shared" si="19"/>
        <v/>
      </c>
      <c r="Z69" s="30" t="str">
        <f t="shared" si="20"/>
        <v/>
      </c>
      <c r="AA69" s="30" t="str">
        <f t="shared" si="21"/>
        <v/>
      </c>
      <c r="AB69" s="30" t="str">
        <f t="shared" si="22"/>
        <v>|n=0</v>
      </c>
    </row>
    <row r="70" spans="1:28">
      <c r="A70" s="31">
        <f>装备!A71</f>
        <v>0</v>
      </c>
      <c r="B70" s="31" t="str">
        <f>"'"&amp;装备!B71&amp;"'"</f>
        <v>'E219'</v>
      </c>
      <c r="C70" s="31">
        <f>装备!J71</f>
        <v>0</v>
      </c>
      <c r="D70" s="31">
        <f>装备!K71</f>
        <v>0</v>
      </c>
      <c r="E70" s="31">
        <f>装备!L71</f>
        <v>0</v>
      </c>
      <c r="F70" s="31">
        <f>装备!M71</f>
        <v>0</v>
      </c>
      <c r="G70" s="31">
        <f>装备!N71</f>
        <v>0</v>
      </c>
      <c r="H70" s="31">
        <f>装备!O71</f>
        <v>0</v>
      </c>
      <c r="I70" s="31">
        <f>IF(装备!J71=0,0,"'"&amp;装备!J71&amp;"'")</f>
        <v>0</v>
      </c>
      <c r="J70" s="31">
        <f>IF(装备!K71=0,0,"'"&amp;装备!K71&amp;"'")</f>
        <v>0</v>
      </c>
      <c r="K70" s="31">
        <f>IF(装备!L71=0,0,"'"&amp;装备!L71&amp;"'")</f>
        <v>0</v>
      </c>
      <c r="L70" s="31">
        <f>IF(装备!M71=0,0,"'"&amp;装备!M71&amp;"'")</f>
        <v>0</v>
      </c>
      <c r="M70" s="31">
        <f>IF(装备!N71=0,0,"'"&amp;装备!N71&amp;"'")</f>
        <v>0</v>
      </c>
      <c r="N70" s="31">
        <f>IF(装备!O71=0,0,"'"&amp;装备!O71&amp;"'")</f>
        <v>0</v>
      </c>
      <c r="O70" s="31" t="str">
        <f t="shared" si="16"/>
        <v/>
      </c>
      <c r="P70" s="31" t="str">
        <f t="shared" si="23"/>
        <v/>
      </c>
      <c r="Q70" s="35" t="str">
        <f>IFERROR(VLOOKUP(C70,装备!$B:$E,3,FALSE),"")</f>
        <v/>
      </c>
      <c r="R70" s="35" t="str">
        <f>IFERROR(VLOOKUP(D70,装备!$B:$E,3,FALSE),"")</f>
        <v/>
      </c>
      <c r="S70" s="35" t="str">
        <f>IFERROR(VLOOKUP(E70,装备!$B:$E,3,FALSE),"")</f>
        <v/>
      </c>
      <c r="T70" s="35" t="str">
        <f>IFERROR(VLOOKUP(F70,装备!$B:$E,3,FALSE),"")</f>
        <v/>
      </c>
      <c r="U70" s="35" t="str">
        <f>IFERROR(VLOOKUP(G70,装备!$B:$E,3,FALSE),"")</f>
        <v/>
      </c>
      <c r="V70" s="35" t="str">
        <f>IFERROR(VLOOKUP(H70,装备!$B:$E,3,FALSE),"")</f>
        <v/>
      </c>
      <c r="W70" s="30" t="str">
        <f t="shared" si="17"/>
        <v/>
      </c>
      <c r="X70" s="30" t="str">
        <f t="shared" si="18"/>
        <v/>
      </c>
      <c r="Y70" s="30" t="str">
        <f t="shared" si="19"/>
        <v/>
      </c>
      <c r="Z70" s="30" t="str">
        <f t="shared" si="20"/>
        <v/>
      </c>
      <c r="AA70" s="30" t="str">
        <f t="shared" si="21"/>
        <v/>
      </c>
      <c r="AB70" s="30" t="str">
        <f t="shared" si="22"/>
        <v>|n=0</v>
      </c>
    </row>
    <row r="71" spans="1:28">
      <c r="A71" s="31">
        <f>装备!A72</f>
        <v>0</v>
      </c>
      <c r="B71" s="31" t="str">
        <f>"'"&amp;装备!B72&amp;"'"</f>
        <v>'E220'</v>
      </c>
      <c r="C71" s="31">
        <f>装备!J72</f>
        <v>0</v>
      </c>
      <c r="D71" s="31">
        <f>装备!K72</f>
        <v>0</v>
      </c>
      <c r="E71" s="31">
        <f>装备!L72</f>
        <v>0</v>
      </c>
      <c r="F71" s="31">
        <f>装备!M72</f>
        <v>0</v>
      </c>
      <c r="G71" s="31">
        <f>装备!N72</f>
        <v>0</v>
      </c>
      <c r="H71" s="31">
        <f>装备!O72</f>
        <v>0</v>
      </c>
      <c r="I71" s="31">
        <f>IF(装备!J72=0,0,"'"&amp;装备!J72&amp;"'")</f>
        <v>0</v>
      </c>
      <c r="J71" s="31">
        <f>IF(装备!K72=0,0,"'"&amp;装备!K72&amp;"'")</f>
        <v>0</v>
      </c>
      <c r="K71" s="31">
        <f>IF(装备!L72=0,0,"'"&amp;装备!L72&amp;"'")</f>
        <v>0</v>
      </c>
      <c r="L71" s="31">
        <f>IF(装备!M72=0,0,"'"&amp;装备!M72&amp;"'")</f>
        <v>0</v>
      </c>
      <c r="M71" s="31">
        <f>IF(装备!N72=0,0,"'"&amp;装备!N72&amp;"'")</f>
        <v>0</v>
      </c>
      <c r="N71" s="31">
        <f>IF(装备!O72=0,0,"'"&amp;装备!O72&amp;"'")</f>
        <v>0</v>
      </c>
      <c r="O71" s="31" t="str">
        <f t="shared" si="16"/>
        <v/>
      </c>
      <c r="P71" s="31" t="str">
        <f t="shared" si="23"/>
        <v/>
      </c>
      <c r="Q71" s="35" t="str">
        <f>IFERROR(VLOOKUP(C71,装备!$B:$E,3,FALSE),"")</f>
        <v/>
      </c>
      <c r="R71" s="35" t="str">
        <f>IFERROR(VLOOKUP(D71,装备!$B:$E,3,FALSE),"")</f>
        <v/>
      </c>
      <c r="S71" s="35" t="str">
        <f>IFERROR(VLOOKUP(E71,装备!$B:$E,3,FALSE),"")</f>
        <v/>
      </c>
      <c r="T71" s="35" t="str">
        <f>IFERROR(VLOOKUP(F71,装备!$B:$E,3,FALSE),"")</f>
        <v/>
      </c>
      <c r="U71" s="35" t="str">
        <f>IFERROR(VLOOKUP(G71,装备!$B:$E,3,FALSE),"")</f>
        <v/>
      </c>
      <c r="V71" s="35" t="str">
        <f>IFERROR(VLOOKUP(H71,装备!$B:$E,3,FALSE),"")</f>
        <v/>
      </c>
      <c r="W71" s="30" t="str">
        <f t="shared" si="17"/>
        <v/>
      </c>
      <c r="X71" s="30" t="str">
        <f t="shared" si="18"/>
        <v/>
      </c>
      <c r="Y71" s="30" t="str">
        <f t="shared" si="19"/>
        <v/>
      </c>
      <c r="Z71" s="30" t="str">
        <f t="shared" si="20"/>
        <v/>
      </c>
      <c r="AA71" s="30" t="str">
        <f t="shared" si="21"/>
        <v/>
      </c>
      <c r="AB71" s="30" t="str">
        <f t="shared" si="22"/>
        <v>|n=0</v>
      </c>
    </row>
    <row r="72" spans="1:28">
      <c r="A72" s="31">
        <f>装备!A73</f>
        <v>0</v>
      </c>
      <c r="B72" s="31" t="str">
        <f>"'"&amp;装备!B73&amp;"'"</f>
        <v>'E221'</v>
      </c>
      <c r="C72" s="31">
        <f>装备!J73</f>
        <v>0</v>
      </c>
      <c r="D72" s="31">
        <f>装备!K73</f>
        <v>0</v>
      </c>
      <c r="E72" s="31">
        <f>装备!L73</f>
        <v>0</v>
      </c>
      <c r="F72" s="31">
        <f>装备!M73</f>
        <v>0</v>
      </c>
      <c r="G72" s="31">
        <f>装备!N73</f>
        <v>0</v>
      </c>
      <c r="H72" s="31">
        <f>装备!O73</f>
        <v>0</v>
      </c>
      <c r="I72" s="31">
        <f>IF(装备!J73=0,0,"'"&amp;装备!J73&amp;"'")</f>
        <v>0</v>
      </c>
      <c r="J72" s="31">
        <f>IF(装备!K73=0,0,"'"&amp;装备!K73&amp;"'")</f>
        <v>0</v>
      </c>
      <c r="K72" s="31">
        <f>IF(装备!L73=0,0,"'"&amp;装备!L73&amp;"'")</f>
        <v>0</v>
      </c>
      <c r="L72" s="31">
        <f>IF(装备!M73=0,0,"'"&amp;装备!M73&amp;"'")</f>
        <v>0</v>
      </c>
      <c r="M72" s="31">
        <f>IF(装备!N73=0,0,"'"&amp;装备!N73&amp;"'")</f>
        <v>0</v>
      </c>
      <c r="N72" s="31">
        <f>IF(装备!O73=0,0,"'"&amp;装备!O73&amp;"'")</f>
        <v>0</v>
      </c>
      <c r="O72" s="31" t="str">
        <f t="shared" si="16"/>
        <v/>
      </c>
      <c r="P72" s="31" t="str">
        <f t="shared" si="23"/>
        <v/>
      </c>
      <c r="Q72" s="35" t="str">
        <f>IFERROR(VLOOKUP(C72,装备!$B:$E,3,FALSE),"")</f>
        <v/>
      </c>
      <c r="R72" s="35" t="str">
        <f>IFERROR(VLOOKUP(D72,装备!$B:$E,3,FALSE),"")</f>
        <v/>
      </c>
      <c r="S72" s="35" t="str">
        <f>IFERROR(VLOOKUP(E72,装备!$B:$E,3,FALSE),"")</f>
        <v/>
      </c>
      <c r="T72" s="35" t="str">
        <f>IFERROR(VLOOKUP(F72,装备!$B:$E,3,FALSE),"")</f>
        <v/>
      </c>
      <c r="U72" s="35" t="str">
        <f>IFERROR(VLOOKUP(G72,装备!$B:$E,3,FALSE),"")</f>
        <v/>
      </c>
      <c r="V72" s="35" t="str">
        <f>IFERROR(VLOOKUP(H72,装备!$B:$E,3,FALSE),"")</f>
        <v/>
      </c>
      <c r="W72" s="30" t="str">
        <f t="shared" si="17"/>
        <v/>
      </c>
      <c r="X72" s="30" t="str">
        <f t="shared" si="18"/>
        <v/>
      </c>
      <c r="Y72" s="30" t="str">
        <f t="shared" si="19"/>
        <v/>
      </c>
      <c r="Z72" s="30" t="str">
        <f t="shared" si="20"/>
        <v/>
      </c>
      <c r="AA72" s="30" t="str">
        <f t="shared" si="21"/>
        <v/>
      </c>
      <c r="AB72" s="30" t="str">
        <f t="shared" si="22"/>
        <v>|n=0</v>
      </c>
    </row>
    <row r="73" spans="1:28">
      <c r="A73" s="31">
        <f>装备!A74</f>
        <v>0</v>
      </c>
      <c r="B73" s="31" t="str">
        <f>"'"&amp;装备!B74&amp;"'"</f>
        <v>'E222'</v>
      </c>
      <c r="C73" s="31">
        <f>装备!J74</f>
        <v>0</v>
      </c>
      <c r="D73" s="31">
        <f>装备!K74</f>
        <v>0</v>
      </c>
      <c r="E73" s="31">
        <f>装备!L74</f>
        <v>0</v>
      </c>
      <c r="F73" s="31">
        <f>装备!M74</f>
        <v>0</v>
      </c>
      <c r="G73" s="31">
        <f>装备!N74</f>
        <v>0</v>
      </c>
      <c r="H73" s="31">
        <f>装备!O74</f>
        <v>0</v>
      </c>
      <c r="I73" s="31">
        <f>IF(装备!J74=0,0,"'"&amp;装备!J74&amp;"'")</f>
        <v>0</v>
      </c>
      <c r="J73" s="31">
        <f>IF(装备!K74=0,0,"'"&amp;装备!K74&amp;"'")</f>
        <v>0</v>
      </c>
      <c r="K73" s="31">
        <f>IF(装备!L74=0,0,"'"&amp;装备!L74&amp;"'")</f>
        <v>0</v>
      </c>
      <c r="L73" s="31">
        <f>IF(装备!M74=0,0,"'"&amp;装备!M74&amp;"'")</f>
        <v>0</v>
      </c>
      <c r="M73" s="31">
        <f>IF(装备!N74=0,0,"'"&amp;装备!N74&amp;"'")</f>
        <v>0</v>
      </c>
      <c r="N73" s="31">
        <f>IF(装备!O74=0,0,"'"&amp;装备!O74&amp;"'")</f>
        <v>0</v>
      </c>
      <c r="O73" s="31" t="str">
        <f t="shared" si="16"/>
        <v/>
      </c>
      <c r="P73" s="31" t="str">
        <f t="shared" si="23"/>
        <v/>
      </c>
      <c r="Q73" s="35" t="str">
        <f>IFERROR(VLOOKUP(C73,装备!$B:$E,3,FALSE),"")</f>
        <v/>
      </c>
      <c r="R73" s="35" t="str">
        <f>IFERROR(VLOOKUP(D73,装备!$B:$E,3,FALSE),"")</f>
        <v/>
      </c>
      <c r="S73" s="35" t="str">
        <f>IFERROR(VLOOKUP(E73,装备!$B:$E,3,FALSE),"")</f>
        <v/>
      </c>
      <c r="T73" s="35" t="str">
        <f>IFERROR(VLOOKUP(F73,装备!$B:$E,3,FALSE),"")</f>
        <v/>
      </c>
      <c r="U73" s="35" t="str">
        <f>IFERROR(VLOOKUP(G73,装备!$B:$E,3,FALSE),"")</f>
        <v/>
      </c>
      <c r="V73" s="35" t="str">
        <f>IFERROR(VLOOKUP(H73,装备!$B:$E,3,FALSE),"")</f>
        <v/>
      </c>
      <c r="W73" s="30" t="str">
        <f t="shared" si="17"/>
        <v/>
      </c>
      <c r="X73" s="30" t="str">
        <f t="shared" si="18"/>
        <v/>
      </c>
      <c r="Y73" s="30" t="str">
        <f t="shared" si="19"/>
        <v/>
      </c>
      <c r="Z73" s="30" t="str">
        <f t="shared" si="20"/>
        <v/>
      </c>
      <c r="AA73" s="30" t="str">
        <f t="shared" si="21"/>
        <v/>
      </c>
      <c r="AB73" s="30" t="str">
        <f t="shared" si="22"/>
        <v>|n=0</v>
      </c>
    </row>
    <row r="74" spans="1:28">
      <c r="A74" s="31">
        <f>装备!A75</f>
        <v>0</v>
      </c>
      <c r="B74" s="31" t="str">
        <f>"'"&amp;装备!B75&amp;"'"</f>
        <v>'E223'</v>
      </c>
      <c r="C74" s="31">
        <f>装备!J75</f>
        <v>0</v>
      </c>
      <c r="D74" s="31">
        <f>装备!K75</f>
        <v>0</v>
      </c>
      <c r="E74" s="31">
        <f>装备!L75</f>
        <v>0</v>
      </c>
      <c r="F74" s="31">
        <f>装备!M75</f>
        <v>0</v>
      </c>
      <c r="G74" s="31">
        <f>装备!N75</f>
        <v>0</v>
      </c>
      <c r="H74" s="31">
        <f>装备!O75</f>
        <v>0</v>
      </c>
      <c r="I74" s="31">
        <f>IF(装备!J75=0,0,"'"&amp;装备!J75&amp;"'")</f>
        <v>0</v>
      </c>
      <c r="J74" s="31">
        <f>IF(装备!K75=0,0,"'"&amp;装备!K75&amp;"'")</f>
        <v>0</v>
      </c>
      <c r="K74" s="31">
        <f>IF(装备!L75=0,0,"'"&amp;装备!L75&amp;"'")</f>
        <v>0</v>
      </c>
      <c r="L74" s="31">
        <f>IF(装备!M75=0,0,"'"&amp;装备!M75&amp;"'")</f>
        <v>0</v>
      </c>
      <c r="M74" s="31">
        <f>IF(装备!N75=0,0,"'"&amp;装备!N75&amp;"'")</f>
        <v>0</v>
      </c>
      <c r="N74" s="31">
        <f>IF(装备!O75=0,0,"'"&amp;装备!O75&amp;"'")</f>
        <v>0</v>
      </c>
      <c r="O74" s="31" t="str">
        <f t="shared" si="16"/>
        <v/>
      </c>
      <c r="P74" s="31" t="str">
        <f t="shared" si="23"/>
        <v/>
      </c>
      <c r="Q74" s="35" t="str">
        <f>IFERROR(VLOOKUP(C74,装备!$B:$E,3,FALSE),"")</f>
        <v/>
      </c>
      <c r="R74" s="35" t="str">
        <f>IFERROR(VLOOKUP(D74,装备!$B:$E,3,FALSE),"")</f>
        <v/>
      </c>
      <c r="S74" s="35" t="str">
        <f>IFERROR(VLOOKUP(E74,装备!$B:$E,3,FALSE),"")</f>
        <v/>
      </c>
      <c r="T74" s="35" t="str">
        <f>IFERROR(VLOOKUP(F74,装备!$B:$E,3,FALSE),"")</f>
        <v/>
      </c>
      <c r="U74" s="35" t="str">
        <f>IFERROR(VLOOKUP(G74,装备!$B:$E,3,FALSE),"")</f>
        <v/>
      </c>
      <c r="V74" s="35" t="str">
        <f>IFERROR(VLOOKUP(H74,装备!$B:$E,3,FALSE),"")</f>
        <v/>
      </c>
      <c r="W74" s="30" t="str">
        <f t="shared" si="17"/>
        <v/>
      </c>
      <c r="X74" s="30" t="str">
        <f t="shared" si="18"/>
        <v/>
      </c>
      <c r="Y74" s="30" t="str">
        <f t="shared" si="19"/>
        <v/>
      </c>
      <c r="Z74" s="30" t="str">
        <f t="shared" si="20"/>
        <v/>
      </c>
      <c r="AA74" s="30" t="str">
        <f t="shared" si="21"/>
        <v/>
      </c>
      <c r="AB74" s="30" t="str">
        <f t="shared" si="22"/>
        <v>|n=0</v>
      </c>
    </row>
    <row r="75" spans="1:28">
      <c r="A75" s="31">
        <f>装备!A76</f>
        <v>0</v>
      </c>
      <c r="B75" s="31" t="str">
        <f>"'"&amp;装备!B76&amp;"'"</f>
        <v>'E224'</v>
      </c>
      <c r="C75" s="31">
        <f>装备!J76</f>
        <v>0</v>
      </c>
      <c r="D75" s="31">
        <f>装备!K76</f>
        <v>0</v>
      </c>
      <c r="E75" s="31">
        <f>装备!L76</f>
        <v>0</v>
      </c>
      <c r="F75" s="31">
        <f>装备!M76</f>
        <v>0</v>
      </c>
      <c r="G75" s="31">
        <f>装备!N76</f>
        <v>0</v>
      </c>
      <c r="H75" s="31">
        <f>装备!O76</f>
        <v>0</v>
      </c>
      <c r="I75" s="31">
        <f>IF(装备!J76=0,0,"'"&amp;装备!J76&amp;"'")</f>
        <v>0</v>
      </c>
      <c r="J75" s="31">
        <f>IF(装备!K76=0,0,"'"&amp;装备!K76&amp;"'")</f>
        <v>0</v>
      </c>
      <c r="K75" s="31">
        <f>IF(装备!L76=0,0,"'"&amp;装备!L76&amp;"'")</f>
        <v>0</v>
      </c>
      <c r="L75" s="31">
        <f>IF(装备!M76=0,0,"'"&amp;装备!M76&amp;"'")</f>
        <v>0</v>
      </c>
      <c r="M75" s="31">
        <f>IF(装备!N76=0,0,"'"&amp;装备!N76&amp;"'")</f>
        <v>0</v>
      </c>
      <c r="N75" s="31">
        <f>IF(装备!O76=0,0,"'"&amp;装备!O76&amp;"'")</f>
        <v>0</v>
      </c>
      <c r="O75" s="31" t="str">
        <f t="shared" si="16"/>
        <v/>
      </c>
      <c r="P75" s="31" t="str">
        <f t="shared" si="23"/>
        <v/>
      </c>
      <c r="Q75" s="35" t="str">
        <f>IFERROR(VLOOKUP(C75,装备!$B:$E,3,FALSE),"")</f>
        <v/>
      </c>
      <c r="R75" s="35" t="str">
        <f>IFERROR(VLOOKUP(D75,装备!$B:$E,3,FALSE),"")</f>
        <v/>
      </c>
      <c r="S75" s="35" t="str">
        <f>IFERROR(VLOOKUP(E75,装备!$B:$E,3,FALSE),"")</f>
        <v/>
      </c>
      <c r="T75" s="35" t="str">
        <f>IFERROR(VLOOKUP(F75,装备!$B:$E,3,FALSE),"")</f>
        <v/>
      </c>
      <c r="U75" s="35" t="str">
        <f>IFERROR(VLOOKUP(G75,装备!$B:$E,3,FALSE),"")</f>
        <v/>
      </c>
      <c r="V75" s="35" t="str">
        <f>IFERROR(VLOOKUP(H75,装备!$B:$E,3,FALSE),"")</f>
        <v/>
      </c>
      <c r="W75" s="30" t="str">
        <f t="shared" si="17"/>
        <v/>
      </c>
      <c r="X75" s="30" t="str">
        <f t="shared" si="18"/>
        <v/>
      </c>
      <c r="Y75" s="30" t="str">
        <f t="shared" si="19"/>
        <v/>
      </c>
      <c r="Z75" s="30" t="str">
        <f t="shared" si="20"/>
        <v/>
      </c>
      <c r="AA75" s="30" t="str">
        <f t="shared" si="21"/>
        <v/>
      </c>
      <c r="AB75" s="30" t="str">
        <f t="shared" si="22"/>
        <v>|n=0</v>
      </c>
    </row>
    <row r="76" spans="1:28">
      <c r="A76" s="31">
        <f>装备!A77</f>
        <v>0</v>
      </c>
      <c r="B76" s="31" t="str">
        <f>"'"&amp;装备!B77&amp;"'"</f>
        <v>'E225'</v>
      </c>
      <c r="C76" s="31">
        <f>装备!J77</f>
        <v>0</v>
      </c>
      <c r="D76" s="31">
        <f>装备!K77</f>
        <v>0</v>
      </c>
      <c r="E76" s="31">
        <f>装备!L77</f>
        <v>0</v>
      </c>
      <c r="F76" s="31">
        <f>装备!M77</f>
        <v>0</v>
      </c>
      <c r="G76" s="31">
        <f>装备!N77</f>
        <v>0</v>
      </c>
      <c r="H76" s="31">
        <f>装备!O77</f>
        <v>0</v>
      </c>
      <c r="I76" s="31">
        <f>IF(装备!J77=0,0,"'"&amp;装备!J77&amp;"'")</f>
        <v>0</v>
      </c>
      <c r="J76" s="31">
        <f>IF(装备!K77=0,0,"'"&amp;装备!K77&amp;"'")</f>
        <v>0</v>
      </c>
      <c r="K76" s="31">
        <f>IF(装备!L77=0,0,"'"&amp;装备!L77&amp;"'")</f>
        <v>0</v>
      </c>
      <c r="L76" s="31">
        <f>IF(装备!M77=0,0,"'"&amp;装备!M77&amp;"'")</f>
        <v>0</v>
      </c>
      <c r="M76" s="31">
        <f>IF(装备!N77=0,0,"'"&amp;装备!N77&amp;"'")</f>
        <v>0</v>
      </c>
      <c r="N76" s="31">
        <f>IF(装备!O77=0,0,"'"&amp;装备!O77&amp;"'")</f>
        <v>0</v>
      </c>
      <c r="O76" s="31" t="str">
        <f t="shared" si="16"/>
        <v/>
      </c>
      <c r="P76" s="31" t="str">
        <f t="shared" si="23"/>
        <v/>
      </c>
      <c r="Q76" s="35" t="str">
        <f>IFERROR(VLOOKUP(C76,装备!$B:$E,3,FALSE),"")</f>
        <v/>
      </c>
      <c r="R76" s="35" t="str">
        <f>IFERROR(VLOOKUP(D76,装备!$B:$E,3,FALSE),"")</f>
        <v/>
      </c>
      <c r="S76" s="35" t="str">
        <f>IFERROR(VLOOKUP(E76,装备!$B:$E,3,FALSE),"")</f>
        <v/>
      </c>
      <c r="T76" s="35" t="str">
        <f>IFERROR(VLOOKUP(F76,装备!$B:$E,3,FALSE),"")</f>
        <v/>
      </c>
      <c r="U76" s="35" t="str">
        <f>IFERROR(VLOOKUP(G76,装备!$B:$E,3,FALSE),"")</f>
        <v/>
      </c>
      <c r="V76" s="35" t="str">
        <f>IFERROR(VLOOKUP(H76,装备!$B:$E,3,FALSE),"")</f>
        <v/>
      </c>
      <c r="W76" s="30" t="str">
        <f t="shared" si="17"/>
        <v/>
      </c>
      <c r="X76" s="30" t="str">
        <f t="shared" si="18"/>
        <v/>
      </c>
      <c r="Y76" s="30" t="str">
        <f t="shared" si="19"/>
        <v/>
      </c>
      <c r="Z76" s="30" t="str">
        <f t="shared" si="20"/>
        <v/>
      </c>
      <c r="AA76" s="30" t="str">
        <f t="shared" si="21"/>
        <v/>
      </c>
      <c r="AB76" s="30" t="str">
        <f t="shared" si="22"/>
        <v>|n=0</v>
      </c>
    </row>
    <row r="77" spans="1:28">
      <c r="A77" s="31">
        <f>装备!A78</f>
        <v>0</v>
      </c>
      <c r="B77" s="31" t="str">
        <f>"'"&amp;装备!B78&amp;"'"</f>
        <v>'IJ01'</v>
      </c>
      <c r="C77" s="31">
        <f>装备!J78</f>
        <v>0</v>
      </c>
      <c r="D77" s="31">
        <f>装备!K78</f>
        <v>0</v>
      </c>
      <c r="E77" s="31">
        <f>装备!L78</f>
        <v>0</v>
      </c>
      <c r="F77" s="31">
        <f>装备!M78</f>
        <v>0</v>
      </c>
      <c r="G77" s="31">
        <f>装备!N78</f>
        <v>0</v>
      </c>
      <c r="H77" s="31">
        <f>装备!O78</f>
        <v>0</v>
      </c>
      <c r="I77" s="31">
        <f>IF(装备!J78=0,0,"'"&amp;装备!J78&amp;"'")</f>
        <v>0</v>
      </c>
      <c r="J77" s="31">
        <f>IF(装备!K78=0,0,"'"&amp;装备!K78&amp;"'")</f>
        <v>0</v>
      </c>
      <c r="K77" s="31">
        <f>IF(装备!L78=0,0,"'"&amp;装备!L78&amp;"'")</f>
        <v>0</v>
      </c>
      <c r="L77" s="31">
        <f>IF(装备!M78=0,0,"'"&amp;装备!M78&amp;"'")</f>
        <v>0</v>
      </c>
      <c r="M77" s="31">
        <f>IF(装备!N78=0,0,"'"&amp;装备!N78&amp;"'")</f>
        <v>0</v>
      </c>
      <c r="N77" s="31">
        <f>IF(装备!O78=0,0,"'"&amp;装备!O78&amp;"'")</f>
        <v>0</v>
      </c>
      <c r="O77" s="31" t="str">
        <f t="shared" ref="O77:O87" si="24">IF(I77=0,"","AddItemFormula("&amp;I77&amp;","&amp;J77&amp;","&amp;K77&amp;","&amp;L77&amp;","&amp;M77&amp;","&amp;N77&amp;","&amp;B77&amp;")")</f>
        <v/>
      </c>
      <c r="P77" s="31" t="str">
        <f t="shared" ref="P77:P87" si="25">IFERROR(VLOOKUP(A77,Q:AB,12,FALSE),IFERROR(VLOOKUP(A77,R:AB,11,FALSE),IFERROR(VLOOKUP(A77,S:AB,10,FALSE),"")))</f>
        <v/>
      </c>
      <c r="Q77" s="35" t="str">
        <f>IFERROR(VLOOKUP(C77,装备!$B:$E,3,FALSE),"")</f>
        <v/>
      </c>
      <c r="R77" s="35" t="str">
        <f>IFERROR(VLOOKUP(D77,装备!$B:$E,3,FALSE),"")</f>
        <v/>
      </c>
      <c r="S77" s="35" t="str">
        <f>IFERROR(VLOOKUP(E77,装备!$B:$E,3,FALSE),"")</f>
        <v/>
      </c>
      <c r="T77" s="35" t="str">
        <f>IFERROR(VLOOKUP(F77,装备!$B:$E,3,FALSE),"")</f>
        <v/>
      </c>
      <c r="U77" s="35" t="str">
        <f>IFERROR(VLOOKUP(G77,装备!$B:$E,3,FALSE),"")</f>
        <v/>
      </c>
      <c r="V77" s="35" t="str">
        <f>IFERROR(VLOOKUP(H77,装备!$B:$E,3,FALSE),"")</f>
        <v/>
      </c>
      <c r="W77" s="30" t="str">
        <f t="shared" ref="W77:W87" si="26">IF(R77="","","+"&amp;R77)</f>
        <v/>
      </c>
      <c r="X77" s="30" t="str">
        <f t="shared" ref="X77:X87" si="27">IF(S77="","","+"&amp;S77)</f>
        <v/>
      </c>
      <c r="Y77" s="30" t="str">
        <f t="shared" ref="Y77:Y87" si="28">IF(T77="","","+"&amp;T77)</f>
        <v/>
      </c>
      <c r="Z77" s="30" t="str">
        <f t="shared" ref="Z77:Z87" si="29">IF(U77="","","+"&amp;U77)</f>
        <v/>
      </c>
      <c r="AA77" s="30" t="str">
        <f t="shared" ref="AA77:AA87" si="30">IF(V77="","","+"&amp;V77)</f>
        <v/>
      </c>
      <c r="AB77" s="30" t="str">
        <f t="shared" ref="AB77:AB87" si="31">"|n"&amp;Q77&amp;W77&amp;X77&amp;Y77&amp;Z77&amp;AA77&amp;"="&amp;A77</f>
        <v>|n=0</v>
      </c>
    </row>
    <row r="78" spans="1:28">
      <c r="A78" s="31">
        <f>装备!A79</f>
        <v>0</v>
      </c>
      <c r="B78" s="31" t="str">
        <f>"'"&amp;装备!B79&amp;"'"</f>
        <v>'IJ02'</v>
      </c>
      <c r="C78" s="31">
        <f>装备!J79</f>
        <v>0</v>
      </c>
      <c r="D78" s="31">
        <f>装备!K79</f>
        <v>0</v>
      </c>
      <c r="E78" s="31">
        <f>装备!L79</f>
        <v>0</v>
      </c>
      <c r="F78" s="31">
        <f>装备!M79</f>
        <v>0</v>
      </c>
      <c r="G78" s="31">
        <f>装备!N79</f>
        <v>0</v>
      </c>
      <c r="H78" s="31">
        <f>装备!O79</f>
        <v>0</v>
      </c>
      <c r="I78" s="31">
        <f>IF(装备!J79=0,0,"'"&amp;装备!J79&amp;"'")</f>
        <v>0</v>
      </c>
      <c r="J78" s="31">
        <f>IF(装备!K79=0,0,"'"&amp;装备!K79&amp;"'")</f>
        <v>0</v>
      </c>
      <c r="K78" s="31">
        <f>IF(装备!L79=0,0,"'"&amp;装备!L79&amp;"'")</f>
        <v>0</v>
      </c>
      <c r="L78" s="31">
        <f>IF(装备!M79=0,0,"'"&amp;装备!M79&amp;"'")</f>
        <v>0</v>
      </c>
      <c r="M78" s="31">
        <f>IF(装备!N79=0,0,"'"&amp;装备!N79&amp;"'")</f>
        <v>0</v>
      </c>
      <c r="N78" s="31">
        <f>IF(装备!O79=0,0,"'"&amp;装备!O79&amp;"'")</f>
        <v>0</v>
      </c>
      <c r="O78" s="31" t="str">
        <f t="shared" si="24"/>
        <v/>
      </c>
      <c r="P78" s="31" t="str">
        <f t="shared" si="25"/>
        <v/>
      </c>
      <c r="Q78" s="35" t="str">
        <f>IFERROR(VLOOKUP(C78,装备!$B:$E,3,FALSE),"")</f>
        <v/>
      </c>
      <c r="R78" s="35" t="str">
        <f>IFERROR(VLOOKUP(D78,装备!$B:$E,3,FALSE),"")</f>
        <v/>
      </c>
      <c r="S78" s="35" t="str">
        <f>IFERROR(VLOOKUP(E78,装备!$B:$E,3,FALSE),"")</f>
        <v/>
      </c>
      <c r="T78" s="35" t="str">
        <f>IFERROR(VLOOKUP(F78,装备!$B:$E,3,FALSE),"")</f>
        <v/>
      </c>
      <c r="U78" s="35" t="str">
        <f>IFERROR(VLOOKUP(G78,装备!$B:$E,3,FALSE),"")</f>
        <v/>
      </c>
      <c r="V78" s="35" t="str">
        <f>IFERROR(VLOOKUP(H78,装备!$B:$E,3,FALSE),"")</f>
        <v/>
      </c>
      <c r="W78" s="30" t="str">
        <f t="shared" si="26"/>
        <v/>
      </c>
      <c r="X78" s="30" t="str">
        <f t="shared" si="27"/>
        <v/>
      </c>
      <c r="Y78" s="30" t="str">
        <f t="shared" si="28"/>
        <v/>
      </c>
      <c r="Z78" s="30" t="str">
        <f t="shared" si="29"/>
        <v/>
      </c>
      <c r="AA78" s="30" t="str">
        <f t="shared" si="30"/>
        <v/>
      </c>
      <c r="AB78" s="30" t="str">
        <f t="shared" si="31"/>
        <v>|n=0</v>
      </c>
    </row>
    <row r="79" spans="1:28">
      <c r="A79" s="31">
        <f>装备!A80</f>
        <v>0</v>
      </c>
      <c r="B79" s="31" t="str">
        <f>"'"&amp;装备!B80&amp;"'"</f>
        <v>'IJ03'</v>
      </c>
      <c r="C79" s="31">
        <f>装备!J80</f>
        <v>0</v>
      </c>
      <c r="D79" s="31">
        <f>装备!K80</f>
        <v>0</v>
      </c>
      <c r="E79" s="31">
        <f>装备!L80</f>
        <v>0</v>
      </c>
      <c r="F79" s="31">
        <f>装备!M80</f>
        <v>0</v>
      </c>
      <c r="G79" s="31">
        <f>装备!N80</f>
        <v>0</v>
      </c>
      <c r="H79" s="31">
        <f>装备!O80</f>
        <v>0</v>
      </c>
      <c r="I79" s="31">
        <f>IF(装备!J80=0,0,"'"&amp;装备!J80&amp;"'")</f>
        <v>0</v>
      </c>
      <c r="J79" s="31">
        <f>IF(装备!K80=0,0,"'"&amp;装备!K80&amp;"'")</f>
        <v>0</v>
      </c>
      <c r="K79" s="31">
        <f>IF(装备!L80=0,0,"'"&amp;装备!L80&amp;"'")</f>
        <v>0</v>
      </c>
      <c r="L79" s="31">
        <f>IF(装备!M80=0,0,"'"&amp;装备!M80&amp;"'")</f>
        <v>0</v>
      </c>
      <c r="M79" s="31">
        <f>IF(装备!N80=0,0,"'"&amp;装备!N80&amp;"'")</f>
        <v>0</v>
      </c>
      <c r="N79" s="31">
        <f>IF(装备!O80=0,0,"'"&amp;装备!O80&amp;"'")</f>
        <v>0</v>
      </c>
      <c r="O79" s="31" t="str">
        <f t="shared" si="24"/>
        <v/>
      </c>
      <c r="P79" s="31" t="str">
        <f t="shared" si="25"/>
        <v/>
      </c>
      <c r="Q79" s="35" t="str">
        <f>IFERROR(VLOOKUP(C79,装备!$B:$E,3,FALSE),"")</f>
        <v/>
      </c>
      <c r="R79" s="35" t="str">
        <f>IFERROR(VLOOKUP(D79,装备!$B:$E,3,FALSE),"")</f>
        <v/>
      </c>
      <c r="S79" s="35" t="str">
        <f>IFERROR(VLOOKUP(E79,装备!$B:$E,3,FALSE),"")</f>
        <v/>
      </c>
      <c r="T79" s="35" t="str">
        <f>IFERROR(VLOOKUP(F79,装备!$B:$E,3,FALSE),"")</f>
        <v/>
      </c>
      <c r="U79" s="35" t="str">
        <f>IFERROR(VLOOKUP(G79,装备!$B:$E,3,FALSE),"")</f>
        <v/>
      </c>
      <c r="V79" s="35" t="str">
        <f>IFERROR(VLOOKUP(H79,装备!$B:$E,3,FALSE),"")</f>
        <v/>
      </c>
      <c r="W79" s="30" t="str">
        <f t="shared" si="26"/>
        <v/>
      </c>
      <c r="X79" s="30" t="str">
        <f t="shared" si="27"/>
        <v/>
      </c>
      <c r="Y79" s="30" t="str">
        <f t="shared" si="28"/>
        <v/>
      </c>
      <c r="Z79" s="30" t="str">
        <f t="shared" si="29"/>
        <v/>
      </c>
      <c r="AA79" s="30" t="str">
        <f t="shared" si="30"/>
        <v/>
      </c>
      <c r="AB79" s="30" t="str">
        <f t="shared" si="31"/>
        <v>|n=0</v>
      </c>
    </row>
    <row r="80" spans="1:28">
      <c r="A80" s="31">
        <f>装备!A81</f>
        <v>0</v>
      </c>
      <c r="B80" s="31" t="str">
        <f>"'"&amp;装备!B81&amp;"'"</f>
        <v>'IJ04'</v>
      </c>
      <c r="C80" s="31">
        <f>装备!J81</f>
        <v>0</v>
      </c>
      <c r="D80" s="31">
        <f>装备!K81</f>
        <v>0</v>
      </c>
      <c r="E80" s="31">
        <f>装备!L81</f>
        <v>0</v>
      </c>
      <c r="F80" s="31">
        <f>装备!M81</f>
        <v>0</v>
      </c>
      <c r="G80" s="31">
        <f>装备!N81</f>
        <v>0</v>
      </c>
      <c r="H80" s="31">
        <f>装备!O81</f>
        <v>0</v>
      </c>
      <c r="I80" s="31">
        <f>IF(装备!J81=0,0,"'"&amp;装备!J81&amp;"'")</f>
        <v>0</v>
      </c>
      <c r="J80" s="31">
        <f>IF(装备!K81=0,0,"'"&amp;装备!K81&amp;"'")</f>
        <v>0</v>
      </c>
      <c r="K80" s="31">
        <f>IF(装备!L81=0,0,"'"&amp;装备!L81&amp;"'")</f>
        <v>0</v>
      </c>
      <c r="L80" s="31">
        <f>IF(装备!M81=0,0,"'"&amp;装备!M81&amp;"'")</f>
        <v>0</v>
      </c>
      <c r="M80" s="31">
        <f>IF(装备!N81=0,0,"'"&amp;装备!N81&amp;"'")</f>
        <v>0</v>
      </c>
      <c r="N80" s="31">
        <f>IF(装备!O81=0,0,"'"&amp;装备!O81&amp;"'")</f>
        <v>0</v>
      </c>
      <c r="O80" s="31" t="str">
        <f t="shared" si="24"/>
        <v/>
      </c>
      <c r="P80" s="31" t="str">
        <f t="shared" si="25"/>
        <v/>
      </c>
      <c r="Q80" s="35" t="str">
        <f>IFERROR(VLOOKUP(C80,装备!$B:$E,3,FALSE),"")</f>
        <v/>
      </c>
      <c r="R80" s="35" t="str">
        <f>IFERROR(VLOOKUP(D80,装备!$B:$E,3,FALSE),"")</f>
        <v/>
      </c>
      <c r="S80" s="35" t="str">
        <f>IFERROR(VLOOKUP(E80,装备!$B:$E,3,FALSE),"")</f>
        <v/>
      </c>
      <c r="T80" s="35" t="str">
        <f>IFERROR(VLOOKUP(F80,装备!$B:$E,3,FALSE),"")</f>
        <v/>
      </c>
      <c r="U80" s="35" t="str">
        <f>IFERROR(VLOOKUP(G80,装备!$B:$E,3,FALSE),"")</f>
        <v/>
      </c>
      <c r="V80" s="35" t="str">
        <f>IFERROR(VLOOKUP(H80,装备!$B:$E,3,FALSE),"")</f>
        <v/>
      </c>
      <c r="W80" s="30" t="str">
        <f t="shared" si="26"/>
        <v/>
      </c>
      <c r="X80" s="30" t="str">
        <f t="shared" si="27"/>
        <v/>
      </c>
      <c r="Y80" s="30" t="str">
        <f t="shared" si="28"/>
        <v/>
      </c>
      <c r="Z80" s="30" t="str">
        <f t="shared" si="29"/>
        <v/>
      </c>
      <c r="AA80" s="30" t="str">
        <f t="shared" si="30"/>
        <v/>
      </c>
      <c r="AB80" s="30" t="str">
        <f t="shared" si="31"/>
        <v>|n=0</v>
      </c>
    </row>
    <row r="81" spans="1:28">
      <c r="A81" s="31">
        <f>装备!A82</f>
        <v>0</v>
      </c>
      <c r="B81" s="31" t="str">
        <f>"'"&amp;装备!B82&amp;"'"</f>
        <v>'IJ05'</v>
      </c>
      <c r="C81" s="31">
        <f>装备!J82</f>
        <v>0</v>
      </c>
      <c r="D81" s="31">
        <f>装备!K82</f>
        <v>0</v>
      </c>
      <c r="E81" s="31">
        <f>装备!L82</f>
        <v>0</v>
      </c>
      <c r="F81" s="31">
        <f>装备!M82</f>
        <v>0</v>
      </c>
      <c r="G81" s="31">
        <f>装备!N82</f>
        <v>0</v>
      </c>
      <c r="H81" s="31">
        <f>装备!O82</f>
        <v>0</v>
      </c>
      <c r="I81" s="31">
        <f>IF(装备!J82=0,0,"'"&amp;装备!J82&amp;"'")</f>
        <v>0</v>
      </c>
      <c r="J81" s="31">
        <f>IF(装备!K82=0,0,"'"&amp;装备!K82&amp;"'")</f>
        <v>0</v>
      </c>
      <c r="K81" s="31">
        <f>IF(装备!L82=0,0,"'"&amp;装备!L82&amp;"'")</f>
        <v>0</v>
      </c>
      <c r="L81" s="31">
        <f>IF(装备!M82=0,0,"'"&amp;装备!M82&amp;"'")</f>
        <v>0</v>
      </c>
      <c r="M81" s="31">
        <f>IF(装备!N82=0,0,"'"&amp;装备!N82&amp;"'")</f>
        <v>0</v>
      </c>
      <c r="N81" s="31">
        <f>IF(装备!O82=0,0,"'"&amp;装备!O82&amp;"'")</f>
        <v>0</v>
      </c>
      <c r="O81" s="31" t="str">
        <f t="shared" si="24"/>
        <v/>
      </c>
      <c r="P81" s="31" t="str">
        <f t="shared" si="25"/>
        <v/>
      </c>
      <c r="Q81" s="35" t="str">
        <f>IFERROR(VLOOKUP(C81,装备!$B:$E,3,FALSE),"")</f>
        <v/>
      </c>
      <c r="R81" s="35" t="str">
        <f>IFERROR(VLOOKUP(D81,装备!$B:$E,3,FALSE),"")</f>
        <v/>
      </c>
      <c r="S81" s="35" t="str">
        <f>IFERROR(VLOOKUP(E81,装备!$B:$E,3,FALSE),"")</f>
        <v/>
      </c>
      <c r="T81" s="35" t="str">
        <f>IFERROR(VLOOKUP(F81,装备!$B:$E,3,FALSE),"")</f>
        <v/>
      </c>
      <c r="U81" s="35" t="str">
        <f>IFERROR(VLOOKUP(G81,装备!$B:$E,3,FALSE),"")</f>
        <v/>
      </c>
      <c r="V81" s="35" t="str">
        <f>IFERROR(VLOOKUP(H81,装备!$B:$E,3,FALSE),"")</f>
        <v/>
      </c>
      <c r="W81" s="30" t="str">
        <f t="shared" si="26"/>
        <v/>
      </c>
      <c r="X81" s="30" t="str">
        <f t="shared" si="27"/>
        <v/>
      </c>
      <c r="Y81" s="30" t="str">
        <f t="shared" si="28"/>
        <v/>
      </c>
      <c r="Z81" s="30" t="str">
        <f t="shared" si="29"/>
        <v/>
      </c>
      <c r="AA81" s="30" t="str">
        <f t="shared" si="30"/>
        <v/>
      </c>
      <c r="AB81" s="30" t="str">
        <f t="shared" si="31"/>
        <v>|n=0</v>
      </c>
    </row>
    <row r="82" spans="1:28">
      <c r="A82" s="31">
        <f>装备!A83</f>
        <v>0</v>
      </c>
      <c r="B82" s="31" t="str">
        <f>"'"&amp;装备!B83&amp;"'"</f>
        <v>'IJ06'</v>
      </c>
      <c r="C82" s="31">
        <f>装备!J83</f>
        <v>0</v>
      </c>
      <c r="D82" s="31">
        <f>装备!K83</f>
        <v>0</v>
      </c>
      <c r="E82" s="31">
        <f>装备!L83</f>
        <v>0</v>
      </c>
      <c r="F82" s="31">
        <f>装备!M83</f>
        <v>0</v>
      </c>
      <c r="G82" s="31">
        <f>装备!N83</f>
        <v>0</v>
      </c>
      <c r="H82" s="31">
        <f>装备!O83</f>
        <v>0</v>
      </c>
      <c r="I82" s="31">
        <f>IF(装备!J83=0,0,"'"&amp;装备!J83&amp;"'")</f>
        <v>0</v>
      </c>
      <c r="J82" s="31">
        <f>IF(装备!K83=0,0,"'"&amp;装备!K83&amp;"'")</f>
        <v>0</v>
      </c>
      <c r="K82" s="31">
        <f>IF(装备!L83=0,0,"'"&amp;装备!L83&amp;"'")</f>
        <v>0</v>
      </c>
      <c r="L82" s="31">
        <f>IF(装备!M83=0,0,"'"&amp;装备!M83&amp;"'")</f>
        <v>0</v>
      </c>
      <c r="M82" s="31">
        <f>IF(装备!N83=0,0,"'"&amp;装备!N83&amp;"'")</f>
        <v>0</v>
      </c>
      <c r="N82" s="31">
        <f>IF(装备!O83=0,0,"'"&amp;装备!O83&amp;"'")</f>
        <v>0</v>
      </c>
      <c r="O82" s="31" t="str">
        <f t="shared" si="24"/>
        <v/>
      </c>
      <c r="P82" s="31" t="str">
        <f t="shared" si="25"/>
        <v/>
      </c>
      <c r="Q82" s="35" t="str">
        <f>IFERROR(VLOOKUP(C82,装备!$B:$E,3,FALSE),"")</f>
        <v/>
      </c>
      <c r="R82" s="35" t="str">
        <f>IFERROR(VLOOKUP(D82,装备!$B:$E,3,FALSE),"")</f>
        <v/>
      </c>
      <c r="S82" s="35" t="str">
        <f>IFERROR(VLOOKUP(E82,装备!$B:$E,3,FALSE),"")</f>
        <v/>
      </c>
      <c r="T82" s="35" t="str">
        <f>IFERROR(VLOOKUP(F82,装备!$B:$E,3,FALSE),"")</f>
        <v/>
      </c>
      <c r="U82" s="35" t="str">
        <f>IFERROR(VLOOKUP(G82,装备!$B:$E,3,FALSE),"")</f>
        <v/>
      </c>
      <c r="V82" s="35" t="str">
        <f>IFERROR(VLOOKUP(H82,装备!$B:$E,3,FALSE),"")</f>
        <v/>
      </c>
      <c r="W82" s="30" t="str">
        <f t="shared" si="26"/>
        <v/>
      </c>
      <c r="X82" s="30" t="str">
        <f t="shared" si="27"/>
        <v/>
      </c>
      <c r="Y82" s="30" t="str">
        <f t="shared" si="28"/>
        <v/>
      </c>
      <c r="Z82" s="30" t="str">
        <f t="shared" si="29"/>
        <v/>
      </c>
      <c r="AA82" s="30" t="str">
        <f t="shared" si="30"/>
        <v/>
      </c>
      <c r="AB82" s="30" t="str">
        <f t="shared" si="31"/>
        <v>|n=0</v>
      </c>
    </row>
    <row r="83" spans="1:28">
      <c r="A83" s="31">
        <f>装备!A84</f>
        <v>0</v>
      </c>
      <c r="B83" s="31" t="str">
        <f>"'"&amp;装备!B84&amp;"'"</f>
        <v>'IJ07'</v>
      </c>
      <c r="C83" s="31">
        <f>装备!J84</f>
        <v>0</v>
      </c>
      <c r="D83" s="31">
        <f>装备!K84</f>
        <v>0</v>
      </c>
      <c r="E83" s="31">
        <f>装备!L84</f>
        <v>0</v>
      </c>
      <c r="F83" s="31">
        <f>装备!M84</f>
        <v>0</v>
      </c>
      <c r="G83" s="31">
        <f>装备!N84</f>
        <v>0</v>
      </c>
      <c r="H83" s="31">
        <f>装备!O84</f>
        <v>0</v>
      </c>
      <c r="I83" s="31">
        <f>IF(装备!J84=0,0,"'"&amp;装备!J84&amp;"'")</f>
        <v>0</v>
      </c>
      <c r="J83" s="31">
        <f>IF(装备!K84=0,0,"'"&amp;装备!K84&amp;"'")</f>
        <v>0</v>
      </c>
      <c r="K83" s="31">
        <f>IF(装备!L84=0,0,"'"&amp;装备!L84&amp;"'")</f>
        <v>0</v>
      </c>
      <c r="L83" s="31">
        <f>IF(装备!M84=0,0,"'"&amp;装备!M84&amp;"'")</f>
        <v>0</v>
      </c>
      <c r="M83" s="31">
        <f>IF(装备!N84=0,0,"'"&amp;装备!N84&amp;"'")</f>
        <v>0</v>
      </c>
      <c r="N83" s="31">
        <f>IF(装备!O84=0,0,"'"&amp;装备!O84&amp;"'")</f>
        <v>0</v>
      </c>
      <c r="O83" s="31" t="str">
        <f t="shared" si="24"/>
        <v/>
      </c>
      <c r="P83" s="31" t="str">
        <f t="shared" si="25"/>
        <v/>
      </c>
      <c r="Q83" s="35" t="str">
        <f>IFERROR(VLOOKUP(C83,装备!$B:$E,3,FALSE),"")</f>
        <v/>
      </c>
      <c r="R83" s="35" t="str">
        <f>IFERROR(VLOOKUP(D83,装备!$B:$E,3,FALSE),"")</f>
        <v/>
      </c>
      <c r="S83" s="35" t="str">
        <f>IFERROR(VLOOKUP(E83,装备!$B:$E,3,FALSE),"")</f>
        <v/>
      </c>
      <c r="T83" s="35" t="str">
        <f>IFERROR(VLOOKUP(F83,装备!$B:$E,3,FALSE),"")</f>
        <v/>
      </c>
      <c r="U83" s="35" t="str">
        <f>IFERROR(VLOOKUP(G83,装备!$B:$E,3,FALSE),"")</f>
        <v/>
      </c>
      <c r="V83" s="35" t="str">
        <f>IFERROR(VLOOKUP(H83,装备!$B:$E,3,FALSE),"")</f>
        <v/>
      </c>
      <c r="W83" s="30" t="str">
        <f t="shared" si="26"/>
        <v/>
      </c>
      <c r="X83" s="30" t="str">
        <f t="shared" si="27"/>
        <v/>
      </c>
      <c r="Y83" s="30" t="str">
        <f t="shared" si="28"/>
        <v/>
      </c>
      <c r="Z83" s="30" t="str">
        <f t="shared" si="29"/>
        <v/>
      </c>
      <c r="AA83" s="30" t="str">
        <f t="shared" si="30"/>
        <v/>
      </c>
      <c r="AB83" s="30" t="str">
        <f t="shared" si="31"/>
        <v>|n=0</v>
      </c>
    </row>
    <row r="84" spans="1:28">
      <c r="A84" s="31">
        <f>装备!A85</f>
        <v>0</v>
      </c>
      <c r="B84" s="31" t="str">
        <f>"'"&amp;装备!B85&amp;"'"</f>
        <v>'IJ08'</v>
      </c>
      <c r="C84" s="31">
        <f>装备!J85</f>
        <v>0</v>
      </c>
      <c r="D84" s="31">
        <f>装备!K85</f>
        <v>0</v>
      </c>
      <c r="E84" s="31">
        <f>装备!L85</f>
        <v>0</v>
      </c>
      <c r="F84" s="31">
        <f>装备!M85</f>
        <v>0</v>
      </c>
      <c r="G84" s="31">
        <f>装备!N85</f>
        <v>0</v>
      </c>
      <c r="H84" s="31">
        <f>装备!O85</f>
        <v>0</v>
      </c>
      <c r="I84" s="31">
        <f>IF(装备!J85=0,0,"'"&amp;装备!J85&amp;"'")</f>
        <v>0</v>
      </c>
      <c r="J84" s="31">
        <f>IF(装备!K85=0,0,"'"&amp;装备!K85&amp;"'")</f>
        <v>0</v>
      </c>
      <c r="K84" s="31">
        <f>IF(装备!L85=0,0,"'"&amp;装备!L85&amp;"'")</f>
        <v>0</v>
      </c>
      <c r="L84" s="31">
        <f>IF(装备!M85=0,0,"'"&amp;装备!M85&amp;"'")</f>
        <v>0</v>
      </c>
      <c r="M84" s="31">
        <f>IF(装备!N85=0,0,"'"&amp;装备!N85&amp;"'")</f>
        <v>0</v>
      </c>
      <c r="N84" s="31">
        <f>IF(装备!O85=0,0,"'"&amp;装备!O85&amp;"'")</f>
        <v>0</v>
      </c>
      <c r="O84" s="31" t="str">
        <f t="shared" si="24"/>
        <v/>
      </c>
      <c r="P84" s="31" t="str">
        <f t="shared" si="25"/>
        <v/>
      </c>
      <c r="Q84" s="35" t="str">
        <f>IFERROR(VLOOKUP(C84,装备!$B:$E,3,FALSE),"")</f>
        <v/>
      </c>
      <c r="R84" s="35" t="str">
        <f>IFERROR(VLOOKUP(D84,装备!$B:$E,3,FALSE),"")</f>
        <v/>
      </c>
      <c r="S84" s="35" t="str">
        <f>IFERROR(VLOOKUP(E84,装备!$B:$E,3,FALSE),"")</f>
        <v/>
      </c>
      <c r="T84" s="35" t="str">
        <f>IFERROR(VLOOKUP(F84,装备!$B:$E,3,FALSE),"")</f>
        <v/>
      </c>
      <c r="U84" s="35" t="str">
        <f>IFERROR(VLOOKUP(G84,装备!$B:$E,3,FALSE),"")</f>
        <v/>
      </c>
      <c r="V84" s="35" t="str">
        <f>IFERROR(VLOOKUP(H84,装备!$B:$E,3,FALSE),"")</f>
        <v/>
      </c>
      <c r="W84" s="30" t="str">
        <f t="shared" si="26"/>
        <v/>
      </c>
      <c r="X84" s="30" t="str">
        <f t="shared" si="27"/>
        <v/>
      </c>
      <c r="Y84" s="30" t="str">
        <f t="shared" si="28"/>
        <v/>
      </c>
      <c r="Z84" s="30" t="str">
        <f t="shared" si="29"/>
        <v/>
      </c>
      <c r="AA84" s="30" t="str">
        <f t="shared" si="30"/>
        <v/>
      </c>
      <c r="AB84" s="30" t="str">
        <f t="shared" si="31"/>
        <v>|n=0</v>
      </c>
    </row>
    <row r="85" spans="1:28">
      <c r="A85" s="31">
        <f>装备!A86</f>
        <v>0</v>
      </c>
      <c r="B85" s="31" t="str">
        <f>"'"&amp;装备!B86&amp;"'"</f>
        <v>'IJ09'</v>
      </c>
      <c r="C85" s="31">
        <f>装备!J86</f>
        <v>0</v>
      </c>
      <c r="D85" s="31">
        <f>装备!K86</f>
        <v>0</v>
      </c>
      <c r="E85" s="31">
        <f>装备!L86</f>
        <v>0</v>
      </c>
      <c r="F85" s="31">
        <f>装备!M86</f>
        <v>0</v>
      </c>
      <c r="G85" s="31">
        <f>装备!N86</f>
        <v>0</v>
      </c>
      <c r="H85" s="31">
        <f>装备!O86</f>
        <v>0</v>
      </c>
      <c r="I85" s="31">
        <f>IF(装备!J86=0,0,"'"&amp;装备!J86&amp;"'")</f>
        <v>0</v>
      </c>
      <c r="J85" s="31">
        <f>IF(装备!K86=0,0,"'"&amp;装备!K86&amp;"'")</f>
        <v>0</v>
      </c>
      <c r="K85" s="31">
        <f>IF(装备!L86=0,0,"'"&amp;装备!L86&amp;"'")</f>
        <v>0</v>
      </c>
      <c r="L85" s="31">
        <f>IF(装备!M86=0,0,"'"&amp;装备!M86&amp;"'")</f>
        <v>0</v>
      </c>
      <c r="M85" s="31">
        <f>IF(装备!N86=0,0,"'"&amp;装备!N86&amp;"'")</f>
        <v>0</v>
      </c>
      <c r="N85" s="31">
        <f>IF(装备!O86=0,0,"'"&amp;装备!O86&amp;"'")</f>
        <v>0</v>
      </c>
      <c r="O85" s="31" t="str">
        <f t="shared" si="24"/>
        <v/>
      </c>
      <c r="P85" s="31" t="str">
        <f t="shared" si="25"/>
        <v/>
      </c>
      <c r="Q85" s="35" t="str">
        <f>IFERROR(VLOOKUP(C85,装备!$B:$E,3,FALSE),"")</f>
        <v/>
      </c>
      <c r="R85" s="35" t="str">
        <f>IFERROR(VLOOKUP(D85,装备!$B:$E,3,FALSE),"")</f>
        <v/>
      </c>
      <c r="S85" s="35" t="str">
        <f>IFERROR(VLOOKUP(E85,装备!$B:$E,3,FALSE),"")</f>
        <v/>
      </c>
      <c r="T85" s="35" t="str">
        <f>IFERROR(VLOOKUP(F85,装备!$B:$E,3,FALSE),"")</f>
        <v/>
      </c>
      <c r="U85" s="35" t="str">
        <f>IFERROR(VLOOKUP(G85,装备!$B:$E,3,FALSE),"")</f>
        <v/>
      </c>
      <c r="V85" s="35" t="str">
        <f>IFERROR(VLOOKUP(H85,装备!$B:$E,3,FALSE),"")</f>
        <v/>
      </c>
      <c r="W85" s="30" t="str">
        <f t="shared" si="26"/>
        <v/>
      </c>
      <c r="X85" s="30" t="str">
        <f t="shared" si="27"/>
        <v/>
      </c>
      <c r="Y85" s="30" t="str">
        <f t="shared" si="28"/>
        <v/>
      </c>
      <c r="Z85" s="30" t="str">
        <f t="shared" si="29"/>
        <v/>
      </c>
      <c r="AA85" s="30" t="str">
        <f t="shared" si="30"/>
        <v/>
      </c>
      <c r="AB85" s="30" t="str">
        <f t="shared" si="31"/>
        <v>|n=0</v>
      </c>
    </row>
    <row r="86" spans="1:28">
      <c r="A86" s="31">
        <f>装备!A87</f>
        <v>0</v>
      </c>
      <c r="B86" s="31" t="str">
        <f>"'"&amp;装备!B87&amp;"'"</f>
        <v>'IJ10'</v>
      </c>
      <c r="C86" s="31">
        <f>装备!J87</f>
        <v>0</v>
      </c>
      <c r="D86" s="31">
        <f>装备!K87</f>
        <v>0</v>
      </c>
      <c r="E86" s="31">
        <f>装备!L87</f>
        <v>0</v>
      </c>
      <c r="F86" s="31">
        <f>装备!M87</f>
        <v>0</v>
      </c>
      <c r="G86" s="31">
        <f>装备!N87</f>
        <v>0</v>
      </c>
      <c r="H86" s="31">
        <f>装备!O87</f>
        <v>0</v>
      </c>
      <c r="I86" s="31">
        <f>IF(装备!J87=0,0,"'"&amp;装备!J87&amp;"'")</f>
        <v>0</v>
      </c>
      <c r="J86" s="31">
        <f>IF(装备!K87=0,0,"'"&amp;装备!K87&amp;"'")</f>
        <v>0</v>
      </c>
      <c r="K86" s="31">
        <f>IF(装备!L87=0,0,"'"&amp;装备!L87&amp;"'")</f>
        <v>0</v>
      </c>
      <c r="L86" s="31">
        <f>IF(装备!M87=0,0,"'"&amp;装备!M87&amp;"'")</f>
        <v>0</v>
      </c>
      <c r="M86" s="31">
        <f>IF(装备!N87=0,0,"'"&amp;装备!N87&amp;"'")</f>
        <v>0</v>
      </c>
      <c r="N86" s="31">
        <f>IF(装备!O87=0,0,"'"&amp;装备!O87&amp;"'")</f>
        <v>0</v>
      </c>
      <c r="O86" s="31" t="str">
        <f t="shared" si="24"/>
        <v/>
      </c>
      <c r="P86" s="31" t="str">
        <f t="shared" si="25"/>
        <v/>
      </c>
      <c r="Q86" s="35" t="str">
        <f>IFERROR(VLOOKUP(C86,装备!$B:$E,3,FALSE),"")</f>
        <v/>
      </c>
      <c r="R86" s="35" t="str">
        <f>IFERROR(VLOOKUP(D86,装备!$B:$E,3,FALSE),"")</f>
        <v/>
      </c>
      <c r="S86" s="35" t="str">
        <f>IFERROR(VLOOKUP(E86,装备!$B:$E,3,FALSE),"")</f>
        <v/>
      </c>
      <c r="T86" s="35" t="str">
        <f>IFERROR(VLOOKUP(F86,装备!$B:$E,3,FALSE),"")</f>
        <v/>
      </c>
      <c r="U86" s="35" t="str">
        <f>IFERROR(VLOOKUP(G86,装备!$B:$E,3,FALSE),"")</f>
        <v/>
      </c>
      <c r="V86" s="35" t="str">
        <f>IFERROR(VLOOKUP(H86,装备!$B:$E,3,FALSE),"")</f>
        <v/>
      </c>
      <c r="W86" s="30" t="str">
        <f t="shared" si="26"/>
        <v/>
      </c>
      <c r="X86" s="30" t="str">
        <f t="shared" si="27"/>
        <v/>
      </c>
      <c r="Y86" s="30" t="str">
        <f t="shared" si="28"/>
        <v/>
      </c>
      <c r="Z86" s="30" t="str">
        <f t="shared" si="29"/>
        <v/>
      </c>
      <c r="AA86" s="30" t="str">
        <f t="shared" si="30"/>
        <v/>
      </c>
      <c r="AB86" s="30" t="str">
        <f t="shared" si="31"/>
        <v>|n=0</v>
      </c>
    </row>
    <row r="87" spans="1:28">
      <c r="A87" s="31" t="e">
        <f>装备!#REF!</f>
        <v>#REF!</v>
      </c>
      <c r="B87" s="31" t="e">
        <f>"'"&amp;装备!#REF!&amp;"'"</f>
        <v>#REF!</v>
      </c>
      <c r="C87" s="31" t="e">
        <f>装备!#REF!</f>
        <v>#REF!</v>
      </c>
      <c r="D87" s="31" t="e">
        <f>装备!#REF!</f>
        <v>#REF!</v>
      </c>
      <c r="E87" s="31" t="e">
        <f>装备!#REF!</f>
        <v>#REF!</v>
      </c>
      <c r="F87" s="31" t="e">
        <f>装备!#REF!</f>
        <v>#REF!</v>
      </c>
      <c r="G87" s="31" t="e">
        <f>装备!#REF!</f>
        <v>#REF!</v>
      </c>
      <c r="H87" s="31" t="e">
        <f>装备!#REF!</f>
        <v>#REF!</v>
      </c>
      <c r="I87" s="31" t="e">
        <f>IF(装备!#REF!=0,0,"'"&amp;装备!#REF!&amp;"'")</f>
        <v>#REF!</v>
      </c>
      <c r="J87" s="31" t="e">
        <f>IF(装备!#REF!=0,0,"'"&amp;装备!#REF!&amp;"'")</f>
        <v>#REF!</v>
      </c>
      <c r="K87" s="31" t="e">
        <f>IF(装备!#REF!=0,0,"'"&amp;装备!#REF!&amp;"'")</f>
        <v>#REF!</v>
      </c>
      <c r="L87" s="31" t="e">
        <f>IF(装备!#REF!=0,0,"'"&amp;装备!#REF!&amp;"'")</f>
        <v>#REF!</v>
      </c>
      <c r="M87" s="31" t="e">
        <f>IF(装备!#REF!=0,0,"'"&amp;装备!#REF!&amp;"'")</f>
        <v>#REF!</v>
      </c>
      <c r="N87" s="31" t="e">
        <f>IF(装备!#REF!=0,0,"'"&amp;装备!#REF!&amp;"'")</f>
        <v>#REF!</v>
      </c>
      <c r="O87" s="31" t="e">
        <f t="shared" si="24"/>
        <v>#REF!</v>
      </c>
      <c r="P87" s="31" t="str">
        <f t="shared" si="25"/>
        <v/>
      </c>
      <c r="Q87" s="35" t="str">
        <f>IFERROR(VLOOKUP(C87,装备!$B:$E,3,FALSE),"")</f>
        <v/>
      </c>
      <c r="R87" s="35" t="str">
        <f>IFERROR(VLOOKUP(D87,装备!$B:$E,3,FALSE),"")</f>
        <v/>
      </c>
      <c r="S87" s="35" t="str">
        <f>IFERROR(VLOOKUP(E87,装备!$B:$E,3,FALSE),"")</f>
        <v/>
      </c>
      <c r="T87" s="35" t="str">
        <f>IFERROR(VLOOKUP(F87,装备!$B:$E,3,FALSE),"")</f>
        <v/>
      </c>
      <c r="U87" s="35" t="str">
        <f>IFERROR(VLOOKUP(G87,装备!$B:$E,3,FALSE),"")</f>
        <v/>
      </c>
      <c r="V87" s="35" t="str">
        <f>IFERROR(VLOOKUP(H87,装备!$B:$E,3,FALSE),"")</f>
        <v/>
      </c>
      <c r="W87" s="30" t="str">
        <f t="shared" si="26"/>
        <v/>
      </c>
      <c r="X87" s="30" t="str">
        <f t="shared" si="27"/>
        <v/>
      </c>
      <c r="Y87" s="30" t="str">
        <f t="shared" si="28"/>
        <v/>
      </c>
      <c r="Z87" s="30" t="str">
        <f t="shared" si="29"/>
        <v/>
      </c>
      <c r="AA87" s="30" t="str">
        <f t="shared" si="30"/>
        <v/>
      </c>
      <c r="AB87" s="30" t="e">
        <f t="shared" si="31"/>
        <v>#REF!</v>
      </c>
    </row>
    <row r="88" spans="1:28">
      <c r="A88" s="31" t="e">
        <f>装备!#REF!</f>
        <v>#REF!</v>
      </c>
      <c r="B88" s="31" t="e">
        <f>"'"&amp;装备!#REF!&amp;"'"</f>
        <v>#REF!</v>
      </c>
      <c r="C88" s="31" t="e">
        <f>装备!#REF!</f>
        <v>#REF!</v>
      </c>
      <c r="D88" s="31" t="e">
        <f>装备!#REF!</f>
        <v>#REF!</v>
      </c>
      <c r="E88" s="31" t="e">
        <f>装备!#REF!</f>
        <v>#REF!</v>
      </c>
      <c r="F88" s="31" t="e">
        <f>装备!#REF!</f>
        <v>#REF!</v>
      </c>
      <c r="G88" s="31" t="e">
        <f>装备!#REF!</f>
        <v>#REF!</v>
      </c>
      <c r="H88" s="31" t="e">
        <f>装备!#REF!</f>
        <v>#REF!</v>
      </c>
      <c r="I88" s="31" t="e">
        <f>IF(装备!#REF!=0,0,"'"&amp;装备!#REF!&amp;"'")</f>
        <v>#REF!</v>
      </c>
      <c r="J88" s="31" t="e">
        <f>IF(装备!#REF!=0,0,"'"&amp;装备!#REF!&amp;"'")</f>
        <v>#REF!</v>
      </c>
      <c r="K88" s="31" t="e">
        <f>IF(装备!#REF!=0,0,"'"&amp;装备!#REF!&amp;"'")</f>
        <v>#REF!</v>
      </c>
      <c r="L88" s="31" t="e">
        <f>IF(装备!#REF!=0,0,"'"&amp;装备!#REF!&amp;"'")</f>
        <v>#REF!</v>
      </c>
      <c r="M88" s="31" t="e">
        <f>IF(装备!#REF!=0,0,"'"&amp;装备!#REF!&amp;"'")</f>
        <v>#REF!</v>
      </c>
      <c r="N88" s="31" t="e">
        <f>IF(装备!#REF!=0,0,"'"&amp;装备!#REF!&amp;"'")</f>
        <v>#REF!</v>
      </c>
      <c r="O88" s="31" t="e">
        <f t="shared" ref="O88:O98" si="32">IF(I88=0,"","AddItemFormula("&amp;I88&amp;","&amp;J88&amp;","&amp;K88&amp;","&amp;L88&amp;","&amp;M88&amp;","&amp;N88&amp;","&amp;B88&amp;")")</f>
        <v>#REF!</v>
      </c>
      <c r="P88" s="31" t="str">
        <f t="shared" ref="P88:P119" si="33">IFERROR(VLOOKUP(A88,Q:AB,12,FALSE),IFERROR(VLOOKUP(A88,R:AB,11,FALSE),IFERROR(VLOOKUP(A88,S:AB,10,FALSE),"")))</f>
        <v/>
      </c>
      <c r="Q88" s="35" t="str">
        <f>IFERROR(VLOOKUP(C88,装备!$B:$E,3,FALSE),"")</f>
        <v/>
      </c>
      <c r="R88" s="35" t="str">
        <f>IFERROR(VLOOKUP(D88,装备!$B:$E,3,FALSE),"")</f>
        <v/>
      </c>
      <c r="S88" s="35" t="str">
        <f>IFERROR(VLOOKUP(E88,装备!$B:$E,3,FALSE),"")</f>
        <v/>
      </c>
      <c r="T88" s="35" t="str">
        <f>IFERROR(VLOOKUP(F88,装备!$B:$E,3,FALSE),"")</f>
        <v/>
      </c>
      <c r="U88" s="35" t="str">
        <f>IFERROR(VLOOKUP(G88,装备!$B:$E,3,FALSE),"")</f>
        <v/>
      </c>
      <c r="V88" s="35" t="str">
        <f>IFERROR(VLOOKUP(H88,装备!$B:$E,3,FALSE),"")</f>
        <v/>
      </c>
      <c r="W88" s="30" t="str">
        <f t="shared" ref="W88:W98" si="34">IF(R88="","","+"&amp;R88)</f>
        <v/>
      </c>
      <c r="X88" s="30" t="str">
        <f t="shared" ref="X88:X98" si="35">IF(S88="","","+"&amp;S88)</f>
        <v/>
      </c>
      <c r="Y88" s="30" t="str">
        <f t="shared" ref="Y88:Y98" si="36">IF(T88="","","+"&amp;T88)</f>
        <v/>
      </c>
      <c r="Z88" s="30" t="str">
        <f t="shared" ref="Z88:Z98" si="37">IF(U88="","","+"&amp;U88)</f>
        <v/>
      </c>
      <c r="AA88" s="30" t="str">
        <f t="shared" ref="AA88:AA98" si="38">IF(V88="","","+"&amp;V88)</f>
        <v/>
      </c>
      <c r="AB88" s="30" t="e">
        <f t="shared" ref="AB88:AB98" si="39">"|n"&amp;Q88&amp;W88&amp;X88&amp;Y88&amp;Z88&amp;AA88&amp;"="&amp;A88</f>
        <v>#REF!</v>
      </c>
    </row>
    <row r="89" spans="1:28">
      <c r="A89" s="31" t="e">
        <f>装备!#REF!</f>
        <v>#REF!</v>
      </c>
      <c r="B89" s="31" t="e">
        <f>"'"&amp;装备!#REF!&amp;"'"</f>
        <v>#REF!</v>
      </c>
      <c r="C89" s="31" t="e">
        <f>装备!#REF!</f>
        <v>#REF!</v>
      </c>
      <c r="D89" s="31" t="e">
        <f>装备!#REF!</f>
        <v>#REF!</v>
      </c>
      <c r="E89" s="31" t="e">
        <f>装备!#REF!</f>
        <v>#REF!</v>
      </c>
      <c r="F89" s="31" t="e">
        <f>装备!#REF!</f>
        <v>#REF!</v>
      </c>
      <c r="G89" s="31" t="e">
        <f>装备!#REF!</f>
        <v>#REF!</v>
      </c>
      <c r="H89" s="31" t="e">
        <f>装备!#REF!</f>
        <v>#REF!</v>
      </c>
      <c r="I89" s="31" t="e">
        <f>IF(装备!#REF!=0,0,"'"&amp;装备!#REF!&amp;"'")</f>
        <v>#REF!</v>
      </c>
      <c r="J89" s="31" t="e">
        <f>IF(装备!#REF!=0,0,"'"&amp;装备!#REF!&amp;"'")</f>
        <v>#REF!</v>
      </c>
      <c r="K89" s="31" t="e">
        <f>IF(装备!#REF!=0,0,"'"&amp;装备!#REF!&amp;"'")</f>
        <v>#REF!</v>
      </c>
      <c r="L89" s="31" t="e">
        <f>IF(装备!#REF!=0,0,"'"&amp;装备!#REF!&amp;"'")</f>
        <v>#REF!</v>
      </c>
      <c r="M89" s="31" t="e">
        <f>IF(装备!#REF!=0,0,"'"&amp;装备!#REF!&amp;"'")</f>
        <v>#REF!</v>
      </c>
      <c r="N89" s="31" t="e">
        <f>IF(装备!#REF!=0,0,"'"&amp;装备!#REF!&amp;"'")</f>
        <v>#REF!</v>
      </c>
      <c r="O89" s="31" t="e">
        <f t="shared" si="32"/>
        <v>#REF!</v>
      </c>
      <c r="P89" s="31" t="str">
        <f t="shared" si="33"/>
        <v/>
      </c>
      <c r="Q89" s="35" t="str">
        <f>IFERROR(VLOOKUP(C89,装备!$B:$E,3,FALSE),"")</f>
        <v/>
      </c>
      <c r="R89" s="35" t="str">
        <f>IFERROR(VLOOKUP(D89,装备!$B:$E,3,FALSE),"")</f>
        <v/>
      </c>
      <c r="S89" s="35" t="str">
        <f>IFERROR(VLOOKUP(E89,装备!$B:$E,3,FALSE),"")</f>
        <v/>
      </c>
      <c r="T89" s="35" t="str">
        <f>IFERROR(VLOOKUP(F89,装备!$B:$E,3,FALSE),"")</f>
        <v/>
      </c>
      <c r="U89" s="35" t="str">
        <f>IFERROR(VLOOKUP(G89,装备!$B:$E,3,FALSE),"")</f>
        <v/>
      </c>
      <c r="V89" s="35" t="str">
        <f>IFERROR(VLOOKUP(H89,装备!$B:$E,3,FALSE),"")</f>
        <v/>
      </c>
      <c r="W89" s="30" t="str">
        <f t="shared" si="34"/>
        <v/>
      </c>
      <c r="X89" s="30" t="str">
        <f t="shared" si="35"/>
        <v/>
      </c>
      <c r="Y89" s="30" t="str">
        <f t="shared" si="36"/>
        <v/>
      </c>
      <c r="Z89" s="30" t="str">
        <f t="shared" si="37"/>
        <v/>
      </c>
      <c r="AA89" s="30" t="str">
        <f t="shared" si="38"/>
        <v/>
      </c>
      <c r="AB89" s="30" t="e">
        <f t="shared" si="39"/>
        <v>#REF!</v>
      </c>
    </row>
    <row r="90" spans="1:28">
      <c r="A90" s="31" t="e">
        <f>装备!#REF!</f>
        <v>#REF!</v>
      </c>
      <c r="B90" s="31" t="e">
        <f>"'"&amp;装备!#REF!&amp;"'"</f>
        <v>#REF!</v>
      </c>
      <c r="C90" s="31" t="e">
        <f>装备!#REF!</f>
        <v>#REF!</v>
      </c>
      <c r="D90" s="31" t="e">
        <f>装备!#REF!</f>
        <v>#REF!</v>
      </c>
      <c r="E90" s="31" t="e">
        <f>装备!#REF!</f>
        <v>#REF!</v>
      </c>
      <c r="F90" s="31" t="e">
        <f>装备!#REF!</f>
        <v>#REF!</v>
      </c>
      <c r="G90" s="31" t="e">
        <f>装备!#REF!</f>
        <v>#REF!</v>
      </c>
      <c r="H90" s="31" t="e">
        <f>装备!#REF!</f>
        <v>#REF!</v>
      </c>
      <c r="I90" s="31" t="e">
        <f>IF(装备!#REF!=0,0,"'"&amp;装备!#REF!&amp;"'")</f>
        <v>#REF!</v>
      </c>
      <c r="J90" s="31" t="e">
        <f>IF(装备!#REF!=0,0,"'"&amp;装备!#REF!&amp;"'")</f>
        <v>#REF!</v>
      </c>
      <c r="K90" s="31" t="e">
        <f>IF(装备!#REF!=0,0,"'"&amp;装备!#REF!&amp;"'")</f>
        <v>#REF!</v>
      </c>
      <c r="L90" s="31" t="e">
        <f>IF(装备!#REF!=0,0,"'"&amp;装备!#REF!&amp;"'")</f>
        <v>#REF!</v>
      </c>
      <c r="M90" s="31" t="e">
        <f>IF(装备!#REF!=0,0,"'"&amp;装备!#REF!&amp;"'")</f>
        <v>#REF!</v>
      </c>
      <c r="N90" s="31" t="e">
        <f>IF(装备!#REF!=0,0,"'"&amp;装备!#REF!&amp;"'")</f>
        <v>#REF!</v>
      </c>
      <c r="O90" s="31" t="e">
        <f t="shared" si="32"/>
        <v>#REF!</v>
      </c>
      <c r="P90" s="31" t="str">
        <f t="shared" si="33"/>
        <v/>
      </c>
      <c r="Q90" s="35" t="str">
        <f>IFERROR(VLOOKUP(C90,装备!$B:$E,3,FALSE),"")</f>
        <v/>
      </c>
      <c r="R90" s="35" t="str">
        <f>IFERROR(VLOOKUP(D90,装备!$B:$E,3,FALSE),"")</f>
        <v/>
      </c>
      <c r="S90" s="35" t="str">
        <f>IFERROR(VLOOKUP(E90,装备!$B:$E,3,FALSE),"")</f>
        <v/>
      </c>
      <c r="T90" s="35" t="str">
        <f>IFERROR(VLOOKUP(F90,装备!$B:$E,3,FALSE),"")</f>
        <v/>
      </c>
      <c r="U90" s="35" t="str">
        <f>IFERROR(VLOOKUP(G90,装备!$B:$E,3,FALSE),"")</f>
        <v/>
      </c>
      <c r="V90" s="35" t="str">
        <f>IFERROR(VLOOKUP(H90,装备!$B:$E,3,FALSE),"")</f>
        <v/>
      </c>
      <c r="W90" s="30" t="str">
        <f t="shared" si="34"/>
        <v/>
      </c>
      <c r="X90" s="30" t="str">
        <f t="shared" si="35"/>
        <v/>
      </c>
      <c r="Y90" s="30" t="str">
        <f t="shared" si="36"/>
        <v/>
      </c>
      <c r="Z90" s="30" t="str">
        <f t="shared" si="37"/>
        <v/>
      </c>
      <c r="AA90" s="30" t="str">
        <f t="shared" si="38"/>
        <v/>
      </c>
      <c r="AB90" s="30" t="e">
        <f t="shared" si="39"/>
        <v>#REF!</v>
      </c>
    </row>
    <row r="91" spans="1:28">
      <c r="A91" s="31" t="e">
        <f>装备!#REF!</f>
        <v>#REF!</v>
      </c>
      <c r="B91" s="31" t="e">
        <f>"'"&amp;装备!#REF!&amp;"'"</f>
        <v>#REF!</v>
      </c>
      <c r="C91" s="31" t="e">
        <f>装备!#REF!</f>
        <v>#REF!</v>
      </c>
      <c r="D91" s="31" t="e">
        <f>装备!#REF!</f>
        <v>#REF!</v>
      </c>
      <c r="E91" s="31" t="e">
        <f>装备!#REF!</f>
        <v>#REF!</v>
      </c>
      <c r="F91" s="31" t="e">
        <f>装备!#REF!</f>
        <v>#REF!</v>
      </c>
      <c r="G91" s="31" t="e">
        <f>装备!#REF!</f>
        <v>#REF!</v>
      </c>
      <c r="H91" s="31" t="e">
        <f>装备!#REF!</f>
        <v>#REF!</v>
      </c>
      <c r="I91" s="31" t="e">
        <f>IF(装备!#REF!=0,0,"'"&amp;装备!#REF!&amp;"'")</f>
        <v>#REF!</v>
      </c>
      <c r="J91" s="31" t="e">
        <f>IF(装备!#REF!=0,0,"'"&amp;装备!#REF!&amp;"'")</f>
        <v>#REF!</v>
      </c>
      <c r="K91" s="31" t="e">
        <f>IF(装备!#REF!=0,0,"'"&amp;装备!#REF!&amp;"'")</f>
        <v>#REF!</v>
      </c>
      <c r="L91" s="31" t="e">
        <f>IF(装备!#REF!=0,0,"'"&amp;装备!#REF!&amp;"'")</f>
        <v>#REF!</v>
      </c>
      <c r="M91" s="31" t="e">
        <f>IF(装备!#REF!=0,0,"'"&amp;装备!#REF!&amp;"'")</f>
        <v>#REF!</v>
      </c>
      <c r="N91" s="31" t="e">
        <f>IF(装备!#REF!=0,0,"'"&amp;装备!#REF!&amp;"'")</f>
        <v>#REF!</v>
      </c>
      <c r="O91" s="31" t="e">
        <f t="shared" si="32"/>
        <v>#REF!</v>
      </c>
      <c r="P91" s="31" t="str">
        <f t="shared" si="33"/>
        <v/>
      </c>
      <c r="Q91" s="35" t="str">
        <f>IFERROR(VLOOKUP(C91,装备!$B:$E,3,FALSE),"")</f>
        <v/>
      </c>
      <c r="R91" s="35" t="str">
        <f>IFERROR(VLOOKUP(D91,装备!$B:$E,3,FALSE),"")</f>
        <v/>
      </c>
      <c r="S91" s="35" t="str">
        <f>IFERROR(VLOOKUP(E91,装备!$B:$E,3,FALSE),"")</f>
        <v/>
      </c>
      <c r="T91" s="35" t="str">
        <f>IFERROR(VLOOKUP(F91,装备!$B:$E,3,FALSE),"")</f>
        <v/>
      </c>
      <c r="U91" s="35" t="str">
        <f>IFERROR(VLOOKUP(G91,装备!$B:$E,3,FALSE),"")</f>
        <v/>
      </c>
      <c r="V91" s="35" t="str">
        <f>IFERROR(VLOOKUP(H91,装备!$B:$E,3,FALSE),"")</f>
        <v/>
      </c>
      <c r="W91" s="30" t="str">
        <f t="shared" si="34"/>
        <v/>
      </c>
      <c r="X91" s="30" t="str">
        <f t="shared" si="35"/>
        <v/>
      </c>
      <c r="Y91" s="30" t="str">
        <f t="shared" si="36"/>
        <v/>
      </c>
      <c r="Z91" s="30" t="str">
        <f t="shared" si="37"/>
        <v/>
      </c>
      <c r="AA91" s="30" t="str">
        <f t="shared" si="38"/>
        <v/>
      </c>
      <c r="AB91" s="30" t="e">
        <f t="shared" si="39"/>
        <v>#REF!</v>
      </c>
    </row>
    <row r="92" spans="1:28">
      <c r="A92" s="31" t="e">
        <f>装备!#REF!</f>
        <v>#REF!</v>
      </c>
      <c r="B92" s="31" t="e">
        <f>"'"&amp;装备!#REF!&amp;"'"</f>
        <v>#REF!</v>
      </c>
      <c r="C92" s="31" t="e">
        <f>装备!#REF!</f>
        <v>#REF!</v>
      </c>
      <c r="D92" s="31" t="e">
        <f>装备!#REF!</f>
        <v>#REF!</v>
      </c>
      <c r="E92" s="31" t="e">
        <f>装备!#REF!</f>
        <v>#REF!</v>
      </c>
      <c r="F92" s="31" t="e">
        <f>装备!#REF!</f>
        <v>#REF!</v>
      </c>
      <c r="G92" s="31" t="e">
        <f>装备!#REF!</f>
        <v>#REF!</v>
      </c>
      <c r="H92" s="31" t="e">
        <f>装备!#REF!</f>
        <v>#REF!</v>
      </c>
      <c r="I92" s="31" t="e">
        <f>IF(装备!#REF!=0,0,"'"&amp;装备!#REF!&amp;"'")</f>
        <v>#REF!</v>
      </c>
      <c r="J92" s="31" t="e">
        <f>IF(装备!#REF!=0,0,"'"&amp;装备!#REF!&amp;"'")</f>
        <v>#REF!</v>
      </c>
      <c r="K92" s="31" t="e">
        <f>IF(装备!#REF!=0,0,"'"&amp;装备!#REF!&amp;"'")</f>
        <v>#REF!</v>
      </c>
      <c r="L92" s="31" t="e">
        <f>IF(装备!#REF!=0,0,"'"&amp;装备!#REF!&amp;"'")</f>
        <v>#REF!</v>
      </c>
      <c r="M92" s="31" t="e">
        <f>IF(装备!#REF!=0,0,"'"&amp;装备!#REF!&amp;"'")</f>
        <v>#REF!</v>
      </c>
      <c r="N92" s="31" t="e">
        <f>IF(装备!#REF!=0,0,"'"&amp;装备!#REF!&amp;"'")</f>
        <v>#REF!</v>
      </c>
      <c r="O92" s="31" t="e">
        <f t="shared" si="32"/>
        <v>#REF!</v>
      </c>
      <c r="P92" s="31" t="str">
        <f t="shared" si="33"/>
        <v/>
      </c>
      <c r="Q92" s="35" t="str">
        <f>IFERROR(VLOOKUP(C92,装备!$B:$E,3,FALSE),"")</f>
        <v/>
      </c>
      <c r="R92" s="35" t="str">
        <f>IFERROR(VLOOKUP(D92,装备!$B:$E,3,FALSE),"")</f>
        <v/>
      </c>
      <c r="S92" s="35" t="str">
        <f>IFERROR(VLOOKUP(E92,装备!$B:$E,3,FALSE),"")</f>
        <v/>
      </c>
      <c r="T92" s="35" t="str">
        <f>IFERROR(VLOOKUP(F92,装备!$B:$E,3,FALSE),"")</f>
        <v/>
      </c>
      <c r="U92" s="35" t="str">
        <f>IFERROR(VLOOKUP(G92,装备!$B:$E,3,FALSE),"")</f>
        <v/>
      </c>
      <c r="V92" s="35" t="str">
        <f>IFERROR(VLOOKUP(H92,装备!$B:$E,3,FALSE),"")</f>
        <v/>
      </c>
      <c r="W92" s="30" t="str">
        <f t="shared" si="34"/>
        <v/>
      </c>
      <c r="X92" s="30" t="str">
        <f t="shared" si="35"/>
        <v/>
      </c>
      <c r="Y92" s="30" t="str">
        <f t="shared" si="36"/>
        <v/>
      </c>
      <c r="Z92" s="30" t="str">
        <f t="shared" si="37"/>
        <v/>
      </c>
      <c r="AA92" s="30" t="str">
        <f t="shared" si="38"/>
        <v/>
      </c>
      <c r="AB92" s="30" t="e">
        <f t="shared" si="39"/>
        <v>#REF!</v>
      </c>
    </row>
    <row r="93" spans="1:28">
      <c r="A93" s="31" t="e">
        <f>装备!#REF!</f>
        <v>#REF!</v>
      </c>
      <c r="B93" s="31" t="e">
        <f>"'"&amp;装备!#REF!&amp;"'"</f>
        <v>#REF!</v>
      </c>
      <c r="C93" s="31" t="e">
        <f>装备!#REF!</f>
        <v>#REF!</v>
      </c>
      <c r="D93" s="31" t="e">
        <f>装备!#REF!</f>
        <v>#REF!</v>
      </c>
      <c r="E93" s="31" t="e">
        <f>装备!#REF!</f>
        <v>#REF!</v>
      </c>
      <c r="F93" s="31" t="e">
        <f>装备!#REF!</f>
        <v>#REF!</v>
      </c>
      <c r="G93" s="31" t="e">
        <f>装备!#REF!</f>
        <v>#REF!</v>
      </c>
      <c r="H93" s="31" t="e">
        <f>装备!#REF!</f>
        <v>#REF!</v>
      </c>
      <c r="I93" s="31" t="e">
        <f>IF(装备!#REF!=0,0,"'"&amp;装备!#REF!&amp;"'")</f>
        <v>#REF!</v>
      </c>
      <c r="J93" s="31" t="e">
        <f>IF(装备!#REF!=0,0,"'"&amp;装备!#REF!&amp;"'")</f>
        <v>#REF!</v>
      </c>
      <c r="K93" s="31" t="e">
        <f>IF(装备!#REF!=0,0,"'"&amp;装备!#REF!&amp;"'")</f>
        <v>#REF!</v>
      </c>
      <c r="L93" s="31" t="e">
        <f>IF(装备!#REF!=0,0,"'"&amp;装备!#REF!&amp;"'")</f>
        <v>#REF!</v>
      </c>
      <c r="M93" s="31" t="e">
        <f>IF(装备!#REF!=0,0,"'"&amp;装备!#REF!&amp;"'")</f>
        <v>#REF!</v>
      </c>
      <c r="N93" s="31" t="e">
        <f>IF(装备!#REF!=0,0,"'"&amp;装备!#REF!&amp;"'")</f>
        <v>#REF!</v>
      </c>
      <c r="O93" s="31" t="e">
        <f t="shared" si="32"/>
        <v>#REF!</v>
      </c>
      <c r="P93" s="31" t="str">
        <f t="shared" si="33"/>
        <v/>
      </c>
      <c r="Q93" s="35" t="str">
        <f>IFERROR(VLOOKUP(C93,装备!$B:$E,3,FALSE),"")</f>
        <v/>
      </c>
      <c r="R93" s="35" t="str">
        <f>IFERROR(VLOOKUP(D93,装备!$B:$E,3,FALSE),"")</f>
        <v/>
      </c>
      <c r="S93" s="35" t="str">
        <f>IFERROR(VLOOKUP(E93,装备!$B:$E,3,FALSE),"")</f>
        <v/>
      </c>
      <c r="T93" s="35" t="str">
        <f>IFERROR(VLOOKUP(F93,装备!$B:$E,3,FALSE),"")</f>
        <v/>
      </c>
      <c r="U93" s="35" t="str">
        <f>IFERROR(VLOOKUP(G93,装备!$B:$E,3,FALSE),"")</f>
        <v/>
      </c>
      <c r="V93" s="35" t="str">
        <f>IFERROR(VLOOKUP(H93,装备!$B:$E,3,FALSE),"")</f>
        <v/>
      </c>
      <c r="W93" s="30" t="str">
        <f t="shared" si="34"/>
        <v/>
      </c>
      <c r="X93" s="30" t="str">
        <f t="shared" si="35"/>
        <v/>
      </c>
      <c r="Y93" s="30" t="str">
        <f t="shared" si="36"/>
        <v/>
      </c>
      <c r="Z93" s="30" t="str">
        <f t="shared" si="37"/>
        <v/>
      </c>
      <c r="AA93" s="30" t="str">
        <f t="shared" si="38"/>
        <v/>
      </c>
      <c r="AB93" s="30" t="e">
        <f t="shared" si="39"/>
        <v>#REF!</v>
      </c>
    </row>
    <row r="94" spans="1:28">
      <c r="A94" s="31" t="e">
        <f>装备!#REF!</f>
        <v>#REF!</v>
      </c>
      <c r="B94" s="31" t="e">
        <f>"'"&amp;装备!#REF!&amp;"'"</f>
        <v>#REF!</v>
      </c>
      <c r="C94" s="31" t="e">
        <f>装备!#REF!</f>
        <v>#REF!</v>
      </c>
      <c r="D94" s="31" t="e">
        <f>装备!#REF!</f>
        <v>#REF!</v>
      </c>
      <c r="E94" s="31" t="e">
        <f>装备!#REF!</f>
        <v>#REF!</v>
      </c>
      <c r="F94" s="31" t="e">
        <f>装备!#REF!</f>
        <v>#REF!</v>
      </c>
      <c r="G94" s="31" t="e">
        <f>装备!#REF!</f>
        <v>#REF!</v>
      </c>
      <c r="H94" s="31" t="e">
        <f>装备!#REF!</f>
        <v>#REF!</v>
      </c>
      <c r="I94" s="31" t="e">
        <f>IF(装备!#REF!=0,0,"'"&amp;装备!#REF!&amp;"'")</f>
        <v>#REF!</v>
      </c>
      <c r="J94" s="31" t="e">
        <f>IF(装备!#REF!=0,0,"'"&amp;装备!#REF!&amp;"'")</f>
        <v>#REF!</v>
      </c>
      <c r="K94" s="31" t="e">
        <f>IF(装备!#REF!=0,0,"'"&amp;装备!#REF!&amp;"'")</f>
        <v>#REF!</v>
      </c>
      <c r="L94" s="31" t="e">
        <f>IF(装备!#REF!=0,0,"'"&amp;装备!#REF!&amp;"'")</f>
        <v>#REF!</v>
      </c>
      <c r="M94" s="31" t="e">
        <f>IF(装备!#REF!=0,0,"'"&amp;装备!#REF!&amp;"'")</f>
        <v>#REF!</v>
      </c>
      <c r="N94" s="31" t="e">
        <f>IF(装备!#REF!=0,0,"'"&amp;装备!#REF!&amp;"'")</f>
        <v>#REF!</v>
      </c>
      <c r="O94" s="31" t="e">
        <f t="shared" si="32"/>
        <v>#REF!</v>
      </c>
      <c r="P94" s="31" t="str">
        <f t="shared" si="33"/>
        <v/>
      </c>
      <c r="Q94" s="35" t="str">
        <f>IFERROR(VLOOKUP(C94,装备!$B:$E,3,FALSE),"")</f>
        <v/>
      </c>
      <c r="R94" s="35" t="str">
        <f>IFERROR(VLOOKUP(D94,装备!$B:$E,3,FALSE),"")</f>
        <v/>
      </c>
      <c r="S94" s="35" t="str">
        <f>IFERROR(VLOOKUP(E94,装备!$B:$E,3,FALSE),"")</f>
        <v/>
      </c>
      <c r="T94" s="35" t="str">
        <f>IFERROR(VLOOKUP(F94,装备!$B:$E,3,FALSE),"")</f>
        <v/>
      </c>
      <c r="U94" s="35" t="str">
        <f>IFERROR(VLOOKUP(G94,装备!$B:$E,3,FALSE),"")</f>
        <v/>
      </c>
      <c r="V94" s="35" t="str">
        <f>IFERROR(VLOOKUP(H94,装备!$B:$E,3,FALSE),"")</f>
        <v/>
      </c>
      <c r="W94" s="30" t="str">
        <f t="shared" si="34"/>
        <v/>
      </c>
      <c r="X94" s="30" t="str">
        <f t="shared" si="35"/>
        <v/>
      </c>
      <c r="Y94" s="30" t="str">
        <f t="shared" si="36"/>
        <v/>
      </c>
      <c r="Z94" s="30" t="str">
        <f t="shared" si="37"/>
        <v/>
      </c>
      <c r="AA94" s="30" t="str">
        <f t="shared" si="38"/>
        <v/>
      </c>
      <c r="AB94" s="30" t="e">
        <f t="shared" si="39"/>
        <v>#REF!</v>
      </c>
    </row>
    <row r="95" spans="1:28">
      <c r="A95" s="31" t="e">
        <f>装备!#REF!</f>
        <v>#REF!</v>
      </c>
      <c r="B95" s="31" t="e">
        <f>"'"&amp;装备!#REF!&amp;"'"</f>
        <v>#REF!</v>
      </c>
      <c r="C95" s="31" t="e">
        <f>装备!#REF!</f>
        <v>#REF!</v>
      </c>
      <c r="D95" s="31" t="e">
        <f>装备!#REF!</f>
        <v>#REF!</v>
      </c>
      <c r="E95" s="31" t="e">
        <f>装备!#REF!</f>
        <v>#REF!</v>
      </c>
      <c r="F95" s="31" t="e">
        <f>装备!#REF!</f>
        <v>#REF!</v>
      </c>
      <c r="G95" s="31" t="e">
        <f>装备!#REF!</f>
        <v>#REF!</v>
      </c>
      <c r="H95" s="31" t="e">
        <f>装备!#REF!</f>
        <v>#REF!</v>
      </c>
      <c r="I95" s="31" t="e">
        <f>IF(装备!#REF!=0,0,"'"&amp;装备!#REF!&amp;"'")</f>
        <v>#REF!</v>
      </c>
      <c r="J95" s="31" t="e">
        <f>IF(装备!#REF!=0,0,"'"&amp;装备!#REF!&amp;"'")</f>
        <v>#REF!</v>
      </c>
      <c r="K95" s="31" t="e">
        <f>IF(装备!#REF!=0,0,"'"&amp;装备!#REF!&amp;"'")</f>
        <v>#REF!</v>
      </c>
      <c r="L95" s="31" t="e">
        <f>IF(装备!#REF!=0,0,"'"&amp;装备!#REF!&amp;"'")</f>
        <v>#REF!</v>
      </c>
      <c r="M95" s="31" t="e">
        <f>IF(装备!#REF!=0,0,"'"&amp;装备!#REF!&amp;"'")</f>
        <v>#REF!</v>
      </c>
      <c r="N95" s="31" t="e">
        <f>IF(装备!#REF!=0,0,"'"&amp;装备!#REF!&amp;"'")</f>
        <v>#REF!</v>
      </c>
      <c r="O95" s="31" t="e">
        <f t="shared" si="32"/>
        <v>#REF!</v>
      </c>
      <c r="P95" s="31" t="str">
        <f t="shared" si="33"/>
        <v/>
      </c>
      <c r="Q95" s="35" t="str">
        <f>IFERROR(VLOOKUP(C95,装备!$B:$E,3,FALSE),"")</f>
        <v/>
      </c>
      <c r="R95" s="35" t="str">
        <f>IFERROR(VLOOKUP(D95,装备!$B:$E,3,FALSE),"")</f>
        <v/>
      </c>
      <c r="S95" s="35" t="str">
        <f>IFERROR(VLOOKUP(E95,装备!$B:$E,3,FALSE),"")</f>
        <v/>
      </c>
      <c r="T95" s="35" t="str">
        <f>IFERROR(VLOOKUP(F95,装备!$B:$E,3,FALSE),"")</f>
        <v/>
      </c>
      <c r="U95" s="35" t="str">
        <f>IFERROR(VLOOKUP(G95,装备!$B:$E,3,FALSE),"")</f>
        <v/>
      </c>
      <c r="V95" s="35" t="str">
        <f>IFERROR(VLOOKUP(H95,装备!$B:$E,3,FALSE),"")</f>
        <v/>
      </c>
      <c r="W95" s="30" t="str">
        <f t="shared" si="34"/>
        <v/>
      </c>
      <c r="X95" s="30" t="str">
        <f t="shared" si="35"/>
        <v/>
      </c>
      <c r="Y95" s="30" t="str">
        <f t="shared" si="36"/>
        <v/>
      </c>
      <c r="Z95" s="30" t="str">
        <f t="shared" si="37"/>
        <v/>
      </c>
      <c r="AA95" s="30" t="str">
        <f t="shared" si="38"/>
        <v/>
      </c>
      <c r="AB95" s="30" t="e">
        <f t="shared" si="39"/>
        <v>#REF!</v>
      </c>
    </row>
    <row r="96" spans="1:28">
      <c r="A96" s="31" t="e">
        <f>装备!#REF!</f>
        <v>#REF!</v>
      </c>
      <c r="B96" s="31" t="e">
        <f>"'"&amp;装备!#REF!&amp;"'"</f>
        <v>#REF!</v>
      </c>
      <c r="C96" s="31" t="e">
        <f>装备!#REF!</f>
        <v>#REF!</v>
      </c>
      <c r="D96" s="31" t="e">
        <f>装备!#REF!</f>
        <v>#REF!</v>
      </c>
      <c r="E96" s="31" t="e">
        <f>装备!#REF!</f>
        <v>#REF!</v>
      </c>
      <c r="F96" s="31" t="e">
        <f>装备!#REF!</f>
        <v>#REF!</v>
      </c>
      <c r="G96" s="31" t="e">
        <f>装备!#REF!</f>
        <v>#REF!</v>
      </c>
      <c r="H96" s="31" t="e">
        <f>装备!#REF!</f>
        <v>#REF!</v>
      </c>
      <c r="I96" s="31" t="e">
        <f>IF(装备!#REF!=0,0,"'"&amp;装备!#REF!&amp;"'")</f>
        <v>#REF!</v>
      </c>
      <c r="J96" s="31" t="e">
        <f>IF(装备!#REF!=0,0,"'"&amp;装备!#REF!&amp;"'")</f>
        <v>#REF!</v>
      </c>
      <c r="K96" s="31" t="e">
        <f>IF(装备!#REF!=0,0,"'"&amp;装备!#REF!&amp;"'")</f>
        <v>#REF!</v>
      </c>
      <c r="L96" s="31" t="e">
        <f>IF(装备!#REF!=0,0,"'"&amp;装备!#REF!&amp;"'")</f>
        <v>#REF!</v>
      </c>
      <c r="M96" s="31" t="e">
        <f>IF(装备!#REF!=0,0,"'"&amp;装备!#REF!&amp;"'")</f>
        <v>#REF!</v>
      </c>
      <c r="N96" s="31" t="e">
        <f>IF(装备!#REF!=0,0,"'"&amp;装备!#REF!&amp;"'")</f>
        <v>#REF!</v>
      </c>
      <c r="O96" s="31" t="e">
        <f t="shared" si="32"/>
        <v>#REF!</v>
      </c>
      <c r="P96" s="31" t="str">
        <f t="shared" si="33"/>
        <v/>
      </c>
      <c r="Q96" s="35" t="str">
        <f>IFERROR(VLOOKUP(C96,装备!$B:$E,3,FALSE),"")</f>
        <v/>
      </c>
      <c r="R96" s="35" t="str">
        <f>IFERROR(VLOOKUP(D96,装备!$B:$E,3,FALSE),"")</f>
        <v/>
      </c>
      <c r="S96" s="35" t="str">
        <f>IFERROR(VLOOKUP(E96,装备!$B:$E,3,FALSE),"")</f>
        <v/>
      </c>
      <c r="T96" s="35" t="str">
        <f>IFERROR(VLOOKUP(F96,装备!$B:$E,3,FALSE),"")</f>
        <v/>
      </c>
      <c r="U96" s="35" t="str">
        <f>IFERROR(VLOOKUP(G96,装备!$B:$E,3,FALSE),"")</f>
        <v/>
      </c>
      <c r="V96" s="35" t="str">
        <f>IFERROR(VLOOKUP(H96,装备!$B:$E,3,FALSE),"")</f>
        <v/>
      </c>
      <c r="W96" s="30" t="str">
        <f t="shared" si="34"/>
        <v/>
      </c>
      <c r="X96" s="30" t="str">
        <f t="shared" si="35"/>
        <v/>
      </c>
      <c r="Y96" s="30" t="str">
        <f t="shared" si="36"/>
        <v/>
      </c>
      <c r="Z96" s="30" t="str">
        <f t="shared" si="37"/>
        <v/>
      </c>
      <c r="AA96" s="30" t="str">
        <f t="shared" si="38"/>
        <v/>
      </c>
      <c r="AB96" s="30" t="e">
        <f t="shared" si="39"/>
        <v>#REF!</v>
      </c>
    </row>
    <row r="97" spans="1:28">
      <c r="A97" s="31" t="e">
        <f>装备!#REF!</f>
        <v>#REF!</v>
      </c>
      <c r="B97" s="31" t="e">
        <f>"'"&amp;装备!#REF!&amp;"'"</f>
        <v>#REF!</v>
      </c>
      <c r="C97" s="31" t="e">
        <f>装备!#REF!</f>
        <v>#REF!</v>
      </c>
      <c r="D97" s="31" t="e">
        <f>装备!#REF!</f>
        <v>#REF!</v>
      </c>
      <c r="E97" s="31" t="e">
        <f>装备!#REF!</f>
        <v>#REF!</v>
      </c>
      <c r="F97" s="31" t="e">
        <f>装备!#REF!</f>
        <v>#REF!</v>
      </c>
      <c r="G97" s="31" t="e">
        <f>装备!#REF!</f>
        <v>#REF!</v>
      </c>
      <c r="H97" s="31" t="e">
        <f>装备!#REF!</f>
        <v>#REF!</v>
      </c>
      <c r="I97" s="31" t="e">
        <f>IF(装备!#REF!=0,0,"'"&amp;装备!#REF!&amp;"'")</f>
        <v>#REF!</v>
      </c>
      <c r="J97" s="31" t="e">
        <f>IF(装备!#REF!=0,0,"'"&amp;装备!#REF!&amp;"'")</f>
        <v>#REF!</v>
      </c>
      <c r="K97" s="31" t="e">
        <f>IF(装备!#REF!=0,0,"'"&amp;装备!#REF!&amp;"'")</f>
        <v>#REF!</v>
      </c>
      <c r="L97" s="31" t="e">
        <f>IF(装备!#REF!=0,0,"'"&amp;装备!#REF!&amp;"'")</f>
        <v>#REF!</v>
      </c>
      <c r="M97" s="31" t="e">
        <f>IF(装备!#REF!=0,0,"'"&amp;装备!#REF!&amp;"'")</f>
        <v>#REF!</v>
      </c>
      <c r="N97" s="31" t="e">
        <f>IF(装备!#REF!=0,0,"'"&amp;装备!#REF!&amp;"'")</f>
        <v>#REF!</v>
      </c>
      <c r="O97" s="31" t="e">
        <f t="shared" si="32"/>
        <v>#REF!</v>
      </c>
      <c r="P97" s="31" t="str">
        <f t="shared" si="33"/>
        <v/>
      </c>
      <c r="Q97" s="35" t="str">
        <f>IFERROR(VLOOKUP(C97,装备!$B:$E,3,FALSE),"")</f>
        <v/>
      </c>
      <c r="R97" s="35" t="str">
        <f>IFERROR(VLOOKUP(D97,装备!$B:$E,3,FALSE),"")</f>
        <v/>
      </c>
      <c r="S97" s="35" t="str">
        <f>IFERROR(VLOOKUP(E97,装备!$B:$E,3,FALSE),"")</f>
        <v/>
      </c>
      <c r="T97" s="35" t="str">
        <f>IFERROR(VLOOKUP(F97,装备!$B:$E,3,FALSE),"")</f>
        <v/>
      </c>
      <c r="U97" s="35" t="str">
        <f>IFERROR(VLOOKUP(G97,装备!$B:$E,3,FALSE),"")</f>
        <v/>
      </c>
      <c r="V97" s="35" t="str">
        <f>IFERROR(VLOOKUP(H97,装备!$B:$E,3,FALSE),"")</f>
        <v/>
      </c>
      <c r="W97" s="30" t="str">
        <f t="shared" si="34"/>
        <v/>
      </c>
      <c r="X97" s="30" t="str">
        <f t="shared" si="35"/>
        <v/>
      </c>
      <c r="Y97" s="30" t="str">
        <f t="shared" si="36"/>
        <v/>
      </c>
      <c r="Z97" s="30" t="str">
        <f t="shared" si="37"/>
        <v/>
      </c>
      <c r="AA97" s="30" t="str">
        <f t="shared" si="38"/>
        <v/>
      </c>
      <c r="AB97" s="30" t="e">
        <f t="shared" si="39"/>
        <v>#REF!</v>
      </c>
    </row>
    <row r="98" spans="1:28">
      <c r="A98" s="31" t="e">
        <f>装备!#REF!</f>
        <v>#REF!</v>
      </c>
      <c r="B98" s="31" t="e">
        <f>"'"&amp;装备!#REF!&amp;"'"</f>
        <v>#REF!</v>
      </c>
      <c r="C98" s="31" t="e">
        <f>装备!#REF!</f>
        <v>#REF!</v>
      </c>
      <c r="D98" s="31" t="e">
        <f>装备!#REF!</f>
        <v>#REF!</v>
      </c>
      <c r="E98" s="31" t="e">
        <f>装备!#REF!</f>
        <v>#REF!</v>
      </c>
      <c r="F98" s="31" t="e">
        <f>装备!#REF!</f>
        <v>#REF!</v>
      </c>
      <c r="G98" s="31" t="e">
        <f>装备!#REF!</f>
        <v>#REF!</v>
      </c>
      <c r="H98" s="31" t="e">
        <f>装备!#REF!</f>
        <v>#REF!</v>
      </c>
      <c r="I98" s="31" t="e">
        <f>IF(装备!#REF!=0,0,"'"&amp;装备!#REF!&amp;"'")</f>
        <v>#REF!</v>
      </c>
      <c r="J98" s="31" t="e">
        <f>IF(装备!#REF!=0,0,"'"&amp;装备!#REF!&amp;"'")</f>
        <v>#REF!</v>
      </c>
      <c r="K98" s="31" t="e">
        <f>IF(装备!#REF!=0,0,"'"&amp;装备!#REF!&amp;"'")</f>
        <v>#REF!</v>
      </c>
      <c r="L98" s="31" t="e">
        <f>IF(装备!#REF!=0,0,"'"&amp;装备!#REF!&amp;"'")</f>
        <v>#REF!</v>
      </c>
      <c r="M98" s="31" t="e">
        <f>IF(装备!#REF!=0,0,"'"&amp;装备!#REF!&amp;"'")</f>
        <v>#REF!</v>
      </c>
      <c r="N98" s="31" t="e">
        <f>IF(装备!#REF!=0,0,"'"&amp;装备!#REF!&amp;"'")</f>
        <v>#REF!</v>
      </c>
      <c r="O98" s="31" t="e">
        <f t="shared" si="32"/>
        <v>#REF!</v>
      </c>
      <c r="P98" s="31" t="str">
        <f t="shared" si="33"/>
        <v/>
      </c>
      <c r="Q98" s="35" t="str">
        <f>IFERROR(VLOOKUP(C98,装备!$B:$E,3,FALSE),"")</f>
        <v/>
      </c>
      <c r="R98" s="35" t="str">
        <f>IFERROR(VLOOKUP(D98,装备!$B:$E,3,FALSE),"")</f>
        <v/>
      </c>
      <c r="S98" s="35" t="str">
        <f>IFERROR(VLOOKUP(E98,装备!$B:$E,3,FALSE),"")</f>
        <v/>
      </c>
      <c r="T98" s="35" t="str">
        <f>IFERROR(VLOOKUP(F98,装备!$B:$E,3,FALSE),"")</f>
        <v/>
      </c>
      <c r="U98" s="35" t="str">
        <f>IFERROR(VLOOKUP(G98,装备!$B:$E,3,FALSE),"")</f>
        <v/>
      </c>
      <c r="V98" s="35" t="str">
        <f>IFERROR(VLOOKUP(H98,装备!$B:$E,3,FALSE),"")</f>
        <v/>
      </c>
      <c r="W98" s="30" t="str">
        <f t="shared" si="34"/>
        <v/>
      </c>
      <c r="X98" s="30" t="str">
        <f t="shared" si="35"/>
        <v/>
      </c>
      <c r="Y98" s="30" t="str">
        <f t="shared" si="36"/>
        <v/>
      </c>
      <c r="Z98" s="30" t="str">
        <f t="shared" si="37"/>
        <v/>
      </c>
      <c r="AA98" s="30" t="str">
        <f t="shared" si="38"/>
        <v/>
      </c>
      <c r="AB98" s="30" t="e">
        <f t="shared" si="39"/>
        <v>#REF!</v>
      </c>
    </row>
    <row r="99" spans="1:28">
      <c r="A99" s="31" t="e">
        <f>装备!#REF!</f>
        <v>#REF!</v>
      </c>
      <c r="B99" s="31" t="e">
        <f>"'"&amp;装备!#REF!&amp;"'"</f>
        <v>#REF!</v>
      </c>
      <c r="C99" s="31" t="e">
        <f>装备!#REF!</f>
        <v>#REF!</v>
      </c>
      <c r="D99" s="31" t="e">
        <f>装备!#REF!</f>
        <v>#REF!</v>
      </c>
      <c r="E99" s="31" t="e">
        <f>装备!#REF!</f>
        <v>#REF!</v>
      </c>
      <c r="F99" s="31" t="e">
        <f>装备!#REF!</f>
        <v>#REF!</v>
      </c>
      <c r="G99" s="31" t="e">
        <f>装备!#REF!</f>
        <v>#REF!</v>
      </c>
      <c r="H99" s="31" t="e">
        <f>装备!#REF!</f>
        <v>#REF!</v>
      </c>
      <c r="I99" s="31" t="e">
        <f>IF(装备!#REF!=0,0,"'"&amp;装备!#REF!&amp;"'")</f>
        <v>#REF!</v>
      </c>
      <c r="J99" s="31" t="e">
        <f>IF(装备!#REF!=0,0,"'"&amp;装备!#REF!&amp;"'")</f>
        <v>#REF!</v>
      </c>
      <c r="K99" s="31" t="e">
        <f>IF(装备!#REF!=0,0,"'"&amp;装备!#REF!&amp;"'")</f>
        <v>#REF!</v>
      </c>
      <c r="L99" s="31" t="e">
        <f>IF(装备!#REF!=0,0,"'"&amp;装备!#REF!&amp;"'")</f>
        <v>#REF!</v>
      </c>
      <c r="M99" s="31" t="e">
        <f>IF(装备!#REF!=0,0,"'"&amp;装备!#REF!&amp;"'")</f>
        <v>#REF!</v>
      </c>
      <c r="N99" s="31" t="e">
        <f>IF(装备!#REF!=0,0,"'"&amp;装备!#REF!&amp;"'")</f>
        <v>#REF!</v>
      </c>
      <c r="O99" s="31" t="e">
        <f t="shared" ref="O99:O153" si="40">IF(I99=0,"","AddItemFormula("&amp;I99&amp;","&amp;J99&amp;","&amp;K99&amp;","&amp;L99&amp;","&amp;M99&amp;","&amp;N99&amp;","&amp;B99&amp;")")</f>
        <v>#REF!</v>
      </c>
      <c r="P99" s="31" t="str">
        <f t="shared" si="33"/>
        <v/>
      </c>
      <c r="Q99" s="35" t="str">
        <f>IFERROR(VLOOKUP(C99,装备!$B:$E,3,FALSE),"")</f>
        <v/>
      </c>
      <c r="R99" s="35" t="str">
        <f>IFERROR(VLOOKUP(D99,装备!$B:$E,3,FALSE),"")</f>
        <v/>
      </c>
      <c r="S99" s="35" t="str">
        <f>IFERROR(VLOOKUP(E99,装备!$B:$E,3,FALSE),"")</f>
        <v/>
      </c>
      <c r="T99" s="35" t="str">
        <f>IFERROR(VLOOKUP(F99,装备!$B:$E,3,FALSE),"")</f>
        <v/>
      </c>
      <c r="U99" s="35" t="str">
        <f>IFERROR(VLOOKUP(G99,装备!$B:$E,3,FALSE),"")</f>
        <v/>
      </c>
      <c r="V99" s="35" t="str">
        <f>IFERROR(VLOOKUP(H99,装备!$B:$E,3,FALSE),"")</f>
        <v/>
      </c>
      <c r="W99" s="30" t="str">
        <f t="shared" ref="W99:W153" si="41">IF(R99="","","+"&amp;R99)</f>
        <v/>
      </c>
      <c r="X99" s="30" t="str">
        <f t="shared" ref="X99:X153" si="42">IF(S99="","","+"&amp;S99)</f>
        <v/>
      </c>
      <c r="Y99" s="30" t="str">
        <f t="shared" ref="Y99:Y153" si="43">IF(T99="","","+"&amp;T99)</f>
        <v/>
      </c>
      <c r="Z99" s="30" t="str">
        <f t="shared" ref="Z99:Z153" si="44">IF(U99="","","+"&amp;U99)</f>
        <v/>
      </c>
      <c r="AA99" s="30" t="str">
        <f t="shared" ref="AA99:AA153" si="45">IF(V99="","","+"&amp;V99)</f>
        <v/>
      </c>
      <c r="AB99" s="30" t="e">
        <f t="shared" ref="AB99:AB153" si="46">"|n"&amp;Q99&amp;W99&amp;X99&amp;Y99&amp;Z99&amp;AA99&amp;"="&amp;A99</f>
        <v>#REF!</v>
      </c>
    </row>
    <row r="100" spans="1:28">
      <c r="A100" s="31" t="e">
        <f>装备!#REF!</f>
        <v>#REF!</v>
      </c>
      <c r="B100" s="31" t="e">
        <f>"'"&amp;装备!#REF!&amp;"'"</f>
        <v>#REF!</v>
      </c>
      <c r="C100" s="31" t="e">
        <f>装备!#REF!</f>
        <v>#REF!</v>
      </c>
      <c r="D100" s="31" t="e">
        <f>装备!#REF!</f>
        <v>#REF!</v>
      </c>
      <c r="E100" s="31" t="e">
        <f>装备!#REF!</f>
        <v>#REF!</v>
      </c>
      <c r="F100" s="31" t="e">
        <f>装备!#REF!</f>
        <v>#REF!</v>
      </c>
      <c r="G100" s="31" t="e">
        <f>装备!#REF!</f>
        <v>#REF!</v>
      </c>
      <c r="H100" s="31" t="e">
        <f>装备!#REF!</f>
        <v>#REF!</v>
      </c>
      <c r="I100" s="31" t="e">
        <f>IF(装备!#REF!=0,0,"'"&amp;装备!#REF!&amp;"'")</f>
        <v>#REF!</v>
      </c>
      <c r="J100" s="31" t="e">
        <f>IF(装备!#REF!=0,0,"'"&amp;装备!#REF!&amp;"'")</f>
        <v>#REF!</v>
      </c>
      <c r="K100" s="31" t="e">
        <f>IF(装备!#REF!=0,0,"'"&amp;装备!#REF!&amp;"'")</f>
        <v>#REF!</v>
      </c>
      <c r="L100" s="31" t="e">
        <f>IF(装备!#REF!=0,0,"'"&amp;装备!#REF!&amp;"'")</f>
        <v>#REF!</v>
      </c>
      <c r="M100" s="31" t="e">
        <f>IF(装备!#REF!=0,0,"'"&amp;装备!#REF!&amp;"'")</f>
        <v>#REF!</v>
      </c>
      <c r="N100" s="31" t="e">
        <f>IF(装备!#REF!=0,0,"'"&amp;装备!#REF!&amp;"'")</f>
        <v>#REF!</v>
      </c>
      <c r="O100" s="31" t="e">
        <f t="shared" si="40"/>
        <v>#REF!</v>
      </c>
      <c r="P100" s="31" t="str">
        <f t="shared" si="33"/>
        <v/>
      </c>
      <c r="Q100" s="35" t="str">
        <f>IFERROR(VLOOKUP(C100,装备!$B:$E,3,FALSE),"")</f>
        <v/>
      </c>
      <c r="R100" s="35" t="str">
        <f>IFERROR(VLOOKUP(D100,装备!$B:$E,3,FALSE),"")</f>
        <v/>
      </c>
      <c r="S100" s="35" t="str">
        <f>IFERROR(VLOOKUP(E100,装备!$B:$E,3,FALSE),"")</f>
        <v/>
      </c>
      <c r="T100" s="35" t="str">
        <f>IFERROR(VLOOKUP(F100,装备!$B:$E,3,FALSE),"")</f>
        <v/>
      </c>
      <c r="U100" s="35" t="str">
        <f>IFERROR(VLOOKUP(G100,装备!$B:$E,3,FALSE),"")</f>
        <v/>
      </c>
      <c r="V100" s="35" t="str">
        <f>IFERROR(VLOOKUP(H100,装备!$B:$E,3,FALSE),"")</f>
        <v/>
      </c>
      <c r="W100" s="30" t="str">
        <f t="shared" si="41"/>
        <v/>
      </c>
      <c r="X100" s="30" t="str">
        <f t="shared" si="42"/>
        <v/>
      </c>
      <c r="Y100" s="30" t="str">
        <f t="shared" si="43"/>
        <v/>
      </c>
      <c r="Z100" s="30" t="str">
        <f t="shared" si="44"/>
        <v/>
      </c>
      <c r="AA100" s="30" t="str">
        <f t="shared" si="45"/>
        <v/>
      </c>
      <c r="AB100" s="30" t="e">
        <f t="shared" si="46"/>
        <v>#REF!</v>
      </c>
    </row>
    <row r="101" spans="1:28">
      <c r="A101" s="31" t="e">
        <f>装备!#REF!</f>
        <v>#REF!</v>
      </c>
      <c r="B101" s="31" t="e">
        <f>"'"&amp;装备!#REF!&amp;"'"</f>
        <v>#REF!</v>
      </c>
      <c r="C101" s="31" t="e">
        <f>装备!#REF!</f>
        <v>#REF!</v>
      </c>
      <c r="D101" s="31" t="e">
        <f>装备!#REF!</f>
        <v>#REF!</v>
      </c>
      <c r="E101" s="31" t="e">
        <f>装备!#REF!</f>
        <v>#REF!</v>
      </c>
      <c r="F101" s="31" t="e">
        <f>装备!#REF!</f>
        <v>#REF!</v>
      </c>
      <c r="G101" s="31" t="e">
        <f>装备!#REF!</f>
        <v>#REF!</v>
      </c>
      <c r="H101" s="31" t="e">
        <f>装备!#REF!</f>
        <v>#REF!</v>
      </c>
      <c r="I101" s="31" t="e">
        <f>IF(装备!#REF!=0,0,"'"&amp;装备!#REF!&amp;"'")</f>
        <v>#REF!</v>
      </c>
      <c r="J101" s="31" t="e">
        <f>IF(装备!#REF!=0,0,"'"&amp;装备!#REF!&amp;"'")</f>
        <v>#REF!</v>
      </c>
      <c r="K101" s="31" t="e">
        <f>IF(装备!#REF!=0,0,"'"&amp;装备!#REF!&amp;"'")</f>
        <v>#REF!</v>
      </c>
      <c r="L101" s="31" t="e">
        <f>IF(装备!#REF!=0,0,"'"&amp;装备!#REF!&amp;"'")</f>
        <v>#REF!</v>
      </c>
      <c r="M101" s="31" t="e">
        <f>IF(装备!#REF!=0,0,"'"&amp;装备!#REF!&amp;"'")</f>
        <v>#REF!</v>
      </c>
      <c r="N101" s="31" t="e">
        <f>IF(装备!#REF!=0,0,"'"&amp;装备!#REF!&amp;"'")</f>
        <v>#REF!</v>
      </c>
      <c r="O101" s="31" t="e">
        <f t="shared" si="40"/>
        <v>#REF!</v>
      </c>
      <c r="P101" s="31" t="str">
        <f t="shared" si="33"/>
        <v/>
      </c>
      <c r="Q101" s="35" t="str">
        <f>IFERROR(VLOOKUP(C101,装备!$B:$E,3,FALSE),"")</f>
        <v/>
      </c>
      <c r="R101" s="35" t="str">
        <f>IFERROR(VLOOKUP(D101,装备!$B:$E,3,FALSE),"")</f>
        <v/>
      </c>
      <c r="S101" s="35" t="str">
        <f>IFERROR(VLOOKUP(E101,装备!$B:$E,3,FALSE),"")</f>
        <v/>
      </c>
      <c r="T101" s="35" t="str">
        <f>IFERROR(VLOOKUP(F101,装备!$B:$E,3,FALSE),"")</f>
        <v/>
      </c>
      <c r="U101" s="35" t="str">
        <f>IFERROR(VLOOKUP(G101,装备!$B:$E,3,FALSE),"")</f>
        <v/>
      </c>
      <c r="V101" s="35" t="str">
        <f>IFERROR(VLOOKUP(H101,装备!$B:$E,3,FALSE),"")</f>
        <v/>
      </c>
      <c r="W101" s="30" t="str">
        <f t="shared" si="41"/>
        <v/>
      </c>
      <c r="X101" s="30" t="str">
        <f t="shared" si="42"/>
        <v/>
      </c>
      <c r="Y101" s="30" t="str">
        <f t="shared" si="43"/>
        <v/>
      </c>
      <c r="Z101" s="30" t="str">
        <f t="shared" si="44"/>
        <v/>
      </c>
      <c r="AA101" s="30" t="str">
        <f t="shared" si="45"/>
        <v/>
      </c>
      <c r="AB101" s="30" t="e">
        <f t="shared" si="46"/>
        <v>#REF!</v>
      </c>
    </row>
    <row r="102" spans="1:28">
      <c r="A102" s="31" t="e">
        <f>装备!#REF!</f>
        <v>#REF!</v>
      </c>
      <c r="B102" s="31" t="e">
        <f>"'"&amp;装备!#REF!&amp;"'"</f>
        <v>#REF!</v>
      </c>
      <c r="C102" s="31" t="e">
        <f>装备!#REF!</f>
        <v>#REF!</v>
      </c>
      <c r="D102" s="31" t="e">
        <f>装备!#REF!</f>
        <v>#REF!</v>
      </c>
      <c r="E102" s="31" t="e">
        <f>装备!#REF!</f>
        <v>#REF!</v>
      </c>
      <c r="F102" s="31" t="e">
        <f>装备!#REF!</f>
        <v>#REF!</v>
      </c>
      <c r="G102" s="31" t="e">
        <f>装备!#REF!</f>
        <v>#REF!</v>
      </c>
      <c r="H102" s="31" t="e">
        <f>装备!#REF!</f>
        <v>#REF!</v>
      </c>
      <c r="I102" s="31" t="e">
        <f>IF(装备!#REF!=0,0,"'"&amp;装备!#REF!&amp;"'")</f>
        <v>#REF!</v>
      </c>
      <c r="J102" s="31" t="e">
        <f>IF(装备!#REF!=0,0,"'"&amp;装备!#REF!&amp;"'")</f>
        <v>#REF!</v>
      </c>
      <c r="K102" s="31" t="e">
        <f>IF(装备!#REF!=0,0,"'"&amp;装备!#REF!&amp;"'")</f>
        <v>#REF!</v>
      </c>
      <c r="L102" s="31" t="e">
        <f>IF(装备!#REF!=0,0,"'"&amp;装备!#REF!&amp;"'")</f>
        <v>#REF!</v>
      </c>
      <c r="M102" s="31" t="e">
        <f>IF(装备!#REF!=0,0,"'"&amp;装备!#REF!&amp;"'")</f>
        <v>#REF!</v>
      </c>
      <c r="N102" s="31" t="e">
        <f>IF(装备!#REF!=0,0,"'"&amp;装备!#REF!&amp;"'")</f>
        <v>#REF!</v>
      </c>
      <c r="O102" s="31" t="e">
        <f t="shared" si="40"/>
        <v>#REF!</v>
      </c>
      <c r="P102" s="31" t="str">
        <f t="shared" si="33"/>
        <v/>
      </c>
      <c r="Q102" s="35" t="str">
        <f>IFERROR(VLOOKUP(C102,装备!$B:$E,3,FALSE),"")</f>
        <v/>
      </c>
      <c r="R102" s="35" t="str">
        <f>IFERROR(VLOOKUP(D102,装备!$B:$E,3,FALSE),"")</f>
        <v/>
      </c>
      <c r="S102" s="35" t="str">
        <f>IFERROR(VLOOKUP(E102,装备!$B:$E,3,FALSE),"")</f>
        <v/>
      </c>
      <c r="T102" s="35" t="str">
        <f>IFERROR(VLOOKUP(F102,装备!$B:$E,3,FALSE),"")</f>
        <v/>
      </c>
      <c r="U102" s="35" t="str">
        <f>IFERROR(VLOOKUP(G102,装备!$B:$E,3,FALSE),"")</f>
        <v/>
      </c>
      <c r="V102" s="35" t="str">
        <f>IFERROR(VLOOKUP(H102,装备!$B:$E,3,FALSE),"")</f>
        <v/>
      </c>
      <c r="W102" s="30" t="str">
        <f t="shared" si="41"/>
        <v/>
      </c>
      <c r="X102" s="30" t="str">
        <f t="shared" si="42"/>
        <v/>
      </c>
      <c r="Y102" s="30" t="str">
        <f t="shared" si="43"/>
        <v/>
      </c>
      <c r="Z102" s="30" t="str">
        <f t="shared" si="44"/>
        <v/>
      </c>
      <c r="AA102" s="30" t="str">
        <f t="shared" si="45"/>
        <v/>
      </c>
      <c r="AB102" s="30" t="e">
        <f t="shared" si="46"/>
        <v>#REF!</v>
      </c>
    </row>
    <row r="103" spans="1:28">
      <c r="A103" s="31" t="e">
        <f>装备!#REF!</f>
        <v>#REF!</v>
      </c>
      <c r="B103" s="31" t="e">
        <f>"'"&amp;装备!#REF!&amp;"'"</f>
        <v>#REF!</v>
      </c>
      <c r="C103" s="31" t="e">
        <f>装备!#REF!</f>
        <v>#REF!</v>
      </c>
      <c r="D103" s="31" t="e">
        <f>装备!#REF!</f>
        <v>#REF!</v>
      </c>
      <c r="E103" s="31" t="e">
        <f>装备!#REF!</f>
        <v>#REF!</v>
      </c>
      <c r="F103" s="31" t="e">
        <f>装备!#REF!</f>
        <v>#REF!</v>
      </c>
      <c r="G103" s="31" t="e">
        <f>装备!#REF!</f>
        <v>#REF!</v>
      </c>
      <c r="H103" s="31" t="e">
        <f>装备!#REF!</f>
        <v>#REF!</v>
      </c>
      <c r="I103" s="31" t="e">
        <f>IF(装备!#REF!=0,0,"'"&amp;装备!#REF!&amp;"'")</f>
        <v>#REF!</v>
      </c>
      <c r="J103" s="31" t="e">
        <f>IF(装备!#REF!=0,0,"'"&amp;装备!#REF!&amp;"'")</f>
        <v>#REF!</v>
      </c>
      <c r="K103" s="31" t="e">
        <f>IF(装备!#REF!=0,0,"'"&amp;装备!#REF!&amp;"'")</f>
        <v>#REF!</v>
      </c>
      <c r="L103" s="31" t="e">
        <f>IF(装备!#REF!=0,0,"'"&amp;装备!#REF!&amp;"'")</f>
        <v>#REF!</v>
      </c>
      <c r="M103" s="31" t="e">
        <f>IF(装备!#REF!=0,0,"'"&amp;装备!#REF!&amp;"'")</f>
        <v>#REF!</v>
      </c>
      <c r="N103" s="31" t="e">
        <f>IF(装备!#REF!=0,0,"'"&amp;装备!#REF!&amp;"'")</f>
        <v>#REF!</v>
      </c>
      <c r="O103" s="31" t="e">
        <f t="shared" si="40"/>
        <v>#REF!</v>
      </c>
      <c r="P103" s="31" t="str">
        <f t="shared" si="33"/>
        <v/>
      </c>
      <c r="Q103" s="35" t="str">
        <f>IFERROR(VLOOKUP(C103,装备!$B:$E,3,FALSE),"")</f>
        <v/>
      </c>
      <c r="R103" s="35" t="str">
        <f>IFERROR(VLOOKUP(D103,装备!$B:$E,3,FALSE),"")</f>
        <v/>
      </c>
      <c r="S103" s="35" t="str">
        <f>IFERROR(VLOOKUP(E103,装备!$B:$E,3,FALSE),"")</f>
        <v/>
      </c>
      <c r="T103" s="35" t="str">
        <f>IFERROR(VLOOKUP(F103,装备!$B:$E,3,FALSE),"")</f>
        <v/>
      </c>
      <c r="U103" s="35" t="str">
        <f>IFERROR(VLOOKUP(G103,装备!$B:$E,3,FALSE),"")</f>
        <v/>
      </c>
      <c r="V103" s="35" t="str">
        <f>IFERROR(VLOOKUP(H103,装备!$B:$E,3,FALSE),"")</f>
        <v/>
      </c>
      <c r="W103" s="30" t="str">
        <f t="shared" si="41"/>
        <v/>
      </c>
      <c r="X103" s="30" t="str">
        <f t="shared" si="42"/>
        <v/>
      </c>
      <c r="Y103" s="30" t="str">
        <f t="shared" si="43"/>
        <v/>
      </c>
      <c r="Z103" s="30" t="str">
        <f t="shared" si="44"/>
        <v/>
      </c>
      <c r="AA103" s="30" t="str">
        <f t="shared" si="45"/>
        <v/>
      </c>
      <c r="AB103" s="30" t="e">
        <f t="shared" si="46"/>
        <v>#REF!</v>
      </c>
    </row>
    <row r="104" spans="1:28">
      <c r="A104" s="31" t="e">
        <f>装备!#REF!</f>
        <v>#REF!</v>
      </c>
      <c r="B104" s="31" t="e">
        <f>"'"&amp;装备!#REF!&amp;"'"</f>
        <v>#REF!</v>
      </c>
      <c r="C104" s="31" t="e">
        <f>装备!#REF!</f>
        <v>#REF!</v>
      </c>
      <c r="D104" s="31" t="e">
        <f>装备!#REF!</f>
        <v>#REF!</v>
      </c>
      <c r="E104" s="31" t="e">
        <f>装备!#REF!</f>
        <v>#REF!</v>
      </c>
      <c r="F104" s="31" t="e">
        <f>装备!#REF!</f>
        <v>#REF!</v>
      </c>
      <c r="G104" s="31" t="e">
        <f>装备!#REF!</f>
        <v>#REF!</v>
      </c>
      <c r="H104" s="31" t="e">
        <f>装备!#REF!</f>
        <v>#REF!</v>
      </c>
      <c r="I104" s="31" t="e">
        <f>IF(装备!#REF!=0,0,"'"&amp;装备!#REF!&amp;"'")</f>
        <v>#REF!</v>
      </c>
      <c r="J104" s="31" t="e">
        <f>IF(装备!#REF!=0,0,"'"&amp;装备!#REF!&amp;"'")</f>
        <v>#REF!</v>
      </c>
      <c r="K104" s="31" t="e">
        <f>IF(装备!#REF!=0,0,"'"&amp;装备!#REF!&amp;"'")</f>
        <v>#REF!</v>
      </c>
      <c r="L104" s="31" t="e">
        <f>IF(装备!#REF!=0,0,"'"&amp;装备!#REF!&amp;"'")</f>
        <v>#REF!</v>
      </c>
      <c r="M104" s="31" t="e">
        <f>IF(装备!#REF!=0,0,"'"&amp;装备!#REF!&amp;"'")</f>
        <v>#REF!</v>
      </c>
      <c r="N104" s="31" t="e">
        <f>IF(装备!#REF!=0,0,"'"&amp;装备!#REF!&amp;"'")</f>
        <v>#REF!</v>
      </c>
      <c r="O104" s="31" t="e">
        <f t="shared" si="40"/>
        <v>#REF!</v>
      </c>
      <c r="P104" s="31" t="str">
        <f t="shared" si="33"/>
        <v/>
      </c>
      <c r="Q104" s="35" t="str">
        <f>IFERROR(VLOOKUP(C104,装备!$B:$E,3,FALSE),"")</f>
        <v/>
      </c>
      <c r="R104" s="35" t="str">
        <f>IFERROR(VLOOKUP(D104,装备!$B:$E,3,FALSE),"")</f>
        <v/>
      </c>
      <c r="S104" s="35" t="str">
        <f>IFERROR(VLOOKUP(E104,装备!$B:$E,3,FALSE),"")</f>
        <v/>
      </c>
      <c r="T104" s="35" t="str">
        <f>IFERROR(VLOOKUP(F104,装备!$B:$E,3,FALSE),"")</f>
        <v/>
      </c>
      <c r="U104" s="35" t="str">
        <f>IFERROR(VLOOKUP(G104,装备!$B:$E,3,FALSE),"")</f>
        <v/>
      </c>
      <c r="V104" s="35" t="str">
        <f>IFERROR(VLOOKUP(H104,装备!$B:$E,3,FALSE),"")</f>
        <v/>
      </c>
      <c r="W104" s="30" t="str">
        <f t="shared" si="41"/>
        <v/>
      </c>
      <c r="X104" s="30" t="str">
        <f t="shared" si="42"/>
        <v/>
      </c>
      <c r="Y104" s="30" t="str">
        <f t="shared" si="43"/>
        <v/>
      </c>
      <c r="Z104" s="30" t="str">
        <f t="shared" si="44"/>
        <v/>
      </c>
      <c r="AA104" s="30" t="str">
        <f t="shared" si="45"/>
        <v/>
      </c>
      <c r="AB104" s="30" t="e">
        <f t="shared" si="46"/>
        <v>#REF!</v>
      </c>
    </row>
    <row r="105" spans="1:28">
      <c r="A105" s="31" t="e">
        <f>装备!#REF!</f>
        <v>#REF!</v>
      </c>
      <c r="B105" s="31" t="e">
        <f>"'"&amp;装备!#REF!&amp;"'"</f>
        <v>#REF!</v>
      </c>
      <c r="C105" s="31" t="e">
        <f>装备!#REF!</f>
        <v>#REF!</v>
      </c>
      <c r="D105" s="31" t="e">
        <f>装备!#REF!</f>
        <v>#REF!</v>
      </c>
      <c r="E105" s="31" t="e">
        <f>装备!#REF!</f>
        <v>#REF!</v>
      </c>
      <c r="F105" s="31" t="e">
        <f>装备!#REF!</f>
        <v>#REF!</v>
      </c>
      <c r="G105" s="31" t="e">
        <f>装备!#REF!</f>
        <v>#REF!</v>
      </c>
      <c r="H105" s="31" t="e">
        <f>装备!#REF!</f>
        <v>#REF!</v>
      </c>
      <c r="I105" s="31" t="e">
        <f>IF(装备!#REF!=0,0,"'"&amp;装备!#REF!&amp;"'")</f>
        <v>#REF!</v>
      </c>
      <c r="J105" s="31" t="e">
        <f>IF(装备!#REF!=0,0,"'"&amp;装备!#REF!&amp;"'")</f>
        <v>#REF!</v>
      </c>
      <c r="K105" s="31" t="e">
        <f>IF(装备!#REF!=0,0,"'"&amp;装备!#REF!&amp;"'")</f>
        <v>#REF!</v>
      </c>
      <c r="L105" s="31" t="e">
        <f>IF(装备!#REF!=0,0,"'"&amp;装备!#REF!&amp;"'")</f>
        <v>#REF!</v>
      </c>
      <c r="M105" s="31" t="e">
        <f>IF(装备!#REF!=0,0,"'"&amp;装备!#REF!&amp;"'")</f>
        <v>#REF!</v>
      </c>
      <c r="N105" s="31" t="e">
        <f>IF(装备!#REF!=0,0,"'"&amp;装备!#REF!&amp;"'")</f>
        <v>#REF!</v>
      </c>
      <c r="O105" s="31" t="e">
        <f t="shared" si="40"/>
        <v>#REF!</v>
      </c>
      <c r="P105" s="31" t="str">
        <f t="shared" si="33"/>
        <v/>
      </c>
      <c r="Q105" s="35" t="str">
        <f>IFERROR(VLOOKUP(C105,装备!$B:$E,3,FALSE),"")</f>
        <v/>
      </c>
      <c r="R105" s="35" t="str">
        <f>IFERROR(VLOOKUP(D105,装备!$B:$E,3,FALSE),"")</f>
        <v/>
      </c>
      <c r="S105" s="35" t="str">
        <f>IFERROR(VLOOKUP(E105,装备!$B:$E,3,FALSE),"")</f>
        <v/>
      </c>
      <c r="T105" s="35" t="str">
        <f>IFERROR(VLOOKUP(F105,装备!$B:$E,3,FALSE),"")</f>
        <v/>
      </c>
      <c r="U105" s="35" t="str">
        <f>IFERROR(VLOOKUP(G105,装备!$B:$E,3,FALSE),"")</f>
        <v/>
      </c>
      <c r="V105" s="35" t="str">
        <f>IFERROR(VLOOKUP(H105,装备!$B:$E,3,FALSE),"")</f>
        <v/>
      </c>
      <c r="W105" s="30" t="str">
        <f t="shared" si="41"/>
        <v/>
      </c>
      <c r="X105" s="30" t="str">
        <f t="shared" si="42"/>
        <v/>
      </c>
      <c r="Y105" s="30" t="str">
        <f t="shared" si="43"/>
        <v/>
      </c>
      <c r="Z105" s="30" t="str">
        <f t="shared" si="44"/>
        <v/>
      </c>
      <c r="AA105" s="30" t="str">
        <f t="shared" si="45"/>
        <v/>
      </c>
      <c r="AB105" s="30" t="e">
        <f t="shared" si="46"/>
        <v>#REF!</v>
      </c>
    </row>
    <row r="106" spans="1:28">
      <c r="A106" s="31" t="e">
        <f>装备!#REF!</f>
        <v>#REF!</v>
      </c>
      <c r="B106" s="31" t="e">
        <f>"'"&amp;装备!#REF!&amp;"'"</f>
        <v>#REF!</v>
      </c>
      <c r="C106" s="31" t="e">
        <f>装备!#REF!</f>
        <v>#REF!</v>
      </c>
      <c r="D106" s="31" t="e">
        <f>装备!#REF!</f>
        <v>#REF!</v>
      </c>
      <c r="E106" s="31" t="e">
        <f>装备!#REF!</f>
        <v>#REF!</v>
      </c>
      <c r="F106" s="31" t="e">
        <f>装备!#REF!</f>
        <v>#REF!</v>
      </c>
      <c r="G106" s="31" t="e">
        <f>装备!#REF!</f>
        <v>#REF!</v>
      </c>
      <c r="H106" s="31" t="e">
        <f>装备!#REF!</f>
        <v>#REF!</v>
      </c>
      <c r="I106" s="31" t="e">
        <f>IF(装备!#REF!=0,0,"'"&amp;装备!#REF!&amp;"'")</f>
        <v>#REF!</v>
      </c>
      <c r="J106" s="31" t="e">
        <f>IF(装备!#REF!=0,0,"'"&amp;装备!#REF!&amp;"'")</f>
        <v>#REF!</v>
      </c>
      <c r="K106" s="31" t="e">
        <f>IF(装备!#REF!=0,0,"'"&amp;装备!#REF!&amp;"'")</f>
        <v>#REF!</v>
      </c>
      <c r="L106" s="31" t="e">
        <f>IF(装备!#REF!=0,0,"'"&amp;装备!#REF!&amp;"'")</f>
        <v>#REF!</v>
      </c>
      <c r="M106" s="31" t="e">
        <f>IF(装备!#REF!=0,0,"'"&amp;装备!#REF!&amp;"'")</f>
        <v>#REF!</v>
      </c>
      <c r="N106" s="31" t="e">
        <f>IF(装备!#REF!=0,0,"'"&amp;装备!#REF!&amp;"'")</f>
        <v>#REF!</v>
      </c>
      <c r="O106" s="31" t="e">
        <f t="shared" si="40"/>
        <v>#REF!</v>
      </c>
      <c r="P106" s="31" t="str">
        <f t="shared" si="33"/>
        <v/>
      </c>
      <c r="Q106" s="35" t="str">
        <f>IFERROR(VLOOKUP(C106,装备!$B:$E,3,FALSE),"")</f>
        <v/>
      </c>
      <c r="R106" s="35" t="str">
        <f>IFERROR(VLOOKUP(D106,装备!$B:$E,3,FALSE),"")</f>
        <v/>
      </c>
      <c r="S106" s="35" t="str">
        <f>IFERROR(VLOOKUP(E106,装备!$B:$E,3,FALSE),"")</f>
        <v/>
      </c>
      <c r="T106" s="35" t="str">
        <f>IFERROR(VLOOKUP(F106,装备!$B:$E,3,FALSE),"")</f>
        <v/>
      </c>
      <c r="U106" s="35" t="str">
        <f>IFERROR(VLOOKUP(G106,装备!$B:$E,3,FALSE),"")</f>
        <v/>
      </c>
      <c r="V106" s="35" t="str">
        <f>IFERROR(VLOOKUP(H106,装备!$B:$E,3,FALSE),"")</f>
        <v/>
      </c>
      <c r="W106" s="30" t="str">
        <f t="shared" si="41"/>
        <v/>
      </c>
      <c r="X106" s="30" t="str">
        <f t="shared" si="42"/>
        <v/>
      </c>
      <c r="Y106" s="30" t="str">
        <f t="shared" si="43"/>
        <v/>
      </c>
      <c r="Z106" s="30" t="str">
        <f t="shared" si="44"/>
        <v/>
      </c>
      <c r="AA106" s="30" t="str">
        <f t="shared" si="45"/>
        <v/>
      </c>
      <c r="AB106" s="30" t="e">
        <f t="shared" si="46"/>
        <v>#REF!</v>
      </c>
    </row>
    <row r="107" spans="1:28">
      <c r="A107" s="31" t="e">
        <f>装备!#REF!</f>
        <v>#REF!</v>
      </c>
      <c r="B107" s="31" t="e">
        <f>"'"&amp;装备!#REF!&amp;"'"</f>
        <v>#REF!</v>
      </c>
      <c r="C107" s="31" t="e">
        <f>装备!#REF!</f>
        <v>#REF!</v>
      </c>
      <c r="D107" s="31" t="e">
        <f>装备!#REF!</f>
        <v>#REF!</v>
      </c>
      <c r="E107" s="31" t="e">
        <f>装备!#REF!</f>
        <v>#REF!</v>
      </c>
      <c r="F107" s="31" t="e">
        <f>装备!#REF!</f>
        <v>#REF!</v>
      </c>
      <c r="G107" s="31" t="e">
        <f>装备!#REF!</f>
        <v>#REF!</v>
      </c>
      <c r="H107" s="31" t="e">
        <f>装备!#REF!</f>
        <v>#REF!</v>
      </c>
      <c r="I107" s="31" t="e">
        <f>IF(装备!#REF!=0,0,"'"&amp;装备!#REF!&amp;"'")</f>
        <v>#REF!</v>
      </c>
      <c r="J107" s="31" t="e">
        <f>IF(装备!#REF!=0,0,"'"&amp;装备!#REF!&amp;"'")</f>
        <v>#REF!</v>
      </c>
      <c r="K107" s="31" t="e">
        <f>IF(装备!#REF!=0,0,"'"&amp;装备!#REF!&amp;"'")</f>
        <v>#REF!</v>
      </c>
      <c r="L107" s="31" t="e">
        <f>IF(装备!#REF!=0,0,"'"&amp;装备!#REF!&amp;"'")</f>
        <v>#REF!</v>
      </c>
      <c r="M107" s="31" t="e">
        <f>IF(装备!#REF!=0,0,"'"&amp;装备!#REF!&amp;"'")</f>
        <v>#REF!</v>
      </c>
      <c r="N107" s="31" t="e">
        <f>IF(装备!#REF!=0,0,"'"&amp;装备!#REF!&amp;"'")</f>
        <v>#REF!</v>
      </c>
      <c r="O107" s="31" t="e">
        <f t="shared" si="40"/>
        <v>#REF!</v>
      </c>
      <c r="P107" s="31" t="str">
        <f t="shared" si="33"/>
        <v/>
      </c>
      <c r="Q107" s="35" t="str">
        <f>IFERROR(VLOOKUP(C107,装备!$B:$E,3,FALSE),"")</f>
        <v/>
      </c>
      <c r="R107" s="35" t="str">
        <f>IFERROR(VLOOKUP(D107,装备!$B:$E,3,FALSE),"")</f>
        <v/>
      </c>
      <c r="S107" s="35" t="str">
        <f>IFERROR(VLOOKUP(E107,装备!$B:$E,3,FALSE),"")</f>
        <v/>
      </c>
      <c r="T107" s="35" t="str">
        <f>IFERROR(VLOOKUP(F107,装备!$B:$E,3,FALSE),"")</f>
        <v/>
      </c>
      <c r="U107" s="35" t="str">
        <f>IFERROR(VLOOKUP(G107,装备!$B:$E,3,FALSE),"")</f>
        <v/>
      </c>
      <c r="V107" s="35" t="str">
        <f>IFERROR(VLOOKUP(H107,装备!$B:$E,3,FALSE),"")</f>
        <v/>
      </c>
      <c r="W107" s="30" t="str">
        <f t="shared" si="41"/>
        <v/>
      </c>
      <c r="X107" s="30" t="str">
        <f t="shared" si="42"/>
        <v/>
      </c>
      <c r="Y107" s="30" t="str">
        <f t="shared" si="43"/>
        <v/>
      </c>
      <c r="Z107" s="30" t="str">
        <f t="shared" si="44"/>
        <v/>
      </c>
      <c r="AA107" s="30" t="str">
        <f t="shared" si="45"/>
        <v/>
      </c>
      <c r="AB107" s="30" t="e">
        <f t="shared" si="46"/>
        <v>#REF!</v>
      </c>
    </row>
    <row r="108" spans="1:28">
      <c r="A108" s="31" t="e">
        <f>装备!#REF!</f>
        <v>#REF!</v>
      </c>
      <c r="B108" s="31" t="e">
        <f>"'"&amp;装备!#REF!&amp;"'"</f>
        <v>#REF!</v>
      </c>
      <c r="C108" s="31" t="e">
        <f>装备!#REF!</f>
        <v>#REF!</v>
      </c>
      <c r="D108" s="31" t="e">
        <f>装备!#REF!</f>
        <v>#REF!</v>
      </c>
      <c r="E108" s="31" t="e">
        <f>装备!#REF!</f>
        <v>#REF!</v>
      </c>
      <c r="F108" s="31" t="e">
        <f>装备!#REF!</f>
        <v>#REF!</v>
      </c>
      <c r="G108" s="31" t="e">
        <f>装备!#REF!</f>
        <v>#REF!</v>
      </c>
      <c r="H108" s="31" t="e">
        <f>装备!#REF!</f>
        <v>#REF!</v>
      </c>
      <c r="I108" s="31" t="e">
        <f>IF(装备!#REF!=0,0,"'"&amp;装备!#REF!&amp;"'")</f>
        <v>#REF!</v>
      </c>
      <c r="J108" s="31" t="e">
        <f>IF(装备!#REF!=0,0,"'"&amp;装备!#REF!&amp;"'")</f>
        <v>#REF!</v>
      </c>
      <c r="K108" s="31" t="e">
        <f>IF(装备!#REF!=0,0,"'"&amp;装备!#REF!&amp;"'")</f>
        <v>#REF!</v>
      </c>
      <c r="L108" s="31" t="e">
        <f>IF(装备!#REF!=0,0,"'"&amp;装备!#REF!&amp;"'")</f>
        <v>#REF!</v>
      </c>
      <c r="M108" s="31" t="e">
        <f>IF(装备!#REF!=0,0,"'"&amp;装备!#REF!&amp;"'")</f>
        <v>#REF!</v>
      </c>
      <c r="N108" s="31" t="e">
        <f>IF(装备!#REF!=0,0,"'"&amp;装备!#REF!&amp;"'")</f>
        <v>#REF!</v>
      </c>
      <c r="O108" s="31" t="e">
        <f t="shared" si="40"/>
        <v>#REF!</v>
      </c>
      <c r="P108" s="31" t="str">
        <f t="shared" si="33"/>
        <v/>
      </c>
      <c r="Q108" s="35" t="str">
        <f>IFERROR(VLOOKUP(C108,装备!$B:$E,3,FALSE),"")</f>
        <v/>
      </c>
      <c r="R108" s="35" t="str">
        <f>IFERROR(VLOOKUP(D108,装备!$B:$E,3,FALSE),"")</f>
        <v/>
      </c>
      <c r="S108" s="35" t="str">
        <f>IFERROR(VLOOKUP(E108,装备!$B:$E,3,FALSE),"")</f>
        <v/>
      </c>
      <c r="T108" s="35" t="str">
        <f>IFERROR(VLOOKUP(F108,装备!$B:$E,3,FALSE),"")</f>
        <v/>
      </c>
      <c r="U108" s="35" t="str">
        <f>IFERROR(VLOOKUP(G108,装备!$B:$E,3,FALSE),"")</f>
        <v/>
      </c>
      <c r="V108" s="35" t="str">
        <f>IFERROR(VLOOKUP(H108,装备!$B:$E,3,FALSE),"")</f>
        <v/>
      </c>
      <c r="W108" s="30" t="str">
        <f t="shared" si="41"/>
        <v/>
      </c>
      <c r="X108" s="30" t="str">
        <f t="shared" si="42"/>
        <v/>
      </c>
      <c r="Y108" s="30" t="str">
        <f t="shared" si="43"/>
        <v/>
      </c>
      <c r="Z108" s="30" t="str">
        <f t="shared" si="44"/>
        <v/>
      </c>
      <c r="AA108" s="30" t="str">
        <f t="shared" si="45"/>
        <v/>
      </c>
      <c r="AB108" s="30" t="e">
        <f t="shared" si="46"/>
        <v>#REF!</v>
      </c>
    </row>
    <row r="109" spans="1:28">
      <c r="A109" s="31" t="e">
        <f>装备!#REF!</f>
        <v>#REF!</v>
      </c>
      <c r="B109" s="31" t="e">
        <f>"'"&amp;装备!#REF!&amp;"'"</f>
        <v>#REF!</v>
      </c>
      <c r="C109" s="31" t="e">
        <f>装备!#REF!</f>
        <v>#REF!</v>
      </c>
      <c r="D109" s="31" t="e">
        <f>装备!#REF!</f>
        <v>#REF!</v>
      </c>
      <c r="E109" s="31" t="e">
        <f>装备!#REF!</f>
        <v>#REF!</v>
      </c>
      <c r="F109" s="31" t="e">
        <f>装备!#REF!</f>
        <v>#REF!</v>
      </c>
      <c r="G109" s="31" t="e">
        <f>装备!#REF!</f>
        <v>#REF!</v>
      </c>
      <c r="H109" s="31" t="e">
        <f>装备!#REF!</f>
        <v>#REF!</v>
      </c>
      <c r="I109" s="31" t="e">
        <f>IF(装备!#REF!=0,0,"'"&amp;装备!#REF!&amp;"'")</f>
        <v>#REF!</v>
      </c>
      <c r="J109" s="31" t="e">
        <f>IF(装备!#REF!=0,0,"'"&amp;装备!#REF!&amp;"'")</f>
        <v>#REF!</v>
      </c>
      <c r="K109" s="31" t="e">
        <f>IF(装备!#REF!=0,0,"'"&amp;装备!#REF!&amp;"'")</f>
        <v>#REF!</v>
      </c>
      <c r="L109" s="31" t="e">
        <f>IF(装备!#REF!=0,0,"'"&amp;装备!#REF!&amp;"'")</f>
        <v>#REF!</v>
      </c>
      <c r="M109" s="31" t="e">
        <f>IF(装备!#REF!=0,0,"'"&amp;装备!#REF!&amp;"'")</f>
        <v>#REF!</v>
      </c>
      <c r="N109" s="31" t="e">
        <f>IF(装备!#REF!=0,0,"'"&amp;装备!#REF!&amp;"'")</f>
        <v>#REF!</v>
      </c>
      <c r="O109" s="31" t="e">
        <f t="shared" si="40"/>
        <v>#REF!</v>
      </c>
      <c r="P109" s="31" t="str">
        <f t="shared" si="33"/>
        <v/>
      </c>
      <c r="Q109" s="35" t="str">
        <f>IFERROR(VLOOKUP(C109,装备!$B:$E,3,FALSE),"")</f>
        <v/>
      </c>
      <c r="R109" s="35" t="str">
        <f>IFERROR(VLOOKUP(D109,装备!$B:$E,3,FALSE),"")</f>
        <v/>
      </c>
      <c r="S109" s="35" t="str">
        <f>IFERROR(VLOOKUP(E109,装备!$B:$E,3,FALSE),"")</f>
        <v/>
      </c>
      <c r="T109" s="35" t="str">
        <f>IFERROR(VLOOKUP(F109,装备!$B:$E,3,FALSE),"")</f>
        <v/>
      </c>
      <c r="U109" s="35" t="str">
        <f>IFERROR(VLOOKUP(G109,装备!$B:$E,3,FALSE),"")</f>
        <v/>
      </c>
      <c r="V109" s="35" t="str">
        <f>IFERROR(VLOOKUP(H109,装备!$B:$E,3,FALSE),"")</f>
        <v/>
      </c>
      <c r="W109" s="30" t="str">
        <f t="shared" si="41"/>
        <v/>
      </c>
      <c r="X109" s="30" t="str">
        <f t="shared" si="42"/>
        <v/>
      </c>
      <c r="Y109" s="30" t="str">
        <f t="shared" si="43"/>
        <v/>
      </c>
      <c r="Z109" s="30" t="str">
        <f t="shared" si="44"/>
        <v/>
      </c>
      <c r="AA109" s="30" t="str">
        <f t="shared" si="45"/>
        <v/>
      </c>
      <c r="AB109" s="30" t="e">
        <f t="shared" si="46"/>
        <v>#REF!</v>
      </c>
    </row>
    <row r="110" spans="1:28">
      <c r="A110" s="31" t="e">
        <f>装备!#REF!</f>
        <v>#REF!</v>
      </c>
      <c r="B110" s="31" t="e">
        <f>"'"&amp;装备!#REF!&amp;"'"</f>
        <v>#REF!</v>
      </c>
      <c r="C110" s="31" t="e">
        <f>装备!#REF!</f>
        <v>#REF!</v>
      </c>
      <c r="D110" s="31" t="e">
        <f>装备!#REF!</f>
        <v>#REF!</v>
      </c>
      <c r="E110" s="31" t="e">
        <f>装备!#REF!</f>
        <v>#REF!</v>
      </c>
      <c r="F110" s="31" t="e">
        <f>装备!#REF!</f>
        <v>#REF!</v>
      </c>
      <c r="G110" s="31" t="e">
        <f>装备!#REF!</f>
        <v>#REF!</v>
      </c>
      <c r="H110" s="31" t="e">
        <f>装备!#REF!</f>
        <v>#REF!</v>
      </c>
      <c r="I110" s="31" t="e">
        <f>IF(装备!#REF!=0,0,"'"&amp;装备!#REF!&amp;"'")</f>
        <v>#REF!</v>
      </c>
      <c r="J110" s="31" t="e">
        <f>IF(装备!#REF!=0,0,"'"&amp;装备!#REF!&amp;"'")</f>
        <v>#REF!</v>
      </c>
      <c r="K110" s="31" t="e">
        <f>IF(装备!#REF!=0,0,"'"&amp;装备!#REF!&amp;"'")</f>
        <v>#REF!</v>
      </c>
      <c r="L110" s="31" t="e">
        <f>IF(装备!#REF!=0,0,"'"&amp;装备!#REF!&amp;"'")</f>
        <v>#REF!</v>
      </c>
      <c r="M110" s="31" t="e">
        <f>IF(装备!#REF!=0,0,"'"&amp;装备!#REF!&amp;"'")</f>
        <v>#REF!</v>
      </c>
      <c r="N110" s="31" t="e">
        <f>IF(装备!#REF!=0,0,"'"&amp;装备!#REF!&amp;"'")</f>
        <v>#REF!</v>
      </c>
      <c r="O110" s="31" t="e">
        <f t="shared" si="40"/>
        <v>#REF!</v>
      </c>
      <c r="P110" s="31" t="str">
        <f t="shared" si="33"/>
        <v/>
      </c>
      <c r="Q110" s="35" t="str">
        <f>IFERROR(VLOOKUP(C110,装备!$B:$E,3,FALSE),"")</f>
        <v/>
      </c>
      <c r="R110" s="35" t="str">
        <f>IFERROR(VLOOKUP(D110,装备!$B:$E,3,FALSE),"")</f>
        <v/>
      </c>
      <c r="S110" s="35" t="str">
        <f>IFERROR(VLOOKUP(E110,装备!$B:$E,3,FALSE),"")</f>
        <v/>
      </c>
      <c r="T110" s="35" t="str">
        <f>IFERROR(VLOOKUP(F110,装备!$B:$E,3,FALSE),"")</f>
        <v/>
      </c>
      <c r="U110" s="35" t="str">
        <f>IFERROR(VLOOKUP(G110,装备!$B:$E,3,FALSE),"")</f>
        <v/>
      </c>
      <c r="V110" s="35" t="str">
        <f>IFERROR(VLOOKUP(H110,装备!$B:$E,3,FALSE),"")</f>
        <v/>
      </c>
      <c r="W110" s="30" t="str">
        <f t="shared" si="41"/>
        <v/>
      </c>
      <c r="X110" s="30" t="str">
        <f t="shared" si="42"/>
        <v/>
      </c>
      <c r="Y110" s="30" t="str">
        <f t="shared" si="43"/>
        <v/>
      </c>
      <c r="Z110" s="30" t="str">
        <f t="shared" si="44"/>
        <v/>
      </c>
      <c r="AA110" s="30" t="str">
        <f t="shared" si="45"/>
        <v/>
      </c>
      <c r="AB110" s="30" t="e">
        <f t="shared" si="46"/>
        <v>#REF!</v>
      </c>
    </row>
    <row r="111" spans="1:28">
      <c r="A111" s="31" t="e">
        <f>装备!#REF!</f>
        <v>#REF!</v>
      </c>
      <c r="B111" s="31" t="e">
        <f>"'"&amp;装备!#REF!&amp;"'"</f>
        <v>#REF!</v>
      </c>
      <c r="C111" s="31" t="e">
        <f>装备!#REF!</f>
        <v>#REF!</v>
      </c>
      <c r="D111" s="31" t="e">
        <f>装备!#REF!</f>
        <v>#REF!</v>
      </c>
      <c r="E111" s="31" t="e">
        <f>装备!#REF!</f>
        <v>#REF!</v>
      </c>
      <c r="F111" s="31" t="e">
        <f>装备!#REF!</f>
        <v>#REF!</v>
      </c>
      <c r="G111" s="31" t="e">
        <f>装备!#REF!</f>
        <v>#REF!</v>
      </c>
      <c r="H111" s="31" t="e">
        <f>装备!#REF!</f>
        <v>#REF!</v>
      </c>
      <c r="I111" s="31" t="e">
        <f>IF(装备!#REF!=0,0,"'"&amp;装备!#REF!&amp;"'")</f>
        <v>#REF!</v>
      </c>
      <c r="J111" s="31" t="e">
        <f>IF(装备!#REF!=0,0,"'"&amp;装备!#REF!&amp;"'")</f>
        <v>#REF!</v>
      </c>
      <c r="K111" s="31" t="e">
        <f>IF(装备!#REF!=0,0,"'"&amp;装备!#REF!&amp;"'")</f>
        <v>#REF!</v>
      </c>
      <c r="L111" s="31" t="e">
        <f>IF(装备!#REF!=0,0,"'"&amp;装备!#REF!&amp;"'")</f>
        <v>#REF!</v>
      </c>
      <c r="M111" s="31" t="e">
        <f>IF(装备!#REF!=0,0,"'"&amp;装备!#REF!&amp;"'")</f>
        <v>#REF!</v>
      </c>
      <c r="N111" s="31" t="e">
        <f>IF(装备!#REF!=0,0,"'"&amp;装备!#REF!&amp;"'")</f>
        <v>#REF!</v>
      </c>
      <c r="O111" s="31" t="e">
        <f t="shared" si="40"/>
        <v>#REF!</v>
      </c>
      <c r="P111" s="31" t="str">
        <f t="shared" si="33"/>
        <v/>
      </c>
      <c r="Q111" s="35" t="str">
        <f>IFERROR(VLOOKUP(C111,装备!$B:$E,3,FALSE),"")</f>
        <v/>
      </c>
      <c r="R111" s="35" t="str">
        <f>IFERROR(VLOOKUP(D111,装备!$B:$E,3,FALSE),"")</f>
        <v/>
      </c>
      <c r="S111" s="35" t="str">
        <f>IFERROR(VLOOKUP(E111,装备!$B:$E,3,FALSE),"")</f>
        <v/>
      </c>
      <c r="T111" s="35" t="str">
        <f>IFERROR(VLOOKUP(F111,装备!$B:$E,3,FALSE),"")</f>
        <v/>
      </c>
      <c r="U111" s="35" t="str">
        <f>IFERROR(VLOOKUP(G111,装备!$B:$E,3,FALSE),"")</f>
        <v/>
      </c>
      <c r="V111" s="35" t="str">
        <f>IFERROR(VLOOKUP(H111,装备!$B:$E,3,FALSE),"")</f>
        <v/>
      </c>
      <c r="W111" s="30" t="str">
        <f t="shared" si="41"/>
        <v/>
      </c>
      <c r="X111" s="30" t="str">
        <f t="shared" si="42"/>
        <v/>
      </c>
      <c r="Y111" s="30" t="str">
        <f t="shared" si="43"/>
        <v/>
      </c>
      <c r="Z111" s="30" t="str">
        <f t="shared" si="44"/>
        <v/>
      </c>
      <c r="AA111" s="30" t="str">
        <f t="shared" si="45"/>
        <v/>
      </c>
      <c r="AB111" s="30" t="e">
        <f t="shared" si="46"/>
        <v>#REF!</v>
      </c>
    </row>
    <row r="112" spans="1:28">
      <c r="A112" s="31" t="e">
        <f>装备!#REF!</f>
        <v>#REF!</v>
      </c>
      <c r="B112" s="31" t="e">
        <f>"'"&amp;装备!#REF!&amp;"'"</f>
        <v>#REF!</v>
      </c>
      <c r="C112" s="31" t="e">
        <f>装备!#REF!</f>
        <v>#REF!</v>
      </c>
      <c r="D112" s="31" t="e">
        <f>装备!#REF!</f>
        <v>#REF!</v>
      </c>
      <c r="E112" s="31" t="e">
        <f>装备!#REF!</f>
        <v>#REF!</v>
      </c>
      <c r="F112" s="31" t="e">
        <f>装备!#REF!</f>
        <v>#REF!</v>
      </c>
      <c r="G112" s="31" t="e">
        <f>装备!#REF!</f>
        <v>#REF!</v>
      </c>
      <c r="H112" s="31" t="e">
        <f>装备!#REF!</f>
        <v>#REF!</v>
      </c>
      <c r="I112" s="31" t="e">
        <f>IF(装备!#REF!=0,0,"'"&amp;装备!#REF!&amp;"'")</f>
        <v>#REF!</v>
      </c>
      <c r="J112" s="31" t="e">
        <f>IF(装备!#REF!=0,0,"'"&amp;装备!#REF!&amp;"'")</f>
        <v>#REF!</v>
      </c>
      <c r="K112" s="31" t="e">
        <f>IF(装备!#REF!=0,0,"'"&amp;装备!#REF!&amp;"'")</f>
        <v>#REF!</v>
      </c>
      <c r="L112" s="31" t="e">
        <f>IF(装备!#REF!=0,0,"'"&amp;装备!#REF!&amp;"'")</f>
        <v>#REF!</v>
      </c>
      <c r="M112" s="31" t="e">
        <f>IF(装备!#REF!=0,0,"'"&amp;装备!#REF!&amp;"'")</f>
        <v>#REF!</v>
      </c>
      <c r="N112" s="31" t="e">
        <f>IF(装备!#REF!=0,0,"'"&amp;装备!#REF!&amp;"'")</f>
        <v>#REF!</v>
      </c>
      <c r="O112" s="31" t="e">
        <f t="shared" si="40"/>
        <v>#REF!</v>
      </c>
      <c r="P112" s="31" t="str">
        <f t="shared" si="33"/>
        <v/>
      </c>
      <c r="Q112" s="35" t="str">
        <f>IFERROR(VLOOKUP(C112,装备!$B:$E,3,FALSE),"")</f>
        <v/>
      </c>
      <c r="R112" s="35" t="str">
        <f>IFERROR(VLOOKUP(D112,装备!$B:$E,3,FALSE),"")</f>
        <v/>
      </c>
      <c r="S112" s="35" t="str">
        <f>IFERROR(VLOOKUP(E112,装备!$B:$E,3,FALSE),"")</f>
        <v/>
      </c>
      <c r="T112" s="35" t="str">
        <f>IFERROR(VLOOKUP(F112,装备!$B:$E,3,FALSE),"")</f>
        <v/>
      </c>
      <c r="U112" s="35" t="str">
        <f>IFERROR(VLOOKUP(G112,装备!$B:$E,3,FALSE),"")</f>
        <v/>
      </c>
      <c r="V112" s="35" t="str">
        <f>IFERROR(VLOOKUP(H112,装备!$B:$E,3,FALSE),"")</f>
        <v/>
      </c>
      <c r="W112" s="30" t="str">
        <f t="shared" si="41"/>
        <v/>
      </c>
      <c r="X112" s="30" t="str">
        <f t="shared" si="42"/>
        <v/>
      </c>
      <c r="Y112" s="30" t="str">
        <f t="shared" si="43"/>
        <v/>
      </c>
      <c r="Z112" s="30" t="str">
        <f t="shared" si="44"/>
        <v/>
      </c>
      <c r="AA112" s="30" t="str">
        <f t="shared" si="45"/>
        <v/>
      </c>
      <c r="AB112" s="30" t="e">
        <f t="shared" si="46"/>
        <v>#REF!</v>
      </c>
    </row>
    <row r="113" spans="1:28">
      <c r="A113" s="31" t="e">
        <f>装备!#REF!</f>
        <v>#REF!</v>
      </c>
      <c r="B113" s="31" t="e">
        <f>"'"&amp;装备!#REF!&amp;"'"</f>
        <v>#REF!</v>
      </c>
      <c r="C113" s="31" t="e">
        <f>装备!#REF!</f>
        <v>#REF!</v>
      </c>
      <c r="D113" s="31" t="e">
        <f>装备!#REF!</f>
        <v>#REF!</v>
      </c>
      <c r="E113" s="31" t="e">
        <f>装备!#REF!</f>
        <v>#REF!</v>
      </c>
      <c r="F113" s="31" t="e">
        <f>装备!#REF!</f>
        <v>#REF!</v>
      </c>
      <c r="G113" s="31" t="e">
        <f>装备!#REF!</f>
        <v>#REF!</v>
      </c>
      <c r="H113" s="31" t="e">
        <f>装备!#REF!</f>
        <v>#REF!</v>
      </c>
      <c r="I113" s="31" t="e">
        <f>IF(装备!#REF!=0,0,"'"&amp;装备!#REF!&amp;"'")</f>
        <v>#REF!</v>
      </c>
      <c r="J113" s="31" t="e">
        <f>IF(装备!#REF!=0,0,"'"&amp;装备!#REF!&amp;"'")</f>
        <v>#REF!</v>
      </c>
      <c r="K113" s="31" t="e">
        <f>IF(装备!#REF!=0,0,"'"&amp;装备!#REF!&amp;"'")</f>
        <v>#REF!</v>
      </c>
      <c r="L113" s="31" t="e">
        <f>IF(装备!#REF!=0,0,"'"&amp;装备!#REF!&amp;"'")</f>
        <v>#REF!</v>
      </c>
      <c r="M113" s="31" t="e">
        <f>IF(装备!#REF!=0,0,"'"&amp;装备!#REF!&amp;"'")</f>
        <v>#REF!</v>
      </c>
      <c r="N113" s="31" t="e">
        <f>IF(装备!#REF!=0,0,"'"&amp;装备!#REF!&amp;"'")</f>
        <v>#REF!</v>
      </c>
      <c r="O113" s="31" t="e">
        <f t="shared" si="40"/>
        <v>#REF!</v>
      </c>
      <c r="P113" s="31" t="str">
        <f t="shared" si="33"/>
        <v/>
      </c>
      <c r="Q113" s="35" t="str">
        <f>IFERROR(VLOOKUP(C113,装备!$B:$E,3,FALSE),"")</f>
        <v/>
      </c>
      <c r="R113" s="35" t="str">
        <f>IFERROR(VLOOKUP(D113,装备!$B:$E,3,FALSE),"")</f>
        <v/>
      </c>
      <c r="S113" s="35" t="str">
        <f>IFERROR(VLOOKUP(E113,装备!$B:$E,3,FALSE),"")</f>
        <v/>
      </c>
      <c r="T113" s="35" t="str">
        <f>IFERROR(VLOOKUP(F113,装备!$B:$E,3,FALSE),"")</f>
        <v/>
      </c>
      <c r="U113" s="35" t="str">
        <f>IFERROR(VLOOKUP(G113,装备!$B:$E,3,FALSE),"")</f>
        <v/>
      </c>
      <c r="V113" s="35" t="str">
        <f>IFERROR(VLOOKUP(H113,装备!$B:$E,3,FALSE),"")</f>
        <v/>
      </c>
      <c r="W113" s="30" t="str">
        <f t="shared" si="41"/>
        <v/>
      </c>
      <c r="X113" s="30" t="str">
        <f t="shared" si="42"/>
        <v/>
      </c>
      <c r="Y113" s="30" t="str">
        <f t="shared" si="43"/>
        <v/>
      </c>
      <c r="Z113" s="30" t="str">
        <f t="shared" si="44"/>
        <v/>
      </c>
      <c r="AA113" s="30" t="str">
        <f t="shared" si="45"/>
        <v/>
      </c>
      <c r="AB113" s="30" t="e">
        <f t="shared" si="46"/>
        <v>#REF!</v>
      </c>
    </row>
    <row r="114" spans="1:28">
      <c r="A114" s="31" t="e">
        <f>装备!#REF!</f>
        <v>#REF!</v>
      </c>
      <c r="B114" s="31" t="e">
        <f>"'"&amp;装备!#REF!&amp;"'"</f>
        <v>#REF!</v>
      </c>
      <c r="C114" s="31" t="e">
        <f>装备!#REF!</f>
        <v>#REF!</v>
      </c>
      <c r="D114" s="31" t="e">
        <f>装备!#REF!</f>
        <v>#REF!</v>
      </c>
      <c r="E114" s="31" t="e">
        <f>装备!#REF!</f>
        <v>#REF!</v>
      </c>
      <c r="F114" s="31" t="e">
        <f>装备!#REF!</f>
        <v>#REF!</v>
      </c>
      <c r="G114" s="31" t="e">
        <f>装备!#REF!</f>
        <v>#REF!</v>
      </c>
      <c r="H114" s="31" t="e">
        <f>装备!#REF!</f>
        <v>#REF!</v>
      </c>
      <c r="I114" s="31" t="e">
        <f>IF(装备!#REF!=0,0,"'"&amp;装备!#REF!&amp;"'")</f>
        <v>#REF!</v>
      </c>
      <c r="J114" s="31" t="e">
        <f>IF(装备!#REF!=0,0,"'"&amp;装备!#REF!&amp;"'")</f>
        <v>#REF!</v>
      </c>
      <c r="K114" s="31" t="e">
        <f>IF(装备!#REF!=0,0,"'"&amp;装备!#REF!&amp;"'")</f>
        <v>#REF!</v>
      </c>
      <c r="L114" s="31" t="e">
        <f>IF(装备!#REF!=0,0,"'"&amp;装备!#REF!&amp;"'")</f>
        <v>#REF!</v>
      </c>
      <c r="M114" s="31" t="e">
        <f>IF(装备!#REF!=0,0,"'"&amp;装备!#REF!&amp;"'")</f>
        <v>#REF!</v>
      </c>
      <c r="N114" s="31" t="e">
        <f>IF(装备!#REF!=0,0,"'"&amp;装备!#REF!&amp;"'")</f>
        <v>#REF!</v>
      </c>
      <c r="O114" s="31" t="e">
        <f t="shared" si="40"/>
        <v>#REF!</v>
      </c>
      <c r="P114" s="31" t="str">
        <f t="shared" si="33"/>
        <v/>
      </c>
      <c r="Q114" s="35" t="str">
        <f>IFERROR(VLOOKUP(C114,装备!$B:$E,3,FALSE),"")</f>
        <v/>
      </c>
      <c r="R114" s="35" t="str">
        <f>IFERROR(VLOOKUP(D114,装备!$B:$E,3,FALSE),"")</f>
        <v/>
      </c>
      <c r="S114" s="35" t="str">
        <f>IFERROR(VLOOKUP(E114,装备!$B:$E,3,FALSE),"")</f>
        <v/>
      </c>
      <c r="T114" s="35" t="str">
        <f>IFERROR(VLOOKUP(F114,装备!$B:$E,3,FALSE),"")</f>
        <v/>
      </c>
      <c r="U114" s="35" t="str">
        <f>IFERROR(VLOOKUP(G114,装备!$B:$E,3,FALSE),"")</f>
        <v/>
      </c>
      <c r="V114" s="35" t="str">
        <f>IFERROR(VLOOKUP(H114,装备!$B:$E,3,FALSE),"")</f>
        <v/>
      </c>
      <c r="W114" s="30" t="str">
        <f t="shared" si="41"/>
        <v/>
      </c>
      <c r="X114" s="30" t="str">
        <f t="shared" si="42"/>
        <v/>
      </c>
      <c r="Y114" s="30" t="str">
        <f t="shared" si="43"/>
        <v/>
      </c>
      <c r="Z114" s="30" t="str">
        <f t="shared" si="44"/>
        <v/>
      </c>
      <c r="AA114" s="30" t="str">
        <f t="shared" si="45"/>
        <v/>
      </c>
      <c r="AB114" s="30" t="e">
        <f t="shared" si="46"/>
        <v>#REF!</v>
      </c>
    </row>
    <row r="115" spans="1:28">
      <c r="A115" s="31" t="e">
        <f>装备!#REF!</f>
        <v>#REF!</v>
      </c>
      <c r="B115" s="31" t="e">
        <f>"'"&amp;装备!#REF!&amp;"'"</f>
        <v>#REF!</v>
      </c>
      <c r="C115" s="31" t="e">
        <f>装备!#REF!</f>
        <v>#REF!</v>
      </c>
      <c r="D115" s="31" t="e">
        <f>装备!#REF!</f>
        <v>#REF!</v>
      </c>
      <c r="E115" s="31" t="e">
        <f>装备!#REF!</f>
        <v>#REF!</v>
      </c>
      <c r="F115" s="31" t="e">
        <f>装备!#REF!</f>
        <v>#REF!</v>
      </c>
      <c r="G115" s="31" t="e">
        <f>装备!#REF!</f>
        <v>#REF!</v>
      </c>
      <c r="H115" s="31" t="e">
        <f>装备!#REF!</f>
        <v>#REF!</v>
      </c>
      <c r="I115" s="31" t="e">
        <f>IF(装备!#REF!=0,0,"'"&amp;装备!#REF!&amp;"'")</f>
        <v>#REF!</v>
      </c>
      <c r="J115" s="31" t="e">
        <f>IF(装备!#REF!=0,0,"'"&amp;装备!#REF!&amp;"'")</f>
        <v>#REF!</v>
      </c>
      <c r="K115" s="31" t="e">
        <f>IF(装备!#REF!=0,0,"'"&amp;装备!#REF!&amp;"'")</f>
        <v>#REF!</v>
      </c>
      <c r="L115" s="31" t="e">
        <f>IF(装备!#REF!=0,0,"'"&amp;装备!#REF!&amp;"'")</f>
        <v>#REF!</v>
      </c>
      <c r="M115" s="31" t="e">
        <f>IF(装备!#REF!=0,0,"'"&amp;装备!#REF!&amp;"'")</f>
        <v>#REF!</v>
      </c>
      <c r="N115" s="31" t="e">
        <f>IF(装备!#REF!=0,0,"'"&amp;装备!#REF!&amp;"'")</f>
        <v>#REF!</v>
      </c>
      <c r="O115" s="31" t="e">
        <f t="shared" si="40"/>
        <v>#REF!</v>
      </c>
      <c r="P115" s="31" t="str">
        <f t="shared" si="33"/>
        <v/>
      </c>
      <c r="Q115" s="35" t="str">
        <f>IFERROR(VLOOKUP(C115,装备!$B:$E,3,FALSE),"")</f>
        <v/>
      </c>
      <c r="R115" s="35" t="str">
        <f>IFERROR(VLOOKUP(D115,装备!$B:$E,3,FALSE),"")</f>
        <v/>
      </c>
      <c r="S115" s="35" t="str">
        <f>IFERROR(VLOOKUP(E115,装备!$B:$E,3,FALSE),"")</f>
        <v/>
      </c>
      <c r="T115" s="35" t="str">
        <f>IFERROR(VLOOKUP(F115,装备!$B:$E,3,FALSE),"")</f>
        <v/>
      </c>
      <c r="U115" s="35" t="str">
        <f>IFERROR(VLOOKUP(G115,装备!$B:$E,3,FALSE),"")</f>
        <v/>
      </c>
      <c r="V115" s="35" t="str">
        <f>IFERROR(VLOOKUP(H115,装备!$B:$E,3,FALSE),"")</f>
        <v/>
      </c>
      <c r="W115" s="30" t="str">
        <f t="shared" si="41"/>
        <v/>
      </c>
      <c r="X115" s="30" t="str">
        <f t="shared" si="42"/>
        <v/>
      </c>
      <c r="Y115" s="30" t="str">
        <f t="shared" si="43"/>
        <v/>
      </c>
      <c r="Z115" s="30" t="str">
        <f t="shared" si="44"/>
        <v/>
      </c>
      <c r="AA115" s="30" t="str">
        <f t="shared" si="45"/>
        <v/>
      </c>
      <c r="AB115" s="30" t="e">
        <f t="shared" si="46"/>
        <v>#REF!</v>
      </c>
    </row>
    <row r="116" spans="1:28">
      <c r="A116" s="31" t="e">
        <f>装备!#REF!</f>
        <v>#REF!</v>
      </c>
      <c r="B116" s="31" t="e">
        <f>"'"&amp;装备!#REF!&amp;"'"</f>
        <v>#REF!</v>
      </c>
      <c r="C116" s="31" t="e">
        <f>装备!#REF!</f>
        <v>#REF!</v>
      </c>
      <c r="D116" s="31" t="e">
        <f>装备!#REF!</f>
        <v>#REF!</v>
      </c>
      <c r="E116" s="31" t="e">
        <f>装备!#REF!</f>
        <v>#REF!</v>
      </c>
      <c r="F116" s="31" t="e">
        <f>装备!#REF!</f>
        <v>#REF!</v>
      </c>
      <c r="G116" s="31" t="e">
        <f>装备!#REF!</f>
        <v>#REF!</v>
      </c>
      <c r="H116" s="31" t="e">
        <f>装备!#REF!</f>
        <v>#REF!</v>
      </c>
      <c r="I116" s="31" t="e">
        <f>IF(装备!#REF!=0,0,"'"&amp;装备!#REF!&amp;"'")</f>
        <v>#REF!</v>
      </c>
      <c r="J116" s="31" t="e">
        <f>IF(装备!#REF!=0,0,"'"&amp;装备!#REF!&amp;"'")</f>
        <v>#REF!</v>
      </c>
      <c r="K116" s="31" t="e">
        <f>IF(装备!#REF!=0,0,"'"&amp;装备!#REF!&amp;"'")</f>
        <v>#REF!</v>
      </c>
      <c r="L116" s="31" t="e">
        <f>IF(装备!#REF!=0,0,"'"&amp;装备!#REF!&amp;"'")</f>
        <v>#REF!</v>
      </c>
      <c r="M116" s="31" t="e">
        <f>IF(装备!#REF!=0,0,"'"&amp;装备!#REF!&amp;"'")</f>
        <v>#REF!</v>
      </c>
      <c r="N116" s="31" t="e">
        <f>IF(装备!#REF!=0,0,"'"&amp;装备!#REF!&amp;"'")</f>
        <v>#REF!</v>
      </c>
      <c r="O116" s="31" t="e">
        <f t="shared" si="40"/>
        <v>#REF!</v>
      </c>
      <c r="P116" s="31" t="str">
        <f t="shared" si="33"/>
        <v/>
      </c>
      <c r="Q116" s="35" t="str">
        <f>IFERROR(VLOOKUP(C116,装备!$B:$E,3,FALSE),"")</f>
        <v/>
      </c>
      <c r="R116" s="35" t="str">
        <f>IFERROR(VLOOKUP(D116,装备!$B:$E,3,FALSE),"")</f>
        <v/>
      </c>
      <c r="S116" s="35" t="str">
        <f>IFERROR(VLOOKUP(E116,装备!$B:$E,3,FALSE),"")</f>
        <v/>
      </c>
      <c r="T116" s="35" t="str">
        <f>IFERROR(VLOOKUP(F116,装备!$B:$E,3,FALSE),"")</f>
        <v/>
      </c>
      <c r="U116" s="35" t="str">
        <f>IFERROR(VLOOKUP(G116,装备!$B:$E,3,FALSE),"")</f>
        <v/>
      </c>
      <c r="V116" s="35" t="str">
        <f>IFERROR(VLOOKUP(H116,装备!$B:$E,3,FALSE),"")</f>
        <v/>
      </c>
      <c r="W116" s="30" t="str">
        <f t="shared" si="41"/>
        <v/>
      </c>
      <c r="X116" s="30" t="str">
        <f t="shared" si="42"/>
        <v/>
      </c>
      <c r="Y116" s="30" t="str">
        <f t="shared" si="43"/>
        <v/>
      </c>
      <c r="Z116" s="30" t="str">
        <f t="shared" si="44"/>
        <v/>
      </c>
      <c r="AA116" s="30" t="str">
        <f t="shared" si="45"/>
        <v/>
      </c>
      <c r="AB116" s="30" t="e">
        <f t="shared" si="46"/>
        <v>#REF!</v>
      </c>
    </row>
    <row r="117" spans="1:28">
      <c r="A117" s="31" t="e">
        <f>装备!#REF!</f>
        <v>#REF!</v>
      </c>
      <c r="B117" s="31" t="e">
        <f>"'"&amp;装备!#REF!&amp;"'"</f>
        <v>#REF!</v>
      </c>
      <c r="C117" s="31" t="e">
        <f>装备!#REF!</f>
        <v>#REF!</v>
      </c>
      <c r="D117" s="31" t="e">
        <f>装备!#REF!</f>
        <v>#REF!</v>
      </c>
      <c r="E117" s="31" t="e">
        <f>装备!#REF!</f>
        <v>#REF!</v>
      </c>
      <c r="F117" s="31" t="e">
        <f>装备!#REF!</f>
        <v>#REF!</v>
      </c>
      <c r="G117" s="31" t="e">
        <f>装备!#REF!</f>
        <v>#REF!</v>
      </c>
      <c r="H117" s="31" t="e">
        <f>装备!#REF!</f>
        <v>#REF!</v>
      </c>
      <c r="I117" s="31" t="e">
        <f>IF(装备!#REF!=0,0,"'"&amp;装备!#REF!&amp;"'")</f>
        <v>#REF!</v>
      </c>
      <c r="J117" s="31" t="e">
        <f>IF(装备!#REF!=0,0,"'"&amp;装备!#REF!&amp;"'")</f>
        <v>#REF!</v>
      </c>
      <c r="K117" s="31" t="e">
        <f>IF(装备!#REF!=0,0,"'"&amp;装备!#REF!&amp;"'")</f>
        <v>#REF!</v>
      </c>
      <c r="L117" s="31" t="e">
        <f>IF(装备!#REF!=0,0,"'"&amp;装备!#REF!&amp;"'")</f>
        <v>#REF!</v>
      </c>
      <c r="M117" s="31" t="e">
        <f>IF(装备!#REF!=0,0,"'"&amp;装备!#REF!&amp;"'")</f>
        <v>#REF!</v>
      </c>
      <c r="N117" s="31" t="e">
        <f>IF(装备!#REF!=0,0,"'"&amp;装备!#REF!&amp;"'")</f>
        <v>#REF!</v>
      </c>
      <c r="O117" s="31" t="e">
        <f t="shared" si="40"/>
        <v>#REF!</v>
      </c>
      <c r="P117" s="31" t="str">
        <f t="shared" si="33"/>
        <v/>
      </c>
      <c r="Q117" s="35" t="str">
        <f>IFERROR(VLOOKUP(C117,装备!$B:$E,3,FALSE),"")</f>
        <v/>
      </c>
      <c r="R117" s="35" t="str">
        <f>IFERROR(VLOOKUP(D117,装备!$B:$E,3,FALSE),"")</f>
        <v/>
      </c>
      <c r="S117" s="35" t="str">
        <f>IFERROR(VLOOKUP(E117,装备!$B:$E,3,FALSE),"")</f>
        <v/>
      </c>
      <c r="T117" s="35" t="str">
        <f>IFERROR(VLOOKUP(F117,装备!$B:$E,3,FALSE),"")</f>
        <v/>
      </c>
      <c r="U117" s="35" t="str">
        <f>IFERROR(VLOOKUP(G117,装备!$B:$E,3,FALSE),"")</f>
        <v/>
      </c>
      <c r="V117" s="35" t="str">
        <f>IFERROR(VLOOKUP(H117,装备!$B:$E,3,FALSE),"")</f>
        <v/>
      </c>
      <c r="W117" s="30" t="str">
        <f t="shared" si="41"/>
        <v/>
      </c>
      <c r="X117" s="30" t="str">
        <f t="shared" si="42"/>
        <v/>
      </c>
      <c r="Y117" s="30" t="str">
        <f t="shared" si="43"/>
        <v/>
      </c>
      <c r="Z117" s="30" t="str">
        <f t="shared" si="44"/>
        <v/>
      </c>
      <c r="AA117" s="30" t="str">
        <f t="shared" si="45"/>
        <v/>
      </c>
      <c r="AB117" s="30" t="e">
        <f t="shared" si="46"/>
        <v>#REF!</v>
      </c>
    </row>
    <row r="118" spans="1:28">
      <c r="A118" s="31" t="e">
        <f>装备!#REF!</f>
        <v>#REF!</v>
      </c>
      <c r="B118" s="31" t="e">
        <f>"'"&amp;装备!#REF!&amp;"'"</f>
        <v>#REF!</v>
      </c>
      <c r="C118" s="31" t="e">
        <f>装备!#REF!</f>
        <v>#REF!</v>
      </c>
      <c r="D118" s="31" t="e">
        <f>装备!#REF!</f>
        <v>#REF!</v>
      </c>
      <c r="E118" s="31" t="e">
        <f>装备!#REF!</f>
        <v>#REF!</v>
      </c>
      <c r="F118" s="31" t="e">
        <f>装备!#REF!</f>
        <v>#REF!</v>
      </c>
      <c r="G118" s="31" t="e">
        <f>装备!#REF!</f>
        <v>#REF!</v>
      </c>
      <c r="H118" s="31" t="e">
        <f>装备!#REF!</f>
        <v>#REF!</v>
      </c>
      <c r="I118" s="31" t="e">
        <f>IF(装备!#REF!=0,0,"'"&amp;装备!#REF!&amp;"'")</f>
        <v>#REF!</v>
      </c>
      <c r="J118" s="31" t="e">
        <f>IF(装备!#REF!=0,0,"'"&amp;装备!#REF!&amp;"'")</f>
        <v>#REF!</v>
      </c>
      <c r="K118" s="31" t="e">
        <f>IF(装备!#REF!=0,0,"'"&amp;装备!#REF!&amp;"'")</f>
        <v>#REF!</v>
      </c>
      <c r="L118" s="31" t="e">
        <f>IF(装备!#REF!=0,0,"'"&amp;装备!#REF!&amp;"'")</f>
        <v>#REF!</v>
      </c>
      <c r="M118" s="31" t="e">
        <f>IF(装备!#REF!=0,0,"'"&amp;装备!#REF!&amp;"'")</f>
        <v>#REF!</v>
      </c>
      <c r="N118" s="31" t="e">
        <f>IF(装备!#REF!=0,0,"'"&amp;装备!#REF!&amp;"'")</f>
        <v>#REF!</v>
      </c>
      <c r="O118" s="31" t="e">
        <f t="shared" si="40"/>
        <v>#REF!</v>
      </c>
      <c r="P118" s="31" t="str">
        <f t="shared" si="33"/>
        <v/>
      </c>
      <c r="Q118" s="35" t="str">
        <f>IFERROR(VLOOKUP(C118,装备!$B:$E,3,FALSE),"")</f>
        <v/>
      </c>
      <c r="R118" s="35" t="str">
        <f>IFERROR(VLOOKUP(D118,装备!$B:$E,3,FALSE),"")</f>
        <v/>
      </c>
      <c r="S118" s="35" t="str">
        <f>IFERROR(VLOOKUP(E118,装备!$B:$E,3,FALSE),"")</f>
        <v/>
      </c>
      <c r="T118" s="35" t="str">
        <f>IFERROR(VLOOKUP(F118,装备!$B:$E,3,FALSE),"")</f>
        <v/>
      </c>
      <c r="U118" s="35" t="str">
        <f>IFERROR(VLOOKUP(G118,装备!$B:$E,3,FALSE),"")</f>
        <v/>
      </c>
      <c r="V118" s="35" t="str">
        <f>IFERROR(VLOOKUP(H118,装备!$B:$E,3,FALSE),"")</f>
        <v/>
      </c>
      <c r="W118" s="30" t="str">
        <f t="shared" si="41"/>
        <v/>
      </c>
      <c r="X118" s="30" t="str">
        <f t="shared" si="42"/>
        <v/>
      </c>
      <c r="Y118" s="30" t="str">
        <f t="shared" si="43"/>
        <v/>
      </c>
      <c r="Z118" s="30" t="str">
        <f t="shared" si="44"/>
        <v/>
      </c>
      <c r="AA118" s="30" t="str">
        <f t="shared" si="45"/>
        <v/>
      </c>
      <c r="AB118" s="30" t="e">
        <f t="shared" si="46"/>
        <v>#REF!</v>
      </c>
    </row>
    <row r="119" spans="1:28">
      <c r="A119" s="31" t="e">
        <f>装备!#REF!</f>
        <v>#REF!</v>
      </c>
      <c r="B119" s="31" t="e">
        <f>"'"&amp;装备!#REF!&amp;"'"</f>
        <v>#REF!</v>
      </c>
      <c r="C119" s="31" t="e">
        <f>装备!#REF!</f>
        <v>#REF!</v>
      </c>
      <c r="D119" s="31" t="e">
        <f>装备!#REF!</f>
        <v>#REF!</v>
      </c>
      <c r="E119" s="31" t="e">
        <f>装备!#REF!</f>
        <v>#REF!</v>
      </c>
      <c r="F119" s="31" t="e">
        <f>装备!#REF!</f>
        <v>#REF!</v>
      </c>
      <c r="G119" s="31" t="e">
        <f>装备!#REF!</f>
        <v>#REF!</v>
      </c>
      <c r="H119" s="31" t="e">
        <f>装备!#REF!</f>
        <v>#REF!</v>
      </c>
      <c r="I119" s="31" t="e">
        <f>IF(装备!#REF!=0,0,"'"&amp;装备!#REF!&amp;"'")</f>
        <v>#REF!</v>
      </c>
      <c r="J119" s="31" t="e">
        <f>IF(装备!#REF!=0,0,"'"&amp;装备!#REF!&amp;"'")</f>
        <v>#REF!</v>
      </c>
      <c r="K119" s="31" t="e">
        <f>IF(装备!#REF!=0,0,"'"&amp;装备!#REF!&amp;"'")</f>
        <v>#REF!</v>
      </c>
      <c r="L119" s="31" t="e">
        <f>IF(装备!#REF!=0,0,"'"&amp;装备!#REF!&amp;"'")</f>
        <v>#REF!</v>
      </c>
      <c r="M119" s="31" t="e">
        <f>IF(装备!#REF!=0,0,"'"&amp;装备!#REF!&amp;"'")</f>
        <v>#REF!</v>
      </c>
      <c r="N119" s="31" t="e">
        <f>IF(装备!#REF!=0,0,"'"&amp;装备!#REF!&amp;"'")</f>
        <v>#REF!</v>
      </c>
      <c r="O119" s="31" t="e">
        <f t="shared" si="40"/>
        <v>#REF!</v>
      </c>
      <c r="P119" s="31" t="str">
        <f t="shared" si="33"/>
        <v/>
      </c>
      <c r="Q119" s="35" t="str">
        <f>IFERROR(VLOOKUP(C119,装备!$B:$E,3,FALSE),"")</f>
        <v/>
      </c>
      <c r="R119" s="35" t="str">
        <f>IFERROR(VLOOKUP(D119,装备!$B:$E,3,FALSE),"")</f>
        <v/>
      </c>
      <c r="S119" s="35" t="str">
        <f>IFERROR(VLOOKUP(E119,装备!$B:$E,3,FALSE),"")</f>
        <v/>
      </c>
      <c r="T119" s="35" t="str">
        <f>IFERROR(VLOOKUP(F119,装备!$B:$E,3,FALSE),"")</f>
        <v/>
      </c>
      <c r="U119" s="35" t="str">
        <f>IFERROR(VLOOKUP(G119,装备!$B:$E,3,FALSE),"")</f>
        <v/>
      </c>
      <c r="V119" s="35" t="str">
        <f>IFERROR(VLOOKUP(H119,装备!$B:$E,3,FALSE),"")</f>
        <v/>
      </c>
      <c r="W119" s="30" t="str">
        <f t="shared" si="41"/>
        <v/>
      </c>
      <c r="X119" s="30" t="str">
        <f t="shared" si="42"/>
        <v/>
      </c>
      <c r="Y119" s="30" t="str">
        <f t="shared" si="43"/>
        <v/>
      </c>
      <c r="Z119" s="30" t="str">
        <f t="shared" si="44"/>
        <v/>
      </c>
      <c r="AA119" s="30" t="str">
        <f t="shared" si="45"/>
        <v/>
      </c>
      <c r="AB119" s="30" t="e">
        <f t="shared" si="46"/>
        <v>#REF!</v>
      </c>
    </row>
    <row r="120" spans="1:28">
      <c r="A120" s="31" t="e">
        <f>装备!#REF!</f>
        <v>#REF!</v>
      </c>
      <c r="B120" s="31" t="e">
        <f>"'"&amp;装备!#REF!&amp;"'"</f>
        <v>#REF!</v>
      </c>
      <c r="C120" s="31" t="e">
        <f>装备!#REF!</f>
        <v>#REF!</v>
      </c>
      <c r="D120" s="31" t="e">
        <f>装备!#REF!</f>
        <v>#REF!</v>
      </c>
      <c r="E120" s="31" t="e">
        <f>装备!#REF!</f>
        <v>#REF!</v>
      </c>
      <c r="F120" s="31" t="e">
        <f>装备!#REF!</f>
        <v>#REF!</v>
      </c>
      <c r="G120" s="31" t="e">
        <f>装备!#REF!</f>
        <v>#REF!</v>
      </c>
      <c r="H120" s="31" t="e">
        <f>装备!#REF!</f>
        <v>#REF!</v>
      </c>
      <c r="I120" s="31" t="e">
        <f>IF(装备!#REF!=0,0,"'"&amp;装备!#REF!&amp;"'")</f>
        <v>#REF!</v>
      </c>
      <c r="J120" s="31" t="e">
        <f>IF(装备!#REF!=0,0,"'"&amp;装备!#REF!&amp;"'")</f>
        <v>#REF!</v>
      </c>
      <c r="K120" s="31" t="e">
        <f>IF(装备!#REF!=0,0,"'"&amp;装备!#REF!&amp;"'")</f>
        <v>#REF!</v>
      </c>
      <c r="L120" s="31" t="e">
        <f>IF(装备!#REF!=0,0,"'"&amp;装备!#REF!&amp;"'")</f>
        <v>#REF!</v>
      </c>
      <c r="M120" s="31" t="e">
        <f>IF(装备!#REF!=0,0,"'"&amp;装备!#REF!&amp;"'")</f>
        <v>#REF!</v>
      </c>
      <c r="N120" s="31" t="e">
        <f>IF(装备!#REF!=0,0,"'"&amp;装备!#REF!&amp;"'")</f>
        <v>#REF!</v>
      </c>
      <c r="O120" s="31" t="e">
        <f t="shared" si="40"/>
        <v>#REF!</v>
      </c>
      <c r="P120" s="31" t="str">
        <f t="shared" ref="P120:P151" si="47">IFERROR(VLOOKUP(A120,Q:AB,12,FALSE),IFERROR(VLOOKUP(A120,R:AB,11,FALSE),IFERROR(VLOOKUP(A120,S:AB,10,FALSE),"")))</f>
        <v/>
      </c>
      <c r="Q120" s="35" t="str">
        <f>IFERROR(VLOOKUP(C120,装备!$B:$E,3,FALSE),"")</f>
        <v/>
      </c>
      <c r="R120" s="35" t="str">
        <f>IFERROR(VLOOKUP(D120,装备!$B:$E,3,FALSE),"")</f>
        <v/>
      </c>
      <c r="S120" s="35" t="str">
        <f>IFERROR(VLOOKUP(E120,装备!$B:$E,3,FALSE),"")</f>
        <v/>
      </c>
      <c r="T120" s="35" t="str">
        <f>IFERROR(VLOOKUP(F120,装备!$B:$E,3,FALSE),"")</f>
        <v/>
      </c>
      <c r="U120" s="35" t="str">
        <f>IFERROR(VLOOKUP(G120,装备!$B:$E,3,FALSE),"")</f>
        <v/>
      </c>
      <c r="V120" s="35" t="str">
        <f>IFERROR(VLOOKUP(H120,装备!$B:$E,3,FALSE),"")</f>
        <v/>
      </c>
      <c r="W120" s="30" t="str">
        <f t="shared" si="41"/>
        <v/>
      </c>
      <c r="X120" s="30" t="str">
        <f t="shared" si="42"/>
        <v/>
      </c>
      <c r="Y120" s="30" t="str">
        <f t="shared" si="43"/>
        <v/>
      </c>
      <c r="Z120" s="30" t="str">
        <f t="shared" si="44"/>
        <v/>
      </c>
      <c r="AA120" s="30" t="str">
        <f t="shared" si="45"/>
        <v/>
      </c>
      <c r="AB120" s="30" t="e">
        <f t="shared" si="46"/>
        <v>#REF!</v>
      </c>
    </row>
    <row r="121" spans="1:28">
      <c r="A121" s="31" t="e">
        <f>装备!#REF!</f>
        <v>#REF!</v>
      </c>
      <c r="B121" s="31" t="e">
        <f>"'"&amp;装备!#REF!&amp;"'"</f>
        <v>#REF!</v>
      </c>
      <c r="C121" s="31" t="e">
        <f>装备!#REF!</f>
        <v>#REF!</v>
      </c>
      <c r="D121" s="31" t="e">
        <f>装备!#REF!</f>
        <v>#REF!</v>
      </c>
      <c r="E121" s="31" t="e">
        <f>装备!#REF!</f>
        <v>#REF!</v>
      </c>
      <c r="F121" s="31" t="e">
        <f>装备!#REF!</f>
        <v>#REF!</v>
      </c>
      <c r="G121" s="31" t="e">
        <f>装备!#REF!</f>
        <v>#REF!</v>
      </c>
      <c r="H121" s="31" t="e">
        <f>装备!#REF!</f>
        <v>#REF!</v>
      </c>
      <c r="I121" s="31" t="e">
        <f>IF(装备!#REF!=0,0,"'"&amp;装备!#REF!&amp;"'")</f>
        <v>#REF!</v>
      </c>
      <c r="J121" s="31" t="e">
        <f>IF(装备!#REF!=0,0,"'"&amp;装备!#REF!&amp;"'")</f>
        <v>#REF!</v>
      </c>
      <c r="K121" s="31" t="e">
        <f>IF(装备!#REF!=0,0,"'"&amp;装备!#REF!&amp;"'")</f>
        <v>#REF!</v>
      </c>
      <c r="L121" s="31" t="e">
        <f>IF(装备!#REF!=0,0,"'"&amp;装备!#REF!&amp;"'")</f>
        <v>#REF!</v>
      </c>
      <c r="M121" s="31" t="e">
        <f>IF(装备!#REF!=0,0,"'"&amp;装备!#REF!&amp;"'")</f>
        <v>#REF!</v>
      </c>
      <c r="N121" s="31" t="e">
        <f>IF(装备!#REF!=0,0,"'"&amp;装备!#REF!&amp;"'")</f>
        <v>#REF!</v>
      </c>
      <c r="O121" s="31" t="e">
        <f t="shared" si="40"/>
        <v>#REF!</v>
      </c>
      <c r="P121" s="31" t="str">
        <f t="shared" si="47"/>
        <v/>
      </c>
      <c r="Q121" s="35" t="str">
        <f>IFERROR(VLOOKUP(C121,装备!$B:$E,3,FALSE),"")</f>
        <v/>
      </c>
      <c r="R121" s="35" t="str">
        <f>IFERROR(VLOOKUP(D121,装备!$B:$E,3,FALSE),"")</f>
        <v/>
      </c>
      <c r="S121" s="35" t="str">
        <f>IFERROR(VLOOKUP(E121,装备!$B:$E,3,FALSE),"")</f>
        <v/>
      </c>
      <c r="T121" s="35" t="str">
        <f>IFERROR(VLOOKUP(F121,装备!$B:$E,3,FALSE),"")</f>
        <v/>
      </c>
      <c r="U121" s="35" t="str">
        <f>IFERROR(VLOOKUP(G121,装备!$B:$E,3,FALSE),"")</f>
        <v/>
      </c>
      <c r="V121" s="35" t="str">
        <f>IFERROR(VLOOKUP(H121,装备!$B:$E,3,FALSE),"")</f>
        <v/>
      </c>
      <c r="W121" s="30" t="str">
        <f t="shared" si="41"/>
        <v/>
      </c>
      <c r="X121" s="30" t="str">
        <f t="shared" si="42"/>
        <v/>
      </c>
      <c r="Y121" s="30" t="str">
        <f t="shared" si="43"/>
        <v/>
      </c>
      <c r="Z121" s="30" t="str">
        <f t="shared" si="44"/>
        <v/>
      </c>
      <c r="AA121" s="30" t="str">
        <f t="shared" si="45"/>
        <v/>
      </c>
      <c r="AB121" s="30" t="e">
        <f t="shared" si="46"/>
        <v>#REF!</v>
      </c>
    </row>
    <row r="122" spans="1:28">
      <c r="A122" s="31" t="e">
        <f>装备!#REF!</f>
        <v>#REF!</v>
      </c>
      <c r="B122" s="31" t="e">
        <f>"'"&amp;装备!#REF!&amp;"'"</f>
        <v>#REF!</v>
      </c>
      <c r="C122" s="31" t="e">
        <f>装备!#REF!</f>
        <v>#REF!</v>
      </c>
      <c r="D122" s="31" t="e">
        <f>装备!#REF!</f>
        <v>#REF!</v>
      </c>
      <c r="E122" s="31" t="e">
        <f>装备!#REF!</f>
        <v>#REF!</v>
      </c>
      <c r="F122" s="31" t="e">
        <f>装备!#REF!</f>
        <v>#REF!</v>
      </c>
      <c r="G122" s="31" t="e">
        <f>装备!#REF!</f>
        <v>#REF!</v>
      </c>
      <c r="H122" s="31" t="e">
        <f>装备!#REF!</f>
        <v>#REF!</v>
      </c>
      <c r="I122" s="31" t="e">
        <f>IF(装备!#REF!=0,0,"'"&amp;装备!#REF!&amp;"'")</f>
        <v>#REF!</v>
      </c>
      <c r="J122" s="31" t="e">
        <f>IF(装备!#REF!=0,0,"'"&amp;装备!#REF!&amp;"'")</f>
        <v>#REF!</v>
      </c>
      <c r="K122" s="31" t="e">
        <f>IF(装备!#REF!=0,0,"'"&amp;装备!#REF!&amp;"'")</f>
        <v>#REF!</v>
      </c>
      <c r="L122" s="31" t="e">
        <f>IF(装备!#REF!=0,0,"'"&amp;装备!#REF!&amp;"'")</f>
        <v>#REF!</v>
      </c>
      <c r="M122" s="31" t="e">
        <f>IF(装备!#REF!=0,0,"'"&amp;装备!#REF!&amp;"'")</f>
        <v>#REF!</v>
      </c>
      <c r="N122" s="31" t="e">
        <f>IF(装备!#REF!=0,0,"'"&amp;装备!#REF!&amp;"'")</f>
        <v>#REF!</v>
      </c>
      <c r="O122" s="31" t="e">
        <f t="shared" si="40"/>
        <v>#REF!</v>
      </c>
      <c r="P122" s="31" t="str">
        <f t="shared" si="47"/>
        <v/>
      </c>
      <c r="Q122" s="35" t="str">
        <f>IFERROR(VLOOKUP(C122,装备!$B:$E,3,FALSE),"")</f>
        <v/>
      </c>
      <c r="R122" s="35" t="str">
        <f>IFERROR(VLOOKUP(D122,装备!$B:$E,3,FALSE),"")</f>
        <v/>
      </c>
      <c r="S122" s="35" t="str">
        <f>IFERROR(VLOOKUP(E122,装备!$B:$E,3,FALSE),"")</f>
        <v/>
      </c>
      <c r="T122" s="35" t="str">
        <f>IFERROR(VLOOKUP(F122,装备!$B:$E,3,FALSE),"")</f>
        <v/>
      </c>
      <c r="U122" s="35" t="str">
        <f>IFERROR(VLOOKUP(G122,装备!$B:$E,3,FALSE),"")</f>
        <v/>
      </c>
      <c r="V122" s="35" t="str">
        <f>IFERROR(VLOOKUP(H122,装备!$B:$E,3,FALSE),"")</f>
        <v/>
      </c>
      <c r="W122" s="30" t="str">
        <f t="shared" si="41"/>
        <v/>
      </c>
      <c r="X122" s="30" t="str">
        <f t="shared" si="42"/>
        <v/>
      </c>
      <c r="Y122" s="30" t="str">
        <f t="shared" si="43"/>
        <v/>
      </c>
      <c r="Z122" s="30" t="str">
        <f t="shared" si="44"/>
        <v/>
      </c>
      <c r="AA122" s="30" t="str">
        <f t="shared" si="45"/>
        <v/>
      </c>
      <c r="AB122" s="30" t="e">
        <f t="shared" si="46"/>
        <v>#REF!</v>
      </c>
    </row>
    <row r="123" spans="1:28">
      <c r="A123" s="31" t="e">
        <f>装备!#REF!</f>
        <v>#REF!</v>
      </c>
      <c r="B123" s="31" t="e">
        <f>"'"&amp;装备!#REF!&amp;"'"</f>
        <v>#REF!</v>
      </c>
      <c r="C123" s="31" t="e">
        <f>装备!#REF!</f>
        <v>#REF!</v>
      </c>
      <c r="D123" s="31" t="e">
        <f>装备!#REF!</f>
        <v>#REF!</v>
      </c>
      <c r="E123" s="31" t="e">
        <f>装备!#REF!</f>
        <v>#REF!</v>
      </c>
      <c r="F123" s="31" t="e">
        <f>装备!#REF!</f>
        <v>#REF!</v>
      </c>
      <c r="G123" s="31" t="e">
        <f>装备!#REF!</f>
        <v>#REF!</v>
      </c>
      <c r="H123" s="31" t="e">
        <f>装备!#REF!</f>
        <v>#REF!</v>
      </c>
      <c r="I123" s="31" t="e">
        <f>IF(装备!#REF!=0,0,"'"&amp;装备!#REF!&amp;"'")</f>
        <v>#REF!</v>
      </c>
      <c r="J123" s="31" t="e">
        <f>IF(装备!#REF!=0,0,"'"&amp;装备!#REF!&amp;"'")</f>
        <v>#REF!</v>
      </c>
      <c r="K123" s="31" t="e">
        <f>IF(装备!#REF!=0,0,"'"&amp;装备!#REF!&amp;"'")</f>
        <v>#REF!</v>
      </c>
      <c r="L123" s="31" t="e">
        <f>IF(装备!#REF!=0,0,"'"&amp;装备!#REF!&amp;"'")</f>
        <v>#REF!</v>
      </c>
      <c r="M123" s="31" t="e">
        <f>IF(装备!#REF!=0,0,"'"&amp;装备!#REF!&amp;"'")</f>
        <v>#REF!</v>
      </c>
      <c r="N123" s="31" t="e">
        <f>IF(装备!#REF!=0,0,"'"&amp;装备!#REF!&amp;"'")</f>
        <v>#REF!</v>
      </c>
      <c r="O123" s="31" t="e">
        <f t="shared" si="40"/>
        <v>#REF!</v>
      </c>
      <c r="P123" s="31" t="str">
        <f t="shared" si="47"/>
        <v/>
      </c>
      <c r="Q123" s="35" t="str">
        <f>IFERROR(VLOOKUP(C123,装备!$B:$E,3,FALSE),"")</f>
        <v/>
      </c>
      <c r="R123" s="35" t="str">
        <f>IFERROR(VLOOKUP(D123,装备!$B:$E,3,FALSE),"")</f>
        <v/>
      </c>
      <c r="S123" s="35" t="str">
        <f>IFERROR(VLOOKUP(E123,装备!$B:$E,3,FALSE),"")</f>
        <v/>
      </c>
      <c r="T123" s="35" t="str">
        <f>IFERROR(VLOOKUP(F123,装备!$B:$E,3,FALSE),"")</f>
        <v/>
      </c>
      <c r="U123" s="35" t="str">
        <f>IFERROR(VLOOKUP(G123,装备!$B:$E,3,FALSE),"")</f>
        <v/>
      </c>
      <c r="V123" s="35" t="str">
        <f>IFERROR(VLOOKUP(H123,装备!$B:$E,3,FALSE),"")</f>
        <v/>
      </c>
      <c r="W123" s="30" t="str">
        <f t="shared" si="41"/>
        <v/>
      </c>
      <c r="X123" s="30" t="str">
        <f t="shared" si="42"/>
        <v/>
      </c>
      <c r="Y123" s="30" t="str">
        <f t="shared" si="43"/>
        <v/>
      </c>
      <c r="Z123" s="30" t="str">
        <f t="shared" si="44"/>
        <v/>
      </c>
      <c r="AA123" s="30" t="str">
        <f t="shared" si="45"/>
        <v/>
      </c>
      <c r="AB123" s="30" t="e">
        <f t="shared" si="46"/>
        <v>#REF!</v>
      </c>
    </row>
    <row r="124" spans="1:28">
      <c r="A124" s="31" t="e">
        <f>装备!#REF!</f>
        <v>#REF!</v>
      </c>
      <c r="B124" s="31" t="e">
        <f>"'"&amp;装备!#REF!&amp;"'"</f>
        <v>#REF!</v>
      </c>
      <c r="C124" s="31" t="e">
        <f>装备!#REF!</f>
        <v>#REF!</v>
      </c>
      <c r="D124" s="31" t="e">
        <f>装备!#REF!</f>
        <v>#REF!</v>
      </c>
      <c r="E124" s="31" t="e">
        <f>装备!#REF!</f>
        <v>#REF!</v>
      </c>
      <c r="F124" s="31" t="e">
        <f>装备!#REF!</f>
        <v>#REF!</v>
      </c>
      <c r="G124" s="31" t="e">
        <f>装备!#REF!</f>
        <v>#REF!</v>
      </c>
      <c r="H124" s="31" t="e">
        <f>装备!#REF!</f>
        <v>#REF!</v>
      </c>
      <c r="I124" s="31" t="e">
        <f>IF(装备!#REF!=0,0,"'"&amp;装备!#REF!&amp;"'")</f>
        <v>#REF!</v>
      </c>
      <c r="J124" s="31" t="e">
        <f>IF(装备!#REF!=0,0,"'"&amp;装备!#REF!&amp;"'")</f>
        <v>#REF!</v>
      </c>
      <c r="K124" s="31" t="e">
        <f>IF(装备!#REF!=0,0,"'"&amp;装备!#REF!&amp;"'")</f>
        <v>#REF!</v>
      </c>
      <c r="L124" s="31" t="e">
        <f>IF(装备!#REF!=0,0,"'"&amp;装备!#REF!&amp;"'")</f>
        <v>#REF!</v>
      </c>
      <c r="M124" s="31" t="e">
        <f>IF(装备!#REF!=0,0,"'"&amp;装备!#REF!&amp;"'")</f>
        <v>#REF!</v>
      </c>
      <c r="N124" s="31" t="e">
        <f>IF(装备!#REF!=0,0,"'"&amp;装备!#REF!&amp;"'")</f>
        <v>#REF!</v>
      </c>
      <c r="O124" s="31" t="e">
        <f t="shared" si="40"/>
        <v>#REF!</v>
      </c>
      <c r="P124" s="31" t="str">
        <f t="shared" si="47"/>
        <v/>
      </c>
      <c r="Q124" s="35" t="str">
        <f>IFERROR(VLOOKUP(C124,装备!$B:$E,3,FALSE),"")</f>
        <v/>
      </c>
      <c r="R124" s="35" t="str">
        <f>IFERROR(VLOOKUP(D124,装备!$B:$E,3,FALSE),"")</f>
        <v/>
      </c>
      <c r="S124" s="35" t="str">
        <f>IFERROR(VLOOKUP(E124,装备!$B:$E,3,FALSE),"")</f>
        <v/>
      </c>
      <c r="T124" s="35" t="str">
        <f>IFERROR(VLOOKUP(F124,装备!$B:$E,3,FALSE),"")</f>
        <v/>
      </c>
      <c r="U124" s="35" t="str">
        <f>IFERROR(VLOOKUP(G124,装备!$B:$E,3,FALSE),"")</f>
        <v/>
      </c>
      <c r="V124" s="35" t="str">
        <f>IFERROR(VLOOKUP(H124,装备!$B:$E,3,FALSE),"")</f>
        <v/>
      </c>
      <c r="W124" s="30" t="str">
        <f t="shared" si="41"/>
        <v/>
      </c>
      <c r="X124" s="30" t="str">
        <f t="shared" si="42"/>
        <v/>
      </c>
      <c r="Y124" s="30" t="str">
        <f t="shared" si="43"/>
        <v/>
      </c>
      <c r="Z124" s="30" t="str">
        <f t="shared" si="44"/>
        <v/>
      </c>
      <c r="AA124" s="30" t="str">
        <f t="shared" si="45"/>
        <v/>
      </c>
      <c r="AB124" s="30" t="e">
        <f t="shared" si="46"/>
        <v>#REF!</v>
      </c>
    </row>
    <row r="125" spans="1:28">
      <c r="A125" s="31" t="e">
        <f>装备!#REF!</f>
        <v>#REF!</v>
      </c>
      <c r="B125" s="31" t="e">
        <f>"'"&amp;装备!#REF!&amp;"'"</f>
        <v>#REF!</v>
      </c>
      <c r="C125" s="31" t="e">
        <f>装备!#REF!</f>
        <v>#REF!</v>
      </c>
      <c r="D125" s="31" t="e">
        <f>装备!#REF!</f>
        <v>#REF!</v>
      </c>
      <c r="E125" s="31" t="e">
        <f>装备!#REF!</f>
        <v>#REF!</v>
      </c>
      <c r="F125" s="31" t="e">
        <f>装备!#REF!</f>
        <v>#REF!</v>
      </c>
      <c r="G125" s="31" t="e">
        <f>装备!#REF!</f>
        <v>#REF!</v>
      </c>
      <c r="H125" s="31" t="e">
        <f>装备!#REF!</f>
        <v>#REF!</v>
      </c>
      <c r="I125" s="31" t="e">
        <f>IF(装备!#REF!=0,0,"'"&amp;装备!#REF!&amp;"'")</f>
        <v>#REF!</v>
      </c>
      <c r="J125" s="31" t="e">
        <f>IF(装备!#REF!=0,0,"'"&amp;装备!#REF!&amp;"'")</f>
        <v>#REF!</v>
      </c>
      <c r="K125" s="31" t="e">
        <f>IF(装备!#REF!=0,0,"'"&amp;装备!#REF!&amp;"'")</f>
        <v>#REF!</v>
      </c>
      <c r="L125" s="31" t="e">
        <f>IF(装备!#REF!=0,0,"'"&amp;装备!#REF!&amp;"'")</f>
        <v>#REF!</v>
      </c>
      <c r="M125" s="31" t="e">
        <f>IF(装备!#REF!=0,0,"'"&amp;装备!#REF!&amp;"'")</f>
        <v>#REF!</v>
      </c>
      <c r="N125" s="31" t="e">
        <f>IF(装备!#REF!=0,0,"'"&amp;装备!#REF!&amp;"'")</f>
        <v>#REF!</v>
      </c>
      <c r="O125" s="31" t="e">
        <f t="shared" si="40"/>
        <v>#REF!</v>
      </c>
      <c r="P125" s="31" t="str">
        <f t="shared" si="47"/>
        <v/>
      </c>
      <c r="Q125" s="35" t="str">
        <f>IFERROR(VLOOKUP(C125,装备!$B:$E,3,FALSE),"")</f>
        <v/>
      </c>
      <c r="R125" s="35" t="str">
        <f>IFERROR(VLOOKUP(D125,装备!$B:$E,3,FALSE),"")</f>
        <v/>
      </c>
      <c r="S125" s="35" t="str">
        <f>IFERROR(VLOOKUP(E125,装备!$B:$E,3,FALSE),"")</f>
        <v/>
      </c>
      <c r="T125" s="35" t="str">
        <f>IFERROR(VLOOKUP(F125,装备!$B:$E,3,FALSE),"")</f>
        <v/>
      </c>
      <c r="U125" s="35" t="str">
        <f>IFERROR(VLOOKUP(G125,装备!$B:$E,3,FALSE),"")</f>
        <v/>
      </c>
      <c r="V125" s="35" t="str">
        <f>IFERROR(VLOOKUP(H125,装备!$B:$E,3,FALSE),"")</f>
        <v/>
      </c>
      <c r="W125" s="30" t="str">
        <f t="shared" si="41"/>
        <v/>
      </c>
      <c r="X125" s="30" t="str">
        <f t="shared" si="42"/>
        <v/>
      </c>
      <c r="Y125" s="30" t="str">
        <f t="shared" si="43"/>
        <v/>
      </c>
      <c r="Z125" s="30" t="str">
        <f t="shared" si="44"/>
        <v/>
      </c>
      <c r="AA125" s="30" t="str">
        <f t="shared" si="45"/>
        <v/>
      </c>
      <c r="AB125" s="30" t="e">
        <f t="shared" si="46"/>
        <v>#REF!</v>
      </c>
    </row>
    <row r="126" spans="1:28">
      <c r="A126" s="31" t="e">
        <f>装备!#REF!</f>
        <v>#REF!</v>
      </c>
      <c r="B126" s="31" t="e">
        <f>"'"&amp;装备!#REF!&amp;"'"</f>
        <v>#REF!</v>
      </c>
      <c r="C126" s="31" t="e">
        <f>装备!#REF!</f>
        <v>#REF!</v>
      </c>
      <c r="D126" s="31" t="e">
        <f>装备!#REF!</f>
        <v>#REF!</v>
      </c>
      <c r="E126" s="31" t="e">
        <f>装备!#REF!</f>
        <v>#REF!</v>
      </c>
      <c r="F126" s="31" t="e">
        <f>装备!#REF!</f>
        <v>#REF!</v>
      </c>
      <c r="G126" s="31" t="e">
        <f>装备!#REF!</f>
        <v>#REF!</v>
      </c>
      <c r="H126" s="31" t="e">
        <f>装备!#REF!</f>
        <v>#REF!</v>
      </c>
      <c r="I126" s="31" t="e">
        <f>IF(装备!#REF!=0,0,"'"&amp;装备!#REF!&amp;"'")</f>
        <v>#REF!</v>
      </c>
      <c r="J126" s="31" t="e">
        <f>IF(装备!#REF!=0,0,"'"&amp;装备!#REF!&amp;"'")</f>
        <v>#REF!</v>
      </c>
      <c r="K126" s="31" t="e">
        <f>IF(装备!#REF!=0,0,"'"&amp;装备!#REF!&amp;"'")</f>
        <v>#REF!</v>
      </c>
      <c r="L126" s="31" t="e">
        <f>IF(装备!#REF!=0,0,"'"&amp;装备!#REF!&amp;"'")</f>
        <v>#REF!</v>
      </c>
      <c r="M126" s="31" t="e">
        <f>IF(装备!#REF!=0,0,"'"&amp;装备!#REF!&amp;"'")</f>
        <v>#REF!</v>
      </c>
      <c r="N126" s="31" t="e">
        <f>IF(装备!#REF!=0,0,"'"&amp;装备!#REF!&amp;"'")</f>
        <v>#REF!</v>
      </c>
      <c r="O126" s="31" t="e">
        <f t="shared" si="40"/>
        <v>#REF!</v>
      </c>
      <c r="P126" s="31" t="str">
        <f t="shared" si="47"/>
        <v/>
      </c>
      <c r="Q126" s="35" t="str">
        <f>IFERROR(VLOOKUP(C126,装备!$B:$E,3,FALSE),"")</f>
        <v/>
      </c>
      <c r="R126" s="35" t="str">
        <f>IFERROR(VLOOKUP(D126,装备!$B:$E,3,FALSE),"")</f>
        <v/>
      </c>
      <c r="S126" s="35" t="str">
        <f>IFERROR(VLOOKUP(E126,装备!$B:$E,3,FALSE),"")</f>
        <v/>
      </c>
      <c r="T126" s="35" t="str">
        <f>IFERROR(VLOOKUP(F126,装备!$B:$E,3,FALSE),"")</f>
        <v/>
      </c>
      <c r="U126" s="35" t="str">
        <f>IFERROR(VLOOKUP(G126,装备!$B:$E,3,FALSE),"")</f>
        <v/>
      </c>
      <c r="V126" s="35" t="str">
        <f>IFERROR(VLOOKUP(H126,装备!$B:$E,3,FALSE),"")</f>
        <v/>
      </c>
      <c r="W126" s="30" t="str">
        <f t="shared" si="41"/>
        <v/>
      </c>
      <c r="X126" s="30" t="str">
        <f t="shared" si="42"/>
        <v/>
      </c>
      <c r="Y126" s="30" t="str">
        <f t="shared" si="43"/>
        <v/>
      </c>
      <c r="Z126" s="30" t="str">
        <f t="shared" si="44"/>
        <v/>
      </c>
      <c r="AA126" s="30" t="str">
        <f t="shared" si="45"/>
        <v/>
      </c>
      <c r="AB126" s="30" t="e">
        <f t="shared" si="46"/>
        <v>#REF!</v>
      </c>
    </row>
    <row r="127" spans="1:28">
      <c r="A127" s="31" t="e">
        <f>装备!#REF!</f>
        <v>#REF!</v>
      </c>
      <c r="B127" s="31" t="e">
        <f>"'"&amp;装备!#REF!&amp;"'"</f>
        <v>#REF!</v>
      </c>
      <c r="C127" s="31" t="e">
        <f>装备!#REF!</f>
        <v>#REF!</v>
      </c>
      <c r="D127" s="31" t="e">
        <f>装备!#REF!</f>
        <v>#REF!</v>
      </c>
      <c r="E127" s="31" t="e">
        <f>装备!#REF!</f>
        <v>#REF!</v>
      </c>
      <c r="F127" s="31" t="e">
        <f>装备!#REF!</f>
        <v>#REF!</v>
      </c>
      <c r="G127" s="31" t="e">
        <f>装备!#REF!</f>
        <v>#REF!</v>
      </c>
      <c r="H127" s="31" t="e">
        <f>装备!#REF!</f>
        <v>#REF!</v>
      </c>
      <c r="I127" s="31" t="e">
        <f>IF(装备!#REF!=0,0,"'"&amp;装备!#REF!&amp;"'")</f>
        <v>#REF!</v>
      </c>
      <c r="J127" s="31" t="e">
        <f>IF(装备!#REF!=0,0,"'"&amp;装备!#REF!&amp;"'")</f>
        <v>#REF!</v>
      </c>
      <c r="K127" s="31" t="e">
        <f>IF(装备!#REF!=0,0,"'"&amp;装备!#REF!&amp;"'")</f>
        <v>#REF!</v>
      </c>
      <c r="L127" s="31" t="e">
        <f>IF(装备!#REF!=0,0,"'"&amp;装备!#REF!&amp;"'")</f>
        <v>#REF!</v>
      </c>
      <c r="M127" s="31" t="e">
        <f>IF(装备!#REF!=0,0,"'"&amp;装备!#REF!&amp;"'")</f>
        <v>#REF!</v>
      </c>
      <c r="N127" s="31" t="e">
        <f>IF(装备!#REF!=0,0,"'"&amp;装备!#REF!&amp;"'")</f>
        <v>#REF!</v>
      </c>
      <c r="O127" s="31" t="e">
        <f t="shared" si="40"/>
        <v>#REF!</v>
      </c>
      <c r="P127" s="31" t="str">
        <f t="shared" si="47"/>
        <v/>
      </c>
      <c r="Q127" s="35" t="str">
        <f>IFERROR(VLOOKUP(C127,装备!$B:$E,3,FALSE),"")</f>
        <v/>
      </c>
      <c r="R127" s="35" t="str">
        <f>IFERROR(VLOOKUP(D127,装备!$B:$E,3,FALSE),"")</f>
        <v/>
      </c>
      <c r="S127" s="35" t="str">
        <f>IFERROR(VLOOKUP(E127,装备!$B:$E,3,FALSE),"")</f>
        <v/>
      </c>
      <c r="T127" s="35" t="str">
        <f>IFERROR(VLOOKUP(F127,装备!$B:$E,3,FALSE),"")</f>
        <v/>
      </c>
      <c r="U127" s="35" t="str">
        <f>IFERROR(VLOOKUP(G127,装备!$B:$E,3,FALSE),"")</f>
        <v/>
      </c>
      <c r="V127" s="35" t="str">
        <f>IFERROR(VLOOKUP(H127,装备!$B:$E,3,FALSE),"")</f>
        <v/>
      </c>
      <c r="W127" s="30" t="str">
        <f t="shared" si="41"/>
        <v/>
      </c>
      <c r="X127" s="30" t="str">
        <f t="shared" si="42"/>
        <v/>
      </c>
      <c r="Y127" s="30" t="str">
        <f t="shared" si="43"/>
        <v/>
      </c>
      <c r="Z127" s="30" t="str">
        <f t="shared" si="44"/>
        <v/>
      </c>
      <c r="AA127" s="30" t="str">
        <f t="shared" si="45"/>
        <v/>
      </c>
      <c r="AB127" s="30" t="e">
        <f t="shared" si="46"/>
        <v>#REF!</v>
      </c>
    </row>
    <row r="128" spans="1:28">
      <c r="A128" s="31" t="e">
        <f>装备!#REF!</f>
        <v>#REF!</v>
      </c>
      <c r="B128" s="31" t="e">
        <f>"'"&amp;装备!#REF!&amp;"'"</f>
        <v>#REF!</v>
      </c>
      <c r="C128" s="31" t="e">
        <f>装备!#REF!</f>
        <v>#REF!</v>
      </c>
      <c r="D128" s="31" t="e">
        <f>装备!#REF!</f>
        <v>#REF!</v>
      </c>
      <c r="E128" s="31" t="e">
        <f>装备!#REF!</f>
        <v>#REF!</v>
      </c>
      <c r="F128" s="31" t="e">
        <f>装备!#REF!</f>
        <v>#REF!</v>
      </c>
      <c r="G128" s="31" t="e">
        <f>装备!#REF!</f>
        <v>#REF!</v>
      </c>
      <c r="H128" s="31" t="e">
        <f>装备!#REF!</f>
        <v>#REF!</v>
      </c>
      <c r="I128" s="31" t="e">
        <f>IF(装备!#REF!=0,0,"'"&amp;装备!#REF!&amp;"'")</f>
        <v>#REF!</v>
      </c>
      <c r="J128" s="31" t="e">
        <f>IF(装备!#REF!=0,0,"'"&amp;装备!#REF!&amp;"'")</f>
        <v>#REF!</v>
      </c>
      <c r="K128" s="31" t="e">
        <f>IF(装备!#REF!=0,0,"'"&amp;装备!#REF!&amp;"'")</f>
        <v>#REF!</v>
      </c>
      <c r="L128" s="31" t="e">
        <f>IF(装备!#REF!=0,0,"'"&amp;装备!#REF!&amp;"'")</f>
        <v>#REF!</v>
      </c>
      <c r="M128" s="31" t="e">
        <f>IF(装备!#REF!=0,0,"'"&amp;装备!#REF!&amp;"'")</f>
        <v>#REF!</v>
      </c>
      <c r="N128" s="31" t="e">
        <f>IF(装备!#REF!=0,0,"'"&amp;装备!#REF!&amp;"'")</f>
        <v>#REF!</v>
      </c>
      <c r="O128" s="31" t="e">
        <f t="shared" si="40"/>
        <v>#REF!</v>
      </c>
      <c r="P128" s="31" t="str">
        <f t="shared" si="47"/>
        <v/>
      </c>
      <c r="Q128" s="35" t="str">
        <f>IFERROR(VLOOKUP(C128,装备!$B:$E,3,FALSE),"")</f>
        <v/>
      </c>
      <c r="R128" s="35" t="str">
        <f>IFERROR(VLOOKUP(D128,装备!$B:$E,3,FALSE),"")</f>
        <v/>
      </c>
      <c r="S128" s="35" t="str">
        <f>IFERROR(VLOOKUP(E128,装备!$B:$E,3,FALSE),"")</f>
        <v/>
      </c>
      <c r="T128" s="35" t="str">
        <f>IFERROR(VLOOKUP(F128,装备!$B:$E,3,FALSE),"")</f>
        <v/>
      </c>
      <c r="U128" s="35" t="str">
        <f>IFERROR(VLOOKUP(G128,装备!$B:$E,3,FALSE),"")</f>
        <v/>
      </c>
      <c r="V128" s="35" t="str">
        <f>IFERROR(VLOOKUP(H128,装备!$B:$E,3,FALSE),"")</f>
        <v/>
      </c>
      <c r="W128" s="30" t="str">
        <f t="shared" si="41"/>
        <v/>
      </c>
      <c r="X128" s="30" t="str">
        <f t="shared" si="42"/>
        <v/>
      </c>
      <c r="Y128" s="30" t="str">
        <f t="shared" si="43"/>
        <v/>
      </c>
      <c r="Z128" s="30" t="str">
        <f t="shared" si="44"/>
        <v/>
      </c>
      <c r="AA128" s="30" t="str">
        <f t="shared" si="45"/>
        <v/>
      </c>
      <c r="AB128" s="30" t="e">
        <f t="shared" si="46"/>
        <v>#REF!</v>
      </c>
    </row>
    <row r="129" spans="1:28">
      <c r="A129" s="31" t="e">
        <f>装备!#REF!</f>
        <v>#REF!</v>
      </c>
      <c r="B129" s="31" t="e">
        <f>"'"&amp;装备!#REF!&amp;"'"</f>
        <v>#REF!</v>
      </c>
      <c r="C129" s="31" t="e">
        <f>装备!#REF!</f>
        <v>#REF!</v>
      </c>
      <c r="D129" s="31" t="e">
        <f>装备!#REF!</f>
        <v>#REF!</v>
      </c>
      <c r="E129" s="31" t="e">
        <f>装备!#REF!</f>
        <v>#REF!</v>
      </c>
      <c r="F129" s="31" t="e">
        <f>装备!#REF!</f>
        <v>#REF!</v>
      </c>
      <c r="G129" s="31" t="e">
        <f>装备!#REF!</f>
        <v>#REF!</v>
      </c>
      <c r="H129" s="31" t="e">
        <f>装备!#REF!</f>
        <v>#REF!</v>
      </c>
      <c r="I129" s="31" t="e">
        <f>IF(装备!#REF!=0,0,"'"&amp;装备!#REF!&amp;"'")</f>
        <v>#REF!</v>
      </c>
      <c r="J129" s="31" t="e">
        <f>IF(装备!#REF!=0,0,"'"&amp;装备!#REF!&amp;"'")</f>
        <v>#REF!</v>
      </c>
      <c r="K129" s="31" t="e">
        <f>IF(装备!#REF!=0,0,"'"&amp;装备!#REF!&amp;"'")</f>
        <v>#REF!</v>
      </c>
      <c r="L129" s="31" t="e">
        <f>IF(装备!#REF!=0,0,"'"&amp;装备!#REF!&amp;"'")</f>
        <v>#REF!</v>
      </c>
      <c r="M129" s="31" t="e">
        <f>IF(装备!#REF!=0,0,"'"&amp;装备!#REF!&amp;"'")</f>
        <v>#REF!</v>
      </c>
      <c r="N129" s="31" t="e">
        <f>IF(装备!#REF!=0,0,"'"&amp;装备!#REF!&amp;"'")</f>
        <v>#REF!</v>
      </c>
      <c r="O129" s="31" t="e">
        <f t="shared" si="40"/>
        <v>#REF!</v>
      </c>
      <c r="P129" s="31" t="str">
        <f t="shared" si="47"/>
        <v/>
      </c>
      <c r="Q129" s="35" t="str">
        <f>IFERROR(VLOOKUP(C129,装备!$B:$E,3,FALSE),"")</f>
        <v/>
      </c>
      <c r="R129" s="35" t="str">
        <f>IFERROR(VLOOKUP(D129,装备!$B:$E,3,FALSE),"")</f>
        <v/>
      </c>
      <c r="S129" s="35" t="str">
        <f>IFERROR(VLOOKUP(E129,装备!$B:$E,3,FALSE),"")</f>
        <v/>
      </c>
      <c r="T129" s="35" t="str">
        <f>IFERROR(VLOOKUP(F129,装备!$B:$E,3,FALSE),"")</f>
        <v/>
      </c>
      <c r="U129" s="35" t="str">
        <f>IFERROR(VLOOKUP(G129,装备!$B:$E,3,FALSE),"")</f>
        <v/>
      </c>
      <c r="V129" s="35" t="str">
        <f>IFERROR(VLOOKUP(H129,装备!$B:$E,3,FALSE),"")</f>
        <v/>
      </c>
      <c r="W129" s="30" t="str">
        <f t="shared" si="41"/>
        <v/>
      </c>
      <c r="X129" s="30" t="str">
        <f t="shared" si="42"/>
        <v/>
      </c>
      <c r="Y129" s="30" t="str">
        <f t="shared" si="43"/>
        <v/>
      </c>
      <c r="Z129" s="30" t="str">
        <f t="shared" si="44"/>
        <v/>
      </c>
      <c r="AA129" s="30" t="str">
        <f t="shared" si="45"/>
        <v/>
      </c>
      <c r="AB129" s="30" t="e">
        <f t="shared" si="46"/>
        <v>#REF!</v>
      </c>
    </row>
    <row r="130" spans="1:28">
      <c r="A130" s="31" t="e">
        <f>装备!#REF!</f>
        <v>#REF!</v>
      </c>
      <c r="B130" s="31" t="e">
        <f>"'"&amp;装备!#REF!&amp;"'"</f>
        <v>#REF!</v>
      </c>
      <c r="C130" s="31" t="e">
        <f>装备!#REF!</f>
        <v>#REF!</v>
      </c>
      <c r="D130" s="31" t="e">
        <f>装备!#REF!</f>
        <v>#REF!</v>
      </c>
      <c r="E130" s="31" t="e">
        <f>装备!#REF!</f>
        <v>#REF!</v>
      </c>
      <c r="F130" s="31" t="e">
        <f>装备!#REF!</f>
        <v>#REF!</v>
      </c>
      <c r="G130" s="31" t="e">
        <f>装备!#REF!</f>
        <v>#REF!</v>
      </c>
      <c r="H130" s="31" t="e">
        <f>装备!#REF!</f>
        <v>#REF!</v>
      </c>
      <c r="I130" s="31" t="e">
        <f>IF(装备!#REF!=0,0,"'"&amp;装备!#REF!&amp;"'")</f>
        <v>#REF!</v>
      </c>
      <c r="J130" s="31" t="e">
        <f>IF(装备!#REF!=0,0,"'"&amp;装备!#REF!&amp;"'")</f>
        <v>#REF!</v>
      </c>
      <c r="K130" s="31" t="e">
        <f>IF(装备!#REF!=0,0,"'"&amp;装备!#REF!&amp;"'")</f>
        <v>#REF!</v>
      </c>
      <c r="L130" s="31" t="e">
        <f>IF(装备!#REF!=0,0,"'"&amp;装备!#REF!&amp;"'")</f>
        <v>#REF!</v>
      </c>
      <c r="M130" s="31" t="e">
        <f>IF(装备!#REF!=0,0,"'"&amp;装备!#REF!&amp;"'")</f>
        <v>#REF!</v>
      </c>
      <c r="N130" s="31" t="e">
        <f>IF(装备!#REF!=0,0,"'"&amp;装备!#REF!&amp;"'")</f>
        <v>#REF!</v>
      </c>
      <c r="O130" s="31" t="e">
        <f t="shared" si="40"/>
        <v>#REF!</v>
      </c>
      <c r="P130" s="31" t="str">
        <f t="shared" si="47"/>
        <v/>
      </c>
      <c r="Q130" s="35" t="str">
        <f>IFERROR(VLOOKUP(C130,装备!$B:$E,3,FALSE),"")</f>
        <v/>
      </c>
      <c r="R130" s="35" t="str">
        <f>IFERROR(VLOOKUP(D130,装备!$B:$E,3,FALSE),"")</f>
        <v/>
      </c>
      <c r="S130" s="35" t="str">
        <f>IFERROR(VLOOKUP(E130,装备!$B:$E,3,FALSE),"")</f>
        <v/>
      </c>
      <c r="T130" s="35" t="str">
        <f>IFERROR(VLOOKUP(F130,装备!$B:$E,3,FALSE),"")</f>
        <v/>
      </c>
      <c r="U130" s="35" t="str">
        <f>IFERROR(VLOOKUP(G130,装备!$B:$E,3,FALSE),"")</f>
        <v/>
      </c>
      <c r="V130" s="35" t="str">
        <f>IFERROR(VLOOKUP(H130,装备!$B:$E,3,FALSE),"")</f>
        <v/>
      </c>
      <c r="W130" s="30" t="str">
        <f t="shared" si="41"/>
        <v/>
      </c>
      <c r="X130" s="30" t="str">
        <f t="shared" si="42"/>
        <v/>
      </c>
      <c r="Y130" s="30" t="str">
        <f t="shared" si="43"/>
        <v/>
      </c>
      <c r="Z130" s="30" t="str">
        <f t="shared" si="44"/>
        <v/>
      </c>
      <c r="AA130" s="30" t="str">
        <f t="shared" si="45"/>
        <v/>
      </c>
      <c r="AB130" s="30" t="e">
        <f t="shared" si="46"/>
        <v>#REF!</v>
      </c>
    </row>
    <row r="131" spans="1:28">
      <c r="A131" s="31" t="e">
        <f>装备!#REF!</f>
        <v>#REF!</v>
      </c>
      <c r="B131" s="31" t="e">
        <f>"'"&amp;装备!#REF!&amp;"'"</f>
        <v>#REF!</v>
      </c>
      <c r="C131" s="31" t="e">
        <f>装备!#REF!</f>
        <v>#REF!</v>
      </c>
      <c r="D131" s="31" t="e">
        <f>装备!#REF!</f>
        <v>#REF!</v>
      </c>
      <c r="E131" s="31" t="e">
        <f>装备!#REF!</f>
        <v>#REF!</v>
      </c>
      <c r="F131" s="31" t="e">
        <f>装备!#REF!</f>
        <v>#REF!</v>
      </c>
      <c r="G131" s="31" t="e">
        <f>装备!#REF!</f>
        <v>#REF!</v>
      </c>
      <c r="H131" s="31" t="e">
        <f>装备!#REF!</f>
        <v>#REF!</v>
      </c>
      <c r="I131" s="31" t="e">
        <f>IF(装备!#REF!=0,0,"'"&amp;装备!#REF!&amp;"'")</f>
        <v>#REF!</v>
      </c>
      <c r="J131" s="31" t="e">
        <f>IF(装备!#REF!=0,0,"'"&amp;装备!#REF!&amp;"'")</f>
        <v>#REF!</v>
      </c>
      <c r="K131" s="31" t="e">
        <f>IF(装备!#REF!=0,0,"'"&amp;装备!#REF!&amp;"'")</f>
        <v>#REF!</v>
      </c>
      <c r="L131" s="31" t="e">
        <f>IF(装备!#REF!=0,0,"'"&amp;装备!#REF!&amp;"'")</f>
        <v>#REF!</v>
      </c>
      <c r="M131" s="31" t="e">
        <f>IF(装备!#REF!=0,0,"'"&amp;装备!#REF!&amp;"'")</f>
        <v>#REF!</v>
      </c>
      <c r="N131" s="31" t="e">
        <f>IF(装备!#REF!=0,0,"'"&amp;装备!#REF!&amp;"'")</f>
        <v>#REF!</v>
      </c>
      <c r="O131" s="31" t="e">
        <f t="shared" si="40"/>
        <v>#REF!</v>
      </c>
      <c r="P131" s="31" t="str">
        <f t="shared" si="47"/>
        <v/>
      </c>
      <c r="Q131" s="35" t="str">
        <f>IFERROR(VLOOKUP(C131,装备!$B:$E,3,FALSE),"")</f>
        <v/>
      </c>
      <c r="R131" s="35" t="str">
        <f>IFERROR(VLOOKUP(D131,装备!$B:$E,3,FALSE),"")</f>
        <v/>
      </c>
      <c r="S131" s="35" t="str">
        <f>IFERROR(VLOOKUP(E131,装备!$B:$E,3,FALSE),"")</f>
        <v/>
      </c>
      <c r="T131" s="35" t="str">
        <f>IFERROR(VLOOKUP(F131,装备!$B:$E,3,FALSE),"")</f>
        <v/>
      </c>
      <c r="U131" s="35" t="str">
        <f>IFERROR(VLOOKUP(G131,装备!$B:$E,3,FALSE),"")</f>
        <v/>
      </c>
      <c r="V131" s="35" t="str">
        <f>IFERROR(VLOOKUP(H131,装备!$B:$E,3,FALSE),"")</f>
        <v/>
      </c>
      <c r="W131" s="30" t="str">
        <f t="shared" si="41"/>
        <v/>
      </c>
      <c r="X131" s="30" t="str">
        <f t="shared" si="42"/>
        <v/>
      </c>
      <c r="Y131" s="30" t="str">
        <f t="shared" si="43"/>
        <v/>
      </c>
      <c r="Z131" s="30" t="str">
        <f t="shared" si="44"/>
        <v/>
      </c>
      <c r="AA131" s="30" t="str">
        <f t="shared" si="45"/>
        <v/>
      </c>
      <c r="AB131" s="30" t="e">
        <f t="shared" si="46"/>
        <v>#REF!</v>
      </c>
    </row>
    <row r="132" spans="1:28">
      <c r="A132" s="31" t="e">
        <f>装备!#REF!</f>
        <v>#REF!</v>
      </c>
      <c r="B132" s="31" t="e">
        <f>"'"&amp;装备!#REF!&amp;"'"</f>
        <v>#REF!</v>
      </c>
      <c r="C132" s="31" t="e">
        <f>装备!#REF!</f>
        <v>#REF!</v>
      </c>
      <c r="D132" s="31" t="e">
        <f>装备!#REF!</f>
        <v>#REF!</v>
      </c>
      <c r="E132" s="31" t="e">
        <f>装备!#REF!</f>
        <v>#REF!</v>
      </c>
      <c r="F132" s="31" t="e">
        <f>装备!#REF!</f>
        <v>#REF!</v>
      </c>
      <c r="G132" s="31" t="e">
        <f>装备!#REF!</f>
        <v>#REF!</v>
      </c>
      <c r="H132" s="31" t="e">
        <f>装备!#REF!</f>
        <v>#REF!</v>
      </c>
      <c r="I132" s="31" t="e">
        <f>IF(装备!#REF!=0,0,"'"&amp;装备!#REF!&amp;"'")</f>
        <v>#REF!</v>
      </c>
      <c r="J132" s="31" t="e">
        <f>IF(装备!#REF!=0,0,"'"&amp;装备!#REF!&amp;"'")</f>
        <v>#REF!</v>
      </c>
      <c r="K132" s="31" t="e">
        <f>IF(装备!#REF!=0,0,"'"&amp;装备!#REF!&amp;"'")</f>
        <v>#REF!</v>
      </c>
      <c r="L132" s="31" t="e">
        <f>IF(装备!#REF!=0,0,"'"&amp;装备!#REF!&amp;"'")</f>
        <v>#REF!</v>
      </c>
      <c r="M132" s="31" t="e">
        <f>IF(装备!#REF!=0,0,"'"&amp;装备!#REF!&amp;"'")</f>
        <v>#REF!</v>
      </c>
      <c r="N132" s="31" t="e">
        <f>IF(装备!#REF!=0,0,"'"&amp;装备!#REF!&amp;"'")</f>
        <v>#REF!</v>
      </c>
      <c r="O132" s="31" t="e">
        <f t="shared" si="40"/>
        <v>#REF!</v>
      </c>
      <c r="P132" s="31" t="str">
        <f t="shared" si="47"/>
        <v/>
      </c>
      <c r="Q132" s="35" t="str">
        <f>IFERROR(VLOOKUP(C132,装备!$B:$E,3,FALSE),"")</f>
        <v/>
      </c>
      <c r="R132" s="35" t="str">
        <f>IFERROR(VLOOKUP(D132,装备!$B:$E,3,FALSE),"")</f>
        <v/>
      </c>
      <c r="S132" s="35" t="str">
        <f>IFERROR(VLOOKUP(E132,装备!$B:$E,3,FALSE),"")</f>
        <v/>
      </c>
      <c r="T132" s="35" t="str">
        <f>IFERROR(VLOOKUP(F132,装备!$B:$E,3,FALSE),"")</f>
        <v/>
      </c>
      <c r="U132" s="35" t="str">
        <f>IFERROR(VLOOKUP(G132,装备!$B:$E,3,FALSE),"")</f>
        <v/>
      </c>
      <c r="V132" s="35" t="str">
        <f>IFERROR(VLOOKUP(H132,装备!$B:$E,3,FALSE),"")</f>
        <v/>
      </c>
      <c r="W132" s="30" t="str">
        <f t="shared" si="41"/>
        <v/>
      </c>
      <c r="X132" s="30" t="str">
        <f t="shared" si="42"/>
        <v/>
      </c>
      <c r="Y132" s="30" t="str">
        <f t="shared" si="43"/>
        <v/>
      </c>
      <c r="Z132" s="30" t="str">
        <f t="shared" si="44"/>
        <v/>
      </c>
      <c r="AA132" s="30" t="str">
        <f t="shared" si="45"/>
        <v/>
      </c>
      <c r="AB132" s="30" t="e">
        <f t="shared" si="46"/>
        <v>#REF!</v>
      </c>
    </row>
    <row r="133" spans="1:28">
      <c r="A133" s="31" t="e">
        <f>装备!#REF!</f>
        <v>#REF!</v>
      </c>
      <c r="B133" s="31" t="e">
        <f>"'"&amp;装备!#REF!&amp;"'"</f>
        <v>#REF!</v>
      </c>
      <c r="C133" s="31" t="e">
        <f>装备!#REF!</f>
        <v>#REF!</v>
      </c>
      <c r="D133" s="31" t="e">
        <f>装备!#REF!</f>
        <v>#REF!</v>
      </c>
      <c r="E133" s="31" t="e">
        <f>装备!#REF!</f>
        <v>#REF!</v>
      </c>
      <c r="F133" s="31" t="e">
        <f>装备!#REF!</f>
        <v>#REF!</v>
      </c>
      <c r="G133" s="31" t="e">
        <f>装备!#REF!</f>
        <v>#REF!</v>
      </c>
      <c r="H133" s="31" t="e">
        <f>装备!#REF!</f>
        <v>#REF!</v>
      </c>
      <c r="I133" s="31" t="e">
        <f>IF(装备!#REF!=0,0,"'"&amp;装备!#REF!&amp;"'")</f>
        <v>#REF!</v>
      </c>
      <c r="J133" s="31" t="e">
        <f>IF(装备!#REF!=0,0,"'"&amp;装备!#REF!&amp;"'")</f>
        <v>#REF!</v>
      </c>
      <c r="K133" s="31" t="e">
        <f>IF(装备!#REF!=0,0,"'"&amp;装备!#REF!&amp;"'")</f>
        <v>#REF!</v>
      </c>
      <c r="L133" s="31" t="e">
        <f>IF(装备!#REF!=0,0,"'"&amp;装备!#REF!&amp;"'")</f>
        <v>#REF!</v>
      </c>
      <c r="M133" s="31" t="e">
        <f>IF(装备!#REF!=0,0,"'"&amp;装备!#REF!&amp;"'")</f>
        <v>#REF!</v>
      </c>
      <c r="N133" s="31" t="e">
        <f>IF(装备!#REF!=0,0,"'"&amp;装备!#REF!&amp;"'")</f>
        <v>#REF!</v>
      </c>
      <c r="O133" s="31" t="e">
        <f t="shared" si="40"/>
        <v>#REF!</v>
      </c>
      <c r="P133" s="31" t="str">
        <f t="shared" si="47"/>
        <v/>
      </c>
      <c r="Q133" s="35" t="str">
        <f>IFERROR(VLOOKUP(C133,装备!$B:$E,3,FALSE),"")</f>
        <v/>
      </c>
      <c r="R133" s="35" t="str">
        <f>IFERROR(VLOOKUP(D133,装备!$B:$E,3,FALSE),"")</f>
        <v/>
      </c>
      <c r="S133" s="35" t="str">
        <f>IFERROR(VLOOKUP(E133,装备!$B:$E,3,FALSE),"")</f>
        <v/>
      </c>
      <c r="T133" s="35" t="str">
        <f>IFERROR(VLOOKUP(F133,装备!$B:$E,3,FALSE),"")</f>
        <v/>
      </c>
      <c r="U133" s="35" t="str">
        <f>IFERROR(VLOOKUP(G133,装备!$B:$E,3,FALSE),"")</f>
        <v/>
      </c>
      <c r="V133" s="35" t="str">
        <f>IFERROR(VLOOKUP(H133,装备!$B:$E,3,FALSE),"")</f>
        <v/>
      </c>
      <c r="W133" s="30" t="str">
        <f t="shared" si="41"/>
        <v/>
      </c>
      <c r="X133" s="30" t="str">
        <f t="shared" si="42"/>
        <v/>
      </c>
      <c r="Y133" s="30" t="str">
        <f t="shared" si="43"/>
        <v/>
      </c>
      <c r="Z133" s="30" t="str">
        <f t="shared" si="44"/>
        <v/>
      </c>
      <c r="AA133" s="30" t="str">
        <f t="shared" si="45"/>
        <v/>
      </c>
      <c r="AB133" s="30" t="e">
        <f t="shared" si="46"/>
        <v>#REF!</v>
      </c>
    </row>
    <row r="134" spans="1:28">
      <c r="A134" s="31" t="e">
        <f>装备!#REF!</f>
        <v>#REF!</v>
      </c>
      <c r="B134" s="31" t="e">
        <f>"'"&amp;装备!#REF!&amp;"'"</f>
        <v>#REF!</v>
      </c>
      <c r="C134" s="31" t="e">
        <f>装备!#REF!</f>
        <v>#REF!</v>
      </c>
      <c r="D134" s="31" t="e">
        <f>装备!#REF!</f>
        <v>#REF!</v>
      </c>
      <c r="E134" s="31" t="e">
        <f>装备!#REF!</f>
        <v>#REF!</v>
      </c>
      <c r="F134" s="31" t="e">
        <f>装备!#REF!</f>
        <v>#REF!</v>
      </c>
      <c r="G134" s="31" t="e">
        <f>装备!#REF!</f>
        <v>#REF!</v>
      </c>
      <c r="H134" s="31" t="e">
        <f>装备!#REF!</f>
        <v>#REF!</v>
      </c>
      <c r="I134" s="31" t="e">
        <f>IF(装备!#REF!=0,0,"'"&amp;装备!#REF!&amp;"'")</f>
        <v>#REF!</v>
      </c>
      <c r="J134" s="31" t="e">
        <f>IF(装备!#REF!=0,0,"'"&amp;装备!#REF!&amp;"'")</f>
        <v>#REF!</v>
      </c>
      <c r="K134" s="31" t="e">
        <f>IF(装备!#REF!=0,0,"'"&amp;装备!#REF!&amp;"'")</f>
        <v>#REF!</v>
      </c>
      <c r="L134" s="31" t="e">
        <f>IF(装备!#REF!=0,0,"'"&amp;装备!#REF!&amp;"'")</f>
        <v>#REF!</v>
      </c>
      <c r="M134" s="31" t="e">
        <f>IF(装备!#REF!=0,0,"'"&amp;装备!#REF!&amp;"'")</f>
        <v>#REF!</v>
      </c>
      <c r="N134" s="31" t="e">
        <f>IF(装备!#REF!=0,0,"'"&amp;装备!#REF!&amp;"'")</f>
        <v>#REF!</v>
      </c>
      <c r="O134" s="31" t="e">
        <f t="shared" si="40"/>
        <v>#REF!</v>
      </c>
      <c r="P134" s="31" t="str">
        <f t="shared" si="47"/>
        <v/>
      </c>
      <c r="Q134" s="35" t="str">
        <f>IFERROR(VLOOKUP(C134,装备!$B:$E,3,FALSE),"")</f>
        <v/>
      </c>
      <c r="R134" s="35" t="str">
        <f>IFERROR(VLOOKUP(D134,装备!$B:$E,3,FALSE),"")</f>
        <v/>
      </c>
      <c r="S134" s="35" t="str">
        <f>IFERROR(VLOOKUP(E134,装备!$B:$E,3,FALSE),"")</f>
        <v/>
      </c>
      <c r="T134" s="35" t="str">
        <f>IFERROR(VLOOKUP(F134,装备!$B:$E,3,FALSE),"")</f>
        <v/>
      </c>
      <c r="U134" s="35" t="str">
        <f>IFERROR(VLOOKUP(G134,装备!$B:$E,3,FALSE),"")</f>
        <v/>
      </c>
      <c r="V134" s="35" t="str">
        <f>IFERROR(VLOOKUP(H134,装备!$B:$E,3,FALSE),"")</f>
        <v/>
      </c>
      <c r="W134" s="30" t="str">
        <f t="shared" si="41"/>
        <v/>
      </c>
      <c r="X134" s="30" t="str">
        <f t="shared" si="42"/>
        <v/>
      </c>
      <c r="Y134" s="30" t="str">
        <f t="shared" si="43"/>
        <v/>
      </c>
      <c r="Z134" s="30" t="str">
        <f t="shared" si="44"/>
        <v/>
      </c>
      <c r="AA134" s="30" t="str">
        <f t="shared" si="45"/>
        <v/>
      </c>
      <c r="AB134" s="30" t="e">
        <f t="shared" si="46"/>
        <v>#REF!</v>
      </c>
    </row>
    <row r="135" spans="1:28">
      <c r="A135" s="31" t="e">
        <f>装备!#REF!</f>
        <v>#REF!</v>
      </c>
      <c r="B135" s="31" t="e">
        <f>"'"&amp;装备!#REF!&amp;"'"</f>
        <v>#REF!</v>
      </c>
      <c r="C135" s="31" t="e">
        <f>装备!#REF!</f>
        <v>#REF!</v>
      </c>
      <c r="D135" s="31" t="e">
        <f>装备!#REF!</f>
        <v>#REF!</v>
      </c>
      <c r="E135" s="31" t="e">
        <f>装备!#REF!</f>
        <v>#REF!</v>
      </c>
      <c r="F135" s="31" t="e">
        <f>装备!#REF!</f>
        <v>#REF!</v>
      </c>
      <c r="G135" s="31" t="e">
        <f>装备!#REF!</f>
        <v>#REF!</v>
      </c>
      <c r="H135" s="31" t="e">
        <f>装备!#REF!</f>
        <v>#REF!</v>
      </c>
      <c r="I135" s="31" t="e">
        <f>IF(装备!#REF!=0,0,"'"&amp;装备!#REF!&amp;"'")</f>
        <v>#REF!</v>
      </c>
      <c r="J135" s="31" t="e">
        <f>IF(装备!#REF!=0,0,"'"&amp;装备!#REF!&amp;"'")</f>
        <v>#REF!</v>
      </c>
      <c r="K135" s="31" t="e">
        <f>IF(装备!#REF!=0,0,"'"&amp;装备!#REF!&amp;"'")</f>
        <v>#REF!</v>
      </c>
      <c r="L135" s="31" t="e">
        <f>IF(装备!#REF!=0,0,"'"&amp;装备!#REF!&amp;"'")</f>
        <v>#REF!</v>
      </c>
      <c r="M135" s="31" t="e">
        <f>IF(装备!#REF!=0,0,"'"&amp;装备!#REF!&amp;"'")</f>
        <v>#REF!</v>
      </c>
      <c r="N135" s="31" t="e">
        <f>IF(装备!#REF!=0,0,"'"&amp;装备!#REF!&amp;"'")</f>
        <v>#REF!</v>
      </c>
      <c r="O135" s="31" t="e">
        <f t="shared" si="40"/>
        <v>#REF!</v>
      </c>
      <c r="P135" s="31" t="str">
        <f t="shared" si="47"/>
        <v/>
      </c>
      <c r="Q135" s="35" t="str">
        <f>IFERROR(VLOOKUP(C135,装备!$B:$E,3,FALSE),"")</f>
        <v/>
      </c>
      <c r="R135" s="35" t="str">
        <f>IFERROR(VLOOKUP(D135,装备!$B:$E,3,FALSE),"")</f>
        <v/>
      </c>
      <c r="S135" s="35" t="str">
        <f>IFERROR(VLOOKUP(E135,装备!$B:$E,3,FALSE),"")</f>
        <v/>
      </c>
      <c r="T135" s="35" t="str">
        <f>IFERROR(VLOOKUP(F135,装备!$B:$E,3,FALSE),"")</f>
        <v/>
      </c>
      <c r="U135" s="35" t="str">
        <f>IFERROR(VLOOKUP(G135,装备!$B:$E,3,FALSE),"")</f>
        <v/>
      </c>
      <c r="V135" s="35" t="str">
        <f>IFERROR(VLOOKUP(H135,装备!$B:$E,3,FALSE),"")</f>
        <v/>
      </c>
      <c r="W135" s="30" t="str">
        <f t="shared" si="41"/>
        <v/>
      </c>
      <c r="X135" s="30" t="str">
        <f t="shared" si="42"/>
        <v/>
      </c>
      <c r="Y135" s="30" t="str">
        <f t="shared" si="43"/>
        <v/>
      </c>
      <c r="Z135" s="30" t="str">
        <f t="shared" si="44"/>
        <v/>
      </c>
      <c r="AA135" s="30" t="str">
        <f t="shared" si="45"/>
        <v/>
      </c>
      <c r="AB135" s="30" t="e">
        <f t="shared" si="46"/>
        <v>#REF!</v>
      </c>
    </row>
    <row r="136" spans="1:28">
      <c r="A136" s="31" t="e">
        <f>装备!#REF!</f>
        <v>#REF!</v>
      </c>
      <c r="B136" s="31" t="e">
        <f>"'"&amp;装备!#REF!&amp;"'"</f>
        <v>#REF!</v>
      </c>
      <c r="C136" s="31" t="e">
        <f>装备!#REF!</f>
        <v>#REF!</v>
      </c>
      <c r="D136" s="31" t="e">
        <f>装备!#REF!</f>
        <v>#REF!</v>
      </c>
      <c r="E136" s="31" t="e">
        <f>装备!#REF!</f>
        <v>#REF!</v>
      </c>
      <c r="F136" s="31" t="e">
        <f>装备!#REF!</f>
        <v>#REF!</v>
      </c>
      <c r="G136" s="31" t="e">
        <f>装备!#REF!</f>
        <v>#REF!</v>
      </c>
      <c r="H136" s="31" t="e">
        <f>装备!#REF!</f>
        <v>#REF!</v>
      </c>
      <c r="I136" s="31" t="e">
        <f>IF(装备!#REF!=0,0,"'"&amp;装备!#REF!&amp;"'")</f>
        <v>#REF!</v>
      </c>
      <c r="J136" s="31" t="e">
        <f>IF(装备!#REF!=0,0,"'"&amp;装备!#REF!&amp;"'")</f>
        <v>#REF!</v>
      </c>
      <c r="K136" s="31" t="e">
        <f>IF(装备!#REF!=0,0,"'"&amp;装备!#REF!&amp;"'")</f>
        <v>#REF!</v>
      </c>
      <c r="L136" s="31" t="e">
        <f>IF(装备!#REF!=0,0,"'"&amp;装备!#REF!&amp;"'")</f>
        <v>#REF!</v>
      </c>
      <c r="M136" s="31" t="e">
        <f>IF(装备!#REF!=0,0,"'"&amp;装备!#REF!&amp;"'")</f>
        <v>#REF!</v>
      </c>
      <c r="N136" s="31" t="e">
        <f>IF(装备!#REF!=0,0,"'"&amp;装备!#REF!&amp;"'")</f>
        <v>#REF!</v>
      </c>
      <c r="O136" s="31" t="e">
        <f t="shared" si="40"/>
        <v>#REF!</v>
      </c>
      <c r="P136" s="31" t="str">
        <f t="shared" si="47"/>
        <v/>
      </c>
      <c r="Q136" s="35" t="str">
        <f>IFERROR(VLOOKUP(C136,装备!$B:$E,3,FALSE),"")</f>
        <v/>
      </c>
      <c r="R136" s="35" t="str">
        <f>IFERROR(VLOOKUP(D136,装备!$B:$E,3,FALSE),"")</f>
        <v/>
      </c>
      <c r="S136" s="35" t="str">
        <f>IFERROR(VLOOKUP(E136,装备!$B:$E,3,FALSE),"")</f>
        <v/>
      </c>
      <c r="T136" s="35" t="str">
        <f>IFERROR(VLOOKUP(F136,装备!$B:$E,3,FALSE),"")</f>
        <v/>
      </c>
      <c r="U136" s="35" t="str">
        <f>IFERROR(VLOOKUP(G136,装备!$B:$E,3,FALSE),"")</f>
        <v/>
      </c>
      <c r="V136" s="35" t="str">
        <f>IFERROR(VLOOKUP(H136,装备!$B:$E,3,FALSE),"")</f>
        <v/>
      </c>
      <c r="W136" s="30" t="str">
        <f t="shared" si="41"/>
        <v/>
      </c>
      <c r="X136" s="30" t="str">
        <f t="shared" si="42"/>
        <v/>
      </c>
      <c r="Y136" s="30" t="str">
        <f t="shared" si="43"/>
        <v/>
      </c>
      <c r="Z136" s="30" t="str">
        <f t="shared" si="44"/>
        <v/>
      </c>
      <c r="AA136" s="30" t="str">
        <f t="shared" si="45"/>
        <v/>
      </c>
      <c r="AB136" s="30" t="e">
        <f t="shared" si="46"/>
        <v>#REF!</v>
      </c>
    </row>
    <row r="137" spans="1:28">
      <c r="A137" s="31" t="e">
        <f>装备!#REF!</f>
        <v>#REF!</v>
      </c>
      <c r="B137" s="31" t="e">
        <f>"'"&amp;装备!#REF!&amp;"'"</f>
        <v>#REF!</v>
      </c>
      <c r="C137" s="31" t="e">
        <f>装备!#REF!</f>
        <v>#REF!</v>
      </c>
      <c r="D137" s="31" t="e">
        <f>装备!#REF!</f>
        <v>#REF!</v>
      </c>
      <c r="E137" s="31" t="e">
        <f>装备!#REF!</f>
        <v>#REF!</v>
      </c>
      <c r="F137" s="31" t="e">
        <f>装备!#REF!</f>
        <v>#REF!</v>
      </c>
      <c r="G137" s="31" t="e">
        <f>装备!#REF!</f>
        <v>#REF!</v>
      </c>
      <c r="H137" s="31" t="e">
        <f>装备!#REF!</f>
        <v>#REF!</v>
      </c>
      <c r="I137" s="31" t="e">
        <f>IF(装备!#REF!=0,0,"'"&amp;装备!#REF!&amp;"'")</f>
        <v>#REF!</v>
      </c>
      <c r="J137" s="31" t="e">
        <f>IF(装备!#REF!=0,0,"'"&amp;装备!#REF!&amp;"'")</f>
        <v>#REF!</v>
      </c>
      <c r="K137" s="31" t="e">
        <f>IF(装备!#REF!=0,0,"'"&amp;装备!#REF!&amp;"'")</f>
        <v>#REF!</v>
      </c>
      <c r="L137" s="31" t="e">
        <f>IF(装备!#REF!=0,0,"'"&amp;装备!#REF!&amp;"'")</f>
        <v>#REF!</v>
      </c>
      <c r="M137" s="31" t="e">
        <f>IF(装备!#REF!=0,0,"'"&amp;装备!#REF!&amp;"'")</f>
        <v>#REF!</v>
      </c>
      <c r="N137" s="31" t="e">
        <f>IF(装备!#REF!=0,0,"'"&amp;装备!#REF!&amp;"'")</f>
        <v>#REF!</v>
      </c>
      <c r="O137" s="31" t="e">
        <f t="shared" si="40"/>
        <v>#REF!</v>
      </c>
      <c r="P137" s="31" t="str">
        <f t="shared" si="47"/>
        <v/>
      </c>
      <c r="Q137" s="35" t="str">
        <f>IFERROR(VLOOKUP(C137,装备!$B:$E,3,FALSE),"")</f>
        <v/>
      </c>
      <c r="R137" s="35" t="str">
        <f>IFERROR(VLOOKUP(D137,装备!$B:$E,3,FALSE),"")</f>
        <v/>
      </c>
      <c r="S137" s="35" t="str">
        <f>IFERROR(VLOOKUP(E137,装备!$B:$E,3,FALSE),"")</f>
        <v/>
      </c>
      <c r="T137" s="35" t="str">
        <f>IFERROR(VLOOKUP(F137,装备!$B:$E,3,FALSE),"")</f>
        <v/>
      </c>
      <c r="U137" s="35" t="str">
        <f>IFERROR(VLOOKUP(G137,装备!$B:$E,3,FALSE),"")</f>
        <v/>
      </c>
      <c r="V137" s="35" t="str">
        <f>IFERROR(VLOOKUP(H137,装备!$B:$E,3,FALSE),"")</f>
        <v/>
      </c>
      <c r="W137" s="30" t="str">
        <f t="shared" si="41"/>
        <v/>
      </c>
      <c r="X137" s="30" t="str">
        <f t="shared" si="42"/>
        <v/>
      </c>
      <c r="Y137" s="30" t="str">
        <f t="shared" si="43"/>
        <v/>
      </c>
      <c r="Z137" s="30" t="str">
        <f t="shared" si="44"/>
        <v/>
      </c>
      <c r="AA137" s="30" t="str">
        <f t="shared" si="45"/>
        <v/>
      </c>
      <c r="AB137" s="30" t="e">
        <f t="shared" si="46"/>
        <v>#REF!</v>
      </c>
    </row>
    <row r="138" spans="1:28">
      <c r="A138" s="31" t="e">
        <f>装备!#REF!</f>
        <v>#REF!</v>
      </c>
      <c r="B138" s="31" t="e">
        <f>"'"&amp;装备!#REF!&amp;"'"</f>
        <v>#REF!</v>
      </c>
      <c r="C138" s="31" t="e">
        <f>装备!#REF!</f>
        <v>#REF!</v>
      </c>
      <c r="D138" s="31" t="e">
        <f>装备!#REF!</f>
        <v>#REF!</v>
      </c>
      <c r="E138" s="31" t="e">
        <f>装备!#REF!</f>
        <v>#REF!</v>
      </c>
      <c r="F138" s="31" t="e">
        <f>装备!#REF!</f>
        <v>#REF!</v>
      </c>
      <c r="G138" s="31" t="e">
        <f>装备!#REF!</f>
        <v>#REF!</v>
      </c>
      <c r="H138" s="31" t="e">
        <f>装备!#REF!</f>
        <v>#REF!</v>
      </c>
      <c r="I138" s="31" t="e">
        <f>IF(装备!#REF!=0,0,"'"&amp;装备!#REF!&amp;"'")</f>
        <v>#REF!</v>
      </c>
      <c r="J138" s="31" t="e">
        <f>IF(装备!#REF!=0,0,"'"&amp;装备!#REF!&amp;"'")</f>
        <v>#REF!</v>
      </c>
      <c r="K138" s="31" t="e">
        <f>IF(装备!#REF!=0,0,"'"&amp;装备!#REF!&amp;"'")</f>
        <v>#REF!</v>
      </c>
      <c r="L138" s="31" t="e">
        <f>IF(装备!#REF!=0,0,"'"&amp;装备!#REF!&amp;"'")</f>
        <v>#REF!</v>
      </c>
      <c r="M138" s="31" t="e">
        <f>IF(装备!#REF!=0,0,"'"&amp;装备!#REF!&amp;"'")</f>
        <v>#REF!</v>
      </c>
      <c r="N138" s="31" t="e">
        <f>IF(装备!#REF!=0,0,"'"&amp;装备!#REF!&amp;"'")</f>
        <v>#REF!</v>
      </c>
      <c r="O138" s="31" t="e">
        <f t="shared" si="40"/>
        <v>#REF!</v>
      </c>
      <c r="P138" s="31" t="str">
        <f t="shared" si="47"/>
        <v/>
      </c>
      <c r="Q138" s="35" t="str">
        <f>IFERROR(VLOOKUP(C138,装备!$B:$E,3,FALSE),"")</f>
        <v/>
      </c>
      <c r="R138" s="35" t="str">
        <f>IFERROR(VLOOKUP(D138,装备!$B:$E,3,FALSE),"")</f>
        <v/>
      </c>
      <c r="S138" s="35" t="str">
        <f>IFERROR(VLOOKUP(E138,装备!$B:$E,3,FALSE),"")</f>
        <v/>
      </c>
      <c r="T138" s="35" t="str">
        <f>IFERROR(VLOOKUP(F138,装备!$B:$E,3,FALSE),"")</f>
        <v/>
      </c>
      <c r="U138" s="35" t="str">
        <f>IFERROR(VLOOKUP(G138,装备!$B:$E,3,FALSE),"")</f>
        <v/>
      </c>
      <c r="V138" s="35" t="str">
        <f>IFERROR(VLOOKUP(H138,装备!$B:$E,3,FALSE),"")</f>
        <v/>
      </c>
      <c r="W138" s="30" t="str">
        <f t="shared" si="41"/>
        <v/>
      </c>
      <c r="X138" s="30" t="str">
        <f t="shared" si="42"/>
        <v/>
      </c>
      <c r="Y138" s="30" t="str">
        <f t="shared" si="43"/>
        <v/>
      </c>
      <c r="Z138" s="30" t="str">
        <f t="shared" si="44"/>
        <v/>
      </c>
      <c r="AA138" s="30" t="str">
        <f t="shared" si="45"/>
        <v/>
      </c>
      <c r="AB138" s="30" t="e">
        <f t="shared" si="46"/>
        <v>#REF!</v>
      </c>
    </row>
    <row r="139" spans="1:28">
      <c r="A139" s="31" t="e">
        <f>装备!#REF!</f>
        <v>#REF!</v>
      </c>
      <c r="B139" s="31" t="e">
        <f>"'"&amp;装备!#REF!&amp;"'"</f>
        <v>#REF!</v>
      </c>
      <c r="C139" s="31" t="e">
        <f>装备!#REF!</f>
        <v>#REF!</v>
      </c>
      <c r="D139" s="31" t="e">
        <f>装备!#REF!</f>
        <v>#REF!</v>
      </c>
      <c r="E139" s="31" t="e">
        <f>装备!#REF!</f>
        <v>#REF!</v>
      </c>
      <c r="F139" s="31" t="e">
        <f>装备!#REF!</f>
        <v>#REF!</v>
      </c>
      <c r="G139" s="31" t="e">
        <f>装备!#REF!</f>
        <v>#REF!</v>
      </c>
      <c r="H139" s="31" t="e">
        <f>装备!#REF!</f>
        <v>#REF!</v>
      </c>
      <c r="I139" s="31" t="e">
        <f>IF(装备!#REF!=0,0,"'"&amp;装备!#REF!&amp;"'")</f>
        <v>#REF!</v>
      </c>
      <c r="J139" s="31" t="e">
        <f>IF(装备!#REF!=0,0,"'"&amp;装备!#REF!&amp;"'")</f>
        <v>#REF!</v>
      </c>
      <c r="K139" s="31" t="e">
        <f>IF(装备!#REF!=0,0,"'"&amp;装备!#REF!&amp;"'")</f>
        <v>#REF!</v>
      </c>
      <c r="L139" s="31" t="e">
        <f>IF(装备!#REF!=0,0,"'"&amp;装备!#REF!&amp;"'")</f>
        <v>#REF!</v>
      </c>
      <c r="M139" s="31" t="e">
        <f>IF(装备!#REF!=0,0,"'"&amp;装备!#REF!&amp;"'")</f>
        <v>#REF!</v>
      </c>
      <c r="N139" s="31" t="e">
        <f>IF(装备!#REF!=0,0,"'"&amp;装备!#REF!&amp;"'")</f>
        <v>#REF!</v>
      </c>
      <c r="O139" s="31" t="e">
        <f t="shared" si="40"/>
        <v>#REF!</v>
      </c>
      <c r="P139" s="31" t="str">
        <f t="shared" si="47"/>
        <v/>
      </c>
      <c r="Q139" s="35" t="str">
        <f>IFERROR(VLOOKUP(C139,装备!$B:$E,3,FALSE),"")</f>
        <v/>
      </c>
      <c r="R139" s="35" t="str">
        <f>IFERROR(VLOOKUP(D139,装备!$B:$E,3,FALSE),"")</f>
        <v/>
      </c>
      <c r="S139" s="35" t="str">
        <f>IFERROR(VLOOKUP(E139,装备!$B:$E,3,FALSE),"")</f>
        <v/>
      </c>
      <c r="T139" s="35" t="str">
        <f>IFERROR(VLOOKUP(F139,装备!$B:$E,3,FALSE),"")</f>
        <v/>
      </c>
      <c r="U139" s="35" t="str">
        <f>IFERROR(VLOOKUP(G139,装备!$B:$E,3,FALSE),"")</f>
        <v/>
      </c>
      <c r="V139" s="35" t="str">
        <f>IFERROR(VLOOKUP(H139,装备!$B:$E,3,FALSE),"")</f>
        <v/>
      </c>
      <c r="W139" s="30" t="str">
        <f t="shared" si="41"/>
        <v/>
      </c>
      <c r="X139" s="30" t="str">
        <f t="shared" si="42"/>
        <v/>
      </c>
      <c r="Y139" s="30" t="str">
        <f t="shared" si="43"/>
        <v/>
      </c>
      <c r="Z139" s="30" t="str">
        <f t="shared" si="44"/>
        <v/>
      </c>
      <c r="AA139" s="30" t="str">
        <f t="shared" si="45"/>
        <v/>
      </c>
      <c r="AB139" s="30" t="e">
        <f t="shared" si="46"/>
        <v>#REF!</v>
      </c>
    </row>
    <row r="140" spans="1:28">
      <c r="A140" s="31" t="e">
        <f>装备!#REF!</f>
        <v>#REF!</v>
      </c>
      <c r="B140" s="31" t="e">
        <f>"'"&amp;装备!#REF!&amp;"'"</f>
        <v>#REF!</v>
      </c>
      <c r="C140" s="31" t="e">
        <f>装备!#REF!</f>
        <v>#REF!</v>
      </c>
      <c r="D140" s="31" t="e">
        <f>装备!#REF!</f>
        <v>#REF!</v>
      </c>
      <c r="E140" s="31" t="e">
        <f>装备!#REF!</f>
        <v>#REF!</v>
      </c>
      <c r="F140" s="31" t="e">
        <f>装备!#REF!</f>
        <v>#REF!</v>
      </c>
      <c r="G140" s="31" t="e">
        <f>装备!#REF!</f>
        <v>#REF!</v>
      </c>
      <c r="H140" s="31" t="e">
        <f>装备!#REF!</f>
        <v>#REF!</v>
      </c>
      <c r="I140" s="31" t="e">
        <f>IF(装备!#REF!=0,0,"'"&amp;装备!#REF!&amp;"'")</f>
        <v>#REF!</v>
      </c>
      <c r="J140" s="31" t="e">
        <f>IF(装备!#REF!=0,0,"'"&amp;装备!#REF!&amp;"'")</f>
        <v>#REF!</v>
      </c>
      <c r="K140" s="31" t="e">
        <f>IF(装备!#REF!=0,0,"'"&amp;装备!#REF!&amp;"'")</f>
        <v>#REF!</v>
      </c>
      <c r="L140" s="31" t="e">
        <f>IF(装备!#REF!=0,0,"'"&amp;装备!#REF!&amp;"'")</f>
        <v>#REF!</v>
      </c>
      <c r="M140" s="31" t="e">
        <f>IF(装备!#REF!=0,0,"'"&amp;装备!#REF!&amp;"'")</f>
        <v>#REF!</v>
      </c>
      <c r="N140" s="31" t="e">
        <f>IF(装备!#REF!=0,0,"'"&amp;装备!#REF!&amp;"'")</f>
        <v>#REF!</v>
      </c>
      <c r="O140" s="31" t="e">
        <f t="shared" si="40"/>
        <v>#REF!</v>
      </c>
      <c r="P140" s="31" t="str">
        <f t="shared" si="47"/>
        <v/>
      </c>
      <c r="Q140" s="35" t="str">
        <f>IFERROR(VLOOKUP(C140,装备!$B:$E,3,FALSE),"")</f>
        <v/>
      </c>
      <c r="R140" s="35" t="str">
        <f>IFERROR(VLOOKUP(D140,装备!$B:$E,3,FALSE),"")</f>
        <v/>
      </c>
      <c r="S140" s="35" t="str">
        <f>IFERROR(VLOOKUP(E140,装备!$B:$E,3,FALSE),"")</f>
        <v/>
      </c>
      <c r="T140" s="35" t="str">
        <f>IFERROR(VLOOKUP(F140,装备!$B:$E,3,FALSE),"")</f>
        <v/>
      </c>
      <c r="U140" s="35" t="str">
        <f>IFERROR(VLOOKUP(G140,装备!$B:$E,3,FALSE),"")</f>
        <v/>
      </c>
      <c r="V140" s="35" t="str">
        <f>IFERROR(VLOOKUP(H140,装备!$B:$E,3,FALSE),"")</f>
        <v/>
      </c>
      <c r="W140" s="30" t="str">
        <f t="shared" si="41"/>
        <v/>
      </c>
      <c r="X140" s="30" t="str">
        <f t="shared" si="42"/>
        <v/>
      </c>
      <c r="Y140" s="30" t="str">
        <f t="shared" si="43"/>
        <v/>
      </c>
      <c r="Z140" s="30" t="str">
        <f t="shared" si="44"/>
        <v/>
      </c>
      <c r="AA140" s="30" t="str">
        <f t="shared" si="45"/>
        <v/>
      </c>
      <c r="AB140" s="30" t="e">
        <f t="shared" si="46"/>
        <v>#REF!</v>
      </c>
    </row>
    <row r="141" spans="1:28">
      <c r="A141" s="31" t="e">
        <f>装备!#REF!</f>
        <v>#REF!</v>
      </c>
      <c r="B141" s="31" t="e">
        <f>"'"&amp;装备!#REF!&amp;"'"</f>
        <v>#REF!</v>
      </c>
      <c r="C141" s="31" t="e">
        <f>装备!#REF!</f>
        <v>#REF!</v>
      </c>
      <c r="D141" s="31" t="e">
        <f>装备!#REF!</f>
        <v>#REF!</v>
      </c>
      <c r="E141" s="31" t="e">
        <f>装备!#REF!</f>
        <v>#REF!</v>
      </c>
      <c r="F141" s="31" t="e">
        <f>装备!#REF!</f>
        <v>#REF!</v>
      </c>
      <c r="G141" s="31" t="e">
        <f>装备!#REF!</f>
        <v>#REF!</v>
      </c>
      <c r="H141" s="31" t="e">
        <f>装备!#REF!</f>
        <v>#REF!</v>
      </c>
      <c r="I141" s="31" t="e">
        <f>IF(装备!#REF!=0,0,"'"&amp;装备!#REF!&amp;"'")</f>
        <v>#REF!</v>
      </c>
      <c r="J141" s="31" t="e">
        <f>IF(装备!#REF!=0,0,"'"&amp;装备!#REF!&amp;"'")</f>
        <v>#REF!</v>
      </c>
      <c r="K141" s="31" t="e">
        <f>IF(装备!#REF!=0,0,"'"&amp;装备!#REF!&amp;"'")</f>
        <v>#REF!</v>
      </c>
      <c r="L141" s="31" t="e">
        <f>IF(装备!#REF!=0,0,"'"&amp;装备!#REF!&amp;"'")</f>
        <v>#REF!</v>
      </c>
      <c r="M141" s="31" t="e">
        <f>IF(装备!#REF!=0,0,"'"&amp;装备!#REF!&amp;"'")</f>
        <v>#REF!</v>
      </c>
      <c r="N141" s="31" t="e">
        <f>IF(装备!#REF!=0,0,"'"&amp;装备!#REF!&amp;"'")</f>
        <v>#REF!</v>
      </c>
      <c r="O141" s="31" t="e">
        <f t="shared" si="40"/>
        <v>#REF!</v>
      </c>
      <c r="P141" s="31" t="str">
        <f t="shared" si="47"/>
        <v/>
      </c>
      <c r="Q141" s="35" t="str">
        <f>IFERROR(VLOOKUP(C141,装备!$B:$E,3,FALSE),"")</f>
        <v/>
      </c>
      <c r="R141" s="35" t="str">
        <f>IFERROR(VLOOKUP(D141,装备!$B:$E,3,FALSE),"")</f>
        <v/>
      </c>
      <c r="S141" s="35" t="str">
        <f>IFERROR(VLOOKUP(E141,装备!$B:$E,3,FALSE),"")</f>
        <v/>
      </c>
      <c r="T141" s="35" t="str">
        <f>IFERROR(VLOOKUP(F141,装备!$B:$E,3,FALSE),"")</f>
        <v/>
      </c>
      <c r="U141" s="35" t="str">
        <f>IFERROR(VLOOKUP(G141,装备!$B:$E,3,FALSE),"")</f>
        <v/>
      </c>
      <c r="V141" s="35" t="str">
        <f>IFERROR(VLOOKUP(H141,装备!$B:$E,3,FALSE),"")</f>
        <v/>
      </c>
      <c r="W141" s="30" t="str">
        <f t="shared" si="41"/>
        <v/>
      </c>
      <c r="X141" s="30" t="str">
        <f t="shared" si="42"/>
        <v/>
      </c>
      <c r="Y141" s="30" t="str">
        <f t="shared" si="43"/>
        <v/>
      </c>
      <c r="Z141" s="30" t="str">
        <f t="shared" si="44"/>
        <v/>
      </c>
      <c r="AA141" s="30" t="str">
        <f t="shared" si="45"/>
        <v/>
      </c>
      <c r="AB141" s="30" t="e">
        <f t="shared" si="46"/>
        <v>#REF!</v>
      </c>
    </row>
    <row r="142" spans="1:28">
      <c r="A142" s="31" t="e">
        <f>装备!#REF!</f>
        <v>#REF!</v>
      </c>
      <c r="B142" s="31" t="e">
        <f>"'"&amp;装备!#REF!&amp;"'"</f>
        <v>#REF!</v>
      </c>
      <c r="C142" s="31" t="e">
        <f>装备!#REF!</f>
        <v>#REF!</v>
      </c>
      <c r="D142" s="31" t="e">
        <f>装备!#REF!</f>
        <v>#REF!</v>
      </c>
      <c r="E142" s="31" t="e">
        <f>装备!#REF!</f>
        <v>#REF!</v>
      </c>
      <c r="F142" s="31" t="e">
        <f>装备!#REF!</f>
        <v>#REF!</v>
      </c>
      <c r="G142" s="31" t="e">
        <f>装备!#REF!</f>
        <v>#REF!</v>
      </c>
      <c r="H142" s="31" t="e">
        <f>装备!#REF!</f>
        <v>#REF!</v>
      </c>
      <c r="I142" s="31" t="e">
        <f>IF(装备!#REF!=0,0,"'"&amp;装备!#REF!&amp;"'")</f>
        <v>#REF!</v>
      </c>
      <c r="J142" s="31" t="e">
        <f>IF(装备!#REF!=0,0,"'"&amp;装备!#REF!&amp;"'")</f>
        <v>#REF!</v>
      </c>
      <c r="K142" s="31" t="e">
        <f>IF(装备!#REF!=0,0,"'"&amp;装备!#REF!&amp;"'")</f>
        <v>#REF!</v>
      </c>
      <c r="L142" s="31" t="e">
        <f>IF(装备!#REF!=0,0,"'"&amp;装备!#REF!&amp;"'")</f>
        <v>#REF!</v>
      </c>
      <c r="M142" s="31" t="e">
        <f>IF(装备!#REF!=0,0,"'"&amp;装备!#REF!&amp;"'")</f>
        <v>#REF!</v>
      </c>
      <c r="N142" s="31" t="e">
        <f>IF(装备!#REF!=0,0,"'"&amp;装备!#REF!&amp;"'")</f>
        <v>#REF!</v>
      </c>
      <c r="O142" s="31" t="e">
        <f t="shared" si="40"/>
        <v>#REF!</v>
      </c>
      <c r="P142" s="31" t="str">
        <f t="shared" si="47"/>
        <v/>
      </c>
      <c r="Q142" s="35" t="str">
        <f>IFERROR(VLOOKUP(C142,装备!$B:$E,3,FALSE),"")</f>
        <v/>
      </c>
      <c r="R142" s="35" t="str">
        <f>IFERROR(VLOOKUP(D142,装备!$B:$E,3,FALSE),"")</f>
        <v/>
      </c>
      <c r="S142" s="35" t="str">
        <f>IFERROR(VLOOKUP(E142,装备!$B:$E,3,FALSE),"")</f>
        <v/>
      </c>
      <c r="T142" s="35" t="str">
        <f>IFERROR(VLOOKUP(F142,装备!$B:$E,3,FALSE),"")</f>
        <v/>
      </c>
      <c r="U142" s="35" t="str">
        <f>IFERROR(VLOOKUP(G142,装备!$B:$E,3,FALSE),"")</f>
        <v/>
      </c>
      <c r="V142" s="35" t="str">
        <f>IFERROR(VLOOKUP(H142,装备!$B:$E,3,FALSE),"")</f>
        <v/>
      </c>
      <c r="W142" s="30" t="str">
        <f t="shared" si="41"/>
        <v/>
      </c>
      <c r="X142" s="30" t="str">
        <f t="shared" si="42"/>
        <v/>
      </c>
      <c r="Y142" s="30" t="str">
        <f t="shared" si="43"/>
        <v/>
      </c>
      <c r="Z142" s="30" t="str">
        <f t="shared" si="44"/>
        <v/>
      </c>
      <c r="AA142" s="30" t="str">
        <f t="shared" si="45"/>
        <v/>
      </c>
      <c r="AB142" s="30" t="e">
        <f t="shared" si="46"/>
        <v>#REF!</v>
      </c>
    </row>
    <row r="143" spans="1:28">
      <c r="A143" s="31" t="e">
        <f>装备!#REF!</f>
        <v>#REF!</v>
      </c>
      <c r="B143" s="31" t="e">
        <f>"'"&amp;装备!#REF!&amp;"'"</f>
        <v>#REF!</v>
      </c>
      <c r="C143" s="31" t="e">
        <f>装备!#REF!</f>
        <v>#REF!</v>
      </c>
      <c r="D143" s="31" t="e">
        <f>装备!#REF!</f>
        <v>#REF!</v>
      </c>
      <c r="E143" s="31" t="e">
        <f>装备!#REF!</f>
        <v>#REF!</v>
      </c>
      <c r="F143" s="31" t="e">
        <f>装备!#REF!</f>
        <v>#REF!</v>
      </c>
      <c r="G143" s="31" t="e">
        <f>装备!#REF!</f>
        <v>#REF!</v>
      </c>
      <c r="H143" s="31" t="e">
        <f>装备!#REF!</f>
        <v>#REF!</v>
      </c>
      <c r="I143" s="31" t="e">
        <f>IF(装备!#REF!=0,0,"'"&amp;装备!#REF!&amp;"'")</f>
        <v>#REF!</v>
      </c>
      <c r="J143" s="31" t="e">
        <f>IF(装备!#REF!=0,0,"'"&amp;装备!#REF!&amp;"'")</f>
        <v>#REF!</v>
      </c>
      <c r="K143" s="31" t="e">
        <f>IF(装备!#REF!=0,0,"'"&amp;装备!#REF!&amp;"'")</f>
        <v>#REF!</v>
      </c>
      <c r="L143" s="31" t="e">
        <f>IF(装备!#REF!=0,0,"'"&amp;装备!#REF!&amp;"'")</f>
        <v>#REF!</v>
      </c>
      <c r="M143" s="31" t="e">
        <f>IF(装备!#REF!=0,0,"'"&amp;装备!#REF!&amp;"'")</f>
        <v>#REF!</v>
      </c>
      <c r="N143" s="31" t="e">
        <f>IF(装备!#REF!=0,0,"'"&amp;装备!#REF!&amp;"'")</f>
        <v>#REF!</v>
      </c>
      <c r="O143" s="31" t="e">
        <f t="shared" si="40"/>
        <v>#REF!</v>
      </c>
      <c r="P143" s="31" t="str">
        <f t="shared" si="47"/>
        <v/>
      </c>
      <c r="Q143" s="35" t="str">
        <f>IFERROR(VLOOKUP(C143,装备!$B:$E,3,FALSE),"")</f>
        <v/>
      </c>
      <c r="R143" s="35" t="str">
        <f>IFERROR(VLOOKUP(D143,装备!$B:$E,3,FALSE),"")</f>
        <v/>
      </c>
      <c r="S143" s="35" t="str">
        <f>IFERROR(VLOOKUP(E143,装备!$B:$E,3,FALSE),"")</f>
        <v/>
      </c>
      <c r="T143" s="35" t="str">
        <f>IFERROR(VLOOKUP(F143,装备!$B:$E,3,FALSE),"")</f>
        <v/>
      </c>
      <c r="U143" s="35" t="str">
        <f>IFERROR(VLOOKUP(G143,装备!$B:$E,3,FALSE),"")</f>
        <v/>
      </c>
      <c r="V143" s="35" t="str">
        <f>IFERROR(VLOOKUP(H143,装备!$B:$E,3,FALSE),"")</f>
        <v/>
      </c>
      <c r="W143" s="30" t="str">
        <f t="shared" si="41"/>
        <v/>
      </c>
      <c r="X143" s="30" t="str">
        <f t="shared" si="42"/>
        <v/>
      </c>
      <c r="Y143" s="30" t="str">
        <f t="shared" si="43"/>
        <v/>
      </c>
      <c r="Z143" s="30" t="str">
        <f t="shared" si="44"/>
        <v/>
      </c>
      <c r="AA143" s="30" t="str">
        <f t="shared" si="45"/>
        <v/>
      </c>
      <c r="AB143" s="30" t="e">
        <f t="shared" si="46"/>
        <v>#REF!</v>
      </c>
    </row>
    <row r="144" spans="1:28">
      <c r="A144" s="31" t="e">
        <f>装备!#REF!</f>
        <v>#REF!</v>
      </c>
      <c r="B144" s="31" t="e">
        <f>"'"&amp;装备!#REF!&amp;"'"</f>
        <v>#REF!</v>
      </c>
      <c r="C144" s="31" t="e">
        <f>装备!#REF!</f>
        <v>#REF!</v>
      </c>
      <c r="D144" s="31" t="e">
        <f>装备!#REF!</f>
        <v>#REF!</v>
      </c>
      <c r="E144" s="31" t="e">
        <f>装备!#REF!</f>
        <v>#REF!</v>
      </c>
      <c r="F144" s="31" t="e">
        <f>装备!#REF!</f>
        <v>#REF!</v>
      </c>
      <c r="G144" s="31" t="e">
        <f>装备!#REF!</f>
        <v>#REF!</v>
      </c>
      <c r="H144" s="31" t="e">
        <f>装备!#REF!</f>
        <v>#REF!</v>
      </c>
      <c r="I144" s="31" t="e">
        <f>IF(装备!#REF!=0,0,"'"&amp;装备!#REF!&amp;"'")</f>
        <v>#REF!</v>
      </c>
      <c r="J144" s="31" t="e">
        <f>IF(装备!#REF!=0,0,"'"&amp;装备!#REF!&amp;"'")</f>
        <v>#REF!</v>
      </c>
      <c r="K144" s="31" t="e">
        <f>IF(装备!#REF!=0,0,"'"&amp;装备!#REF!&amp;"'")</f>
        <v>#REF!</v>
      </c>
      <c r="L144" s="31" t="e">
        <f>IF(装备!#REF!=0,0,"'"&amp;装备!#REF!&amp;"'")</f>
        <v>#REF!</v>
      </c>
      <c r="M144" s="31" t="e">
        <f>IF(装备!#REF!=0,0,"'"&amp;装备!#REF!&amp;"'")</f>
        <v>#REF!</v>
      </c>
      <c r="N144" s="31" t="e">
        <f>IF(装备!#REF!=0,0,"'"&amp;装备!#REF!&amp;"'")</f>
        <v>#REF!</v>
      </c>
      <c r="O144" s="31" t="e">
        <f t="shared" si="40"/>
        <v>#REF!</v>
      </c>
      <c r="P144" s="31" t="str">
        <f t="shared" si="47"/>
        <v/>
      </c>
      <c r="Q144" s="35" t="str">
        <f>IFERROR(VLOOKUP(C144,装备!$B:$E,3,FALSE),"")</f>
        <v/>
      </c>
      <c r="R144" s="35" t="str">
        <f>IFERROR(VLOOKUP(D144,装备!$B:$E,3,FALSE),"")</f>
        <v/>
      </c>
      <c r="S144" s="35" t="str">
        <f>IFERROR(VLOOKUP(E144,装备!$B:$E,3,FALSE),"")</f>
        <v/>
      </c>
      <c r="T144" s="35" t="str">
        <f>IFERROR(VLOOKUP(F144,装备!$B:$E,3,FALSE),"")</f>
        <v/>
      </c>
      <c r="U144" s="35" t="str">
        <f>IFERROR(VLOOKUP(G144,装备!$B:$E,3,FALSE),"")</f>
        <v/>
      </c>
      <c r="V144" s="35" t="str">
        <f>IFERROR(VLOOKUP(H144,装备!$B:$E,3,FALSE),"")</f>
        <v/>
      </c>
      <c r="W144" s="30" t="str">
        <f t="shared" si="41"/>
        <v/>
      </c>
      <c r="X144" s="30" t="str">
        <f t="shared" si="42"/>
        <v/>
      </c>
      <c r="Y144" s="30" t="str">
        <f t="shared" si="43"/>
        <v/>
      </c>
      <c r="Z144" s="30" t="str">
        <f t="shared" si="44"/>
        <v/>
      </c>
      <c r="AA144" s="30" t="str">
        <f t="shared" si="45"/>
        <v/>
      </c>
      <c r="AB144" s="30" t="e">
        <f t="shared" si="46"/>
        <v>#REF!</v>
      </c>
    </row>
    <row r="145" spans="1:28">
      <c r="A145" s="31" t="e">
        <f>装备!#REF!</f>
        <v>#REF!</v>
      </c>
      <c r="B145" s="31" t="e">
        <f>"'"&amp;装备!#REF!&amp;"'"</f>
        <v>#REF!</v>
      </c>
      <c r="C145" s="31" t="e">
        <f>装备!#REF!</f>
        <v>#REF!</v>
      </c>
      <c r="D145" s="31" t="e">
        <f>装备!#REF!</f>
        <v>#REF!</v>
      </c>
      <c r="E145" s="31" t="e">
        <f>装备!#REF!</f>
        <v>#REF!</v>
      </c>
      <c r="F145" s="31" t="e">
        <f>装备!#REF!</f>
        <v>#REF!</v>
      </c>
      <c r="G145" s="31" t="e">
        <f>装备!#REF!</f>
        <v>#REF!</v>
      </c>
      <c r="H145" s="31" t="e">
        <f>装备!#REF!</f>
        <v>#REF!</v>
      </c>
      <c r="I145" s="31" t="e">
        <f>IF(装备!#REF!=0,0,"'"&amp;装备!#REF!&amp;"'")</f>
        <v>#REF!</v>
      </c>
      <c r="J145" s="31" t="e">
        <f>IF(装备!#REF!=0,0,"'"&amp;装备!#REF!&amp;"'")</f>
        <v>#REF!</v>
      </c>
      <c r="K145" s="31" t="e">
        <f>IF(装备!#REF!=0,0,"'"&amp;装备!#REF!&amp;"'")</f>
        <v>#REF!</v>
      </c>
      <c r="L145" s="31" t="e">
        <f>IF(装备!#REF!=0,0,"'"&amp;装备!#REF!&amp;"'")</f>
        <v>#REF!</v>
      </c>
      <c r="M145" s="31" t="e">
        <f>IF(装备!#REF!=0,0,"'"&amp;装备!#REF!&amp;"'")</f>
        <v>#REF!</v>
      </c>
      <c r="N145" s="31" t="e">
        <f>IF(装备!#REF!=0,0,"'"&amp;装备!#REF!&amp;"'")</f>
        <v>#REF!</v>
      </c>
      <c r="O145" s="31" t="e">
        <f t="shared" si="40"/>
        <v>#REF!</v>
      </c>
      <c r="P145" s="31" t="str">
        <f t="shared" si="47"/>
        <v/>
      </c>
      <c r="Q145" s="35" t="str">
        <f>IFERROR(VLOOKUP(C145,装备!$B:$E,3,FALSE),"")</f>
        <v/>
      </c>
      <c r="R145" s="35" t="str">
        <f>IFERROR(VLOOKUP(D145,装备!$B:$E,3,FALSE),"")</f>
        <v/>
      </c>
      <c r="S145" s="35" t="str">
        <f>IFERROR(VLOOKUP(E145,装备!$B:$E,3,FALSE),"")</f>
        <v/>
      </c>
      <c r="T145" s="35" t="str">
        <f>IFERROR(VLOOKUP(F145,装备!$B:$E,3,FALSE),"")</f>
        <v/>
      </c>
      <c r="U145" s="35" t="str">
        <f>IFERROR(VLOOKUP(G145,装备!$B:$E,3,FALSE),"")</f>
        <v/>
      </c>
      <c r="V145" s="35" t="str">
        <f>IFERROR(VLOOKUP(H145,装备!$B:$E,3,FALSE),"")</f>
        <v/>
      </c>
      <c r="W145" s="30" t="str">
        <f t="shared" si="41"/>
        <v/>
      </c>
      <c r="X145" s="30" t="str">
        <f t="shared" si="42"/>
        <v/>
      </c>
      <c r="Y145" s="30" t="str">
        <f t="shared" si="43"/>
        <v/>
      </c>
      <c r="Z145" s="30" t="str">
        <f t="shared" si="44"/>
        <v/>
      </c>
      <c r="AA145" s="30" t="str">
        <f t="shared" si="45"/>
        <v/>
      </c>
      <c r="AB145" s="30" t="e">
        <f t="shared" si="46"/>
        <v>#REF!</v>
      </c>
    </row>
    <row r="146" spans="1:28">
      <c r="A146" s="31" t="e">
        <f>装备!#REF!</f>
        <v>#REF!</v>
      </c>
      <c r="B146" s="31" t="e">
        <f>"'"&amp;装备!#REF!&amp;"'"</f>
        <v>#REF!</v>
      </c>
      <c r="C146" s="31" t="e">
        <f>装备!#REF!</f>
        <v>#REF!</v>
      </c>
      <c r="D146" s="31" t="e">
        <f>装备!#REF!</f>
        <v>#REF!</v>
      </c>
      <c r="E146" s="31" t="e">
        <f>装备!#REF!</f>
        <v>#REF!</v>
      </c>
      <c r="F146" s="31" t="e">
        <f>装备!#REF!</f>
        <v>#REF!</v>
      </c>
      <c r="G146" s="31" t="e">
        <f>装备!#REF!</f>
        <v>#REF!</v>
      </c>
      <c r="H146" s="31" t="e">
        <f>装备!#REF!</f>
        <v>#REF!</v>
      </c>
      <c r="I146" s="31" t="e">
        <f>IF(装备!#REF!=0,0,"'"&amp;装备!#REF!&amp;"'")</f>
        <v>#REF!</v>
      </c>
      <c r="J146" s="31" t="e">
        <f>IF(装备!#REF!=0,0,"'"&amp;装备!#REF!&amp;"'")</f>
        <v>#REF!</v>
      </c>
      <c r="K146" s="31" t="e">
        <f>IF(装备!#REF!=0,0,"'"&amp;装备!#REF!&amp;"'")</f>
        <v>#REF!</v>
      </c>
      <c r="L146" s="31" t="e">
        <f>IF(装备!#REF!=0,0,"'"&amp;装备!#REF!&amp;"'")</f>
        <v>#REF!</v>
      </c>
      <c r="M146" s="31" t="e">
        <f>IF(装备!#REF!=0,0,"'"&amp;装备!#REF!&amp;"'")</f>
        <v>#REF!</v>
      </c>
      <c r="N146" s="31" t="e">
        <f>IF(装备!#REF!=0,0,"'"&amp;装备!#REF!&amp;"'")</f>
        <v>#REF!</v>
      </c>
      <c r="O146" s="31" t="e">
        <f t="shared" si="40"/>
        <v>#REF!</v>
      </c>
      <c r="P146" s="31" t="str">
        <f t="shared" si="47"/>
        <v/>
      </c>
      <c r="Q146" s="35" t="str">
        <f>IFERROR(VLOOKUP(C146,装备!$B:$E,3,FALSE),"")</f>
        <v/>
      </c>
      <c r="R146" s="35" t="str">
        <f>IFERROR(VLOOKUP(D146,装备!$B:$E,3,FALSE),"")</f>
        <v/>
      </c>
      <c r="S146" s="35" t="str">
        <f>IFERROR(VLOOKUP(E146,装备!$B:$E,3,FALSE),"")</f>
        <v/>
      </c>
      <c r="T146" s="35" t="str">
        <f>IFERROR(VLOOKUP(F146,装备!$B:$E,3,FALSE),"")</f>
        <v/>
      </c>
      <c r="U146" s="35" t="str">
        <f>IFERROR(VLOOKUP(G146,装备!$B:$E,3,FALSE),"")</f>
        <v/>
      </c>
      <c r="V146" s="35" t="str">
        <f>IFERROR(VLOOKUP(H146,装备!$B:$E,3,FALSE),"")</f>
        <v/>
      </c>
      <c r="W146" s="30" t="str">
        <f t="shared" si="41"/>
        <v/>
      </c>
      <c r="X146" s="30" t="str">
        <f t="shared" si="42"/>
        <v/>
      </c>
      <c r="Y146" s="30" t="str">
        <f t="shared" si="43"/>
        <v/>
      </c>
      <c r="Z146" s="30" t="str">
        <f t="shared" si="44"/>
        <v/>
      </c>
      <c r="AA146" s="30" t="str">
        <f t="shared" si="45"/>
        <v/>
      </c>
      <c r="AB146" s="30" t="e">
        <f t="shared" si="46"/>
        <v>#REF!</v>
      </c>
    </row>
    <row r="147" spans="1:28">
      <c r="A147" s="31" t="e">
        <f>装备!#REF!</f>
        <v>#REF!</v>
      </c>
      <c r="B147" s="31" t="e">
        <f>"'"&amp;装备!#REF!&amp;"'"</f>
        <v>#REF!</v>
      </c>
      <c r="C147" s="31" t="e">
        <f>装备!#REF!</f>
        <v>#REF!</v>
      </c>
      <c r="D147" s="31" t="e">
        <f>装备!#REF!</f>
        <v>#REF!</v>
      </c>
      <c r="E147" s="31" t="e">
        <f>装备!#REF!</f>
        <v>#REF!</v>
      </c>
      <c r="F147" s="31" t="e">
        <f>装备!#REF!</f>
        <v>#REF!</v>
      </c>
      <c r="G147" s="31" t="e">
        <f>装备!#REF!</f>
        <v>#REF!</v>
      </c>
      <c r="H147" s="31" t="e">
        <f>装备!#REF!</f>
        <v>#REF!</v>
      </c>
      <c r="I147" s="31" t="e">
        <f>IF(装备!#REF!=0,0,"'"&amp;装备!#REF!&amp;"'")</f>
        <v>#REF!</v>
      </c>
      <c r="J147" s="31" t="e">
        <f>IF(装备!#REF!=0,0,"'"&amp;装备!#REF!&amp;"'")</f>
        <v>#REF!</v>
      </c>
      <c r="K147" s="31" t="e">
        <f>IF(装备!#REF!=0,0,"'"&amp;装备!#REF!&amp;"'")</f>
        <v>#REF!</v>
      </c>
      <c r="L147" s="31" t="e">
        <f>IF(装备!#REF!=0,0,"'"&amp;装备!#REF!&amp;"'")</f>
        <v>#REF!</v>
      </c>
      <c r="M147" s="31" t="e">
        <f>IF(装备!#REF!=0,0,"'"&amp;装备!#REF!&amp;"'")</f>
        <v>#REF!</v>
      </c>
      <c r="N147" s="31" t="e">
        <f>IF(装备!#REF!=0,0,"'"&amp;装备!#REF!&amp;"'")</f>
        <v>#REF!</v>
      </c>
      <c r="O147" s="31" t="e">
        <f t="shared" si="40"/>
        <v>#REF!</v>
      </c>
      <c r="P147" s="31" t="str">
        <f t="shared" si="47"/>
        <v/>
      </c>
      <c r="Q147" s="35" t="str">
        <f>IFERROR(VLOOKUP(C147,装备!$B:$E,3,FALSE),"")</f>
        <v/>
      </c>
      <c r="R147" s="35" t="str">
        <f>IFERROR(VLOOKUP(D147,装备!$B:$E,3,FALSE),"")</f>
        <v/>
      </c>
      <c r="S147" s="35" t="str">
        <f>IFERROR(VLOOKUP(E147,装备!$B:$E,3,FALSE),"")</f>
        <v/>
      </c>
      <c r="T147" s="35" t="str">
        <f>IFERROR(VLOOKUP(F147,装备!$B:$E,3,FALSE),"")</f>
        <v/>
      </c>
      <c r="U147" s="35" t="str">
        <f>IFERROR(VLOOKUP(G147,装备!$B:$E,3,FALSE),"")</f>
        <v/>
      </c>
      <c r="V147" s="35" t="str">
        <f>IFERROR(VLOOKUP(H147,装备!$B:$E,3,FALSE),"")</f>
        <v/>
      </c>
      <c r="W147" s="30" t="str">
        <f t="shared" si="41"/>
        <v/>
      </c>
      <c r="X147" s="30" t="str">
        <f t="shared" si="42"/>
        <v/>
      </c>
      <c r="Y147" s="30" t="str">
        <f t="shared" si="43"/>
        <v/>
      </c>
      <c r="Z147" s="30" t="str">
        <f t="shared" si="44"/>
        <v/>
      </c>
      <c r="AA147" s="30" t="str">
        <f t="shared" si="45"/>
        <v/>
      </c>
      <c r="AB147" s="30" t="e">
        <f t="shared" si="46"/>
        <v>#REF!</v>
      </c>
    </row>
    <row r="148" spans="1:28">
      <c r="A148" s="31" t="e">
        <f>装备!#REF!</f>
        <v>#REF!</v>
      </c>
      <c r="B148" s="31" t="e">
        <f>"'"&amp;装备!#REF!&amp;"'"</f>
        <v>#REF!</v>
      </c>
      <c r="C148" s="31" t="e">
        <f>装备!#REF!</f>
        <v>#REF!</v>
      </c>
      <c r="D148" s="31" t="e">
        <f>装备!#REF!</f>
        <v>#REF!</v>
      </c>
      <c r="E148" s="31" t="e">
        <f>装备!#REF!</f>
        <v>#REF!</v>
      </c>
      <c r="F148" s="31" t="e">
        <f>装备!#REF!</f>
        <v>#REF!</v>
      </c>
      <c r="G148" s="31" t="e">
        <f>装备!#REF!</f>
        <v>#REF!</v>
      </c>
      <c r="H148" s="31" t="e">
        <f>装备!#REF!</f>
        <v>#REF!</v>
      </c>
      <c r="I148" s="31" t="e">
        <f>IF(装备!#REF!=0,0,"'"&amp;装备!#REF!&amp;"'")</f>
        <v>#REF!</v>
      </c>
      <c r="J148" s="31" t="e">
        <f>IF(装备!#REF!=0,0,"'"&amp;装备!#REF!&amp;"'")</f>
        <v>#REF!</v>
      </c>
      <c r="K148" s="31" t="e">
        <f>IF(装备!#REF!=0,0,"'"&amp;装备!#REF!&amp;"'")</f>
        <v>#REF!</v>
      </c>
      <c r="L148" s="31" t="e">
        <f>IF(装备!#REF!=0,0,"'"&amp;装备!#REF!&amp;"'")</f>
        <v>#REF!</v>
      </c>
      <c r="M148" s="31" t="e">
        <f>IF(装备!#REF!=0,0,"'"&amp;装备!#REF!&amp;"'")</f>
        <v>#REF!</v>
      </c>
      <c r="N148" s="31" t="e">
        <f>IF(装备!#REF!=0,0,"'"&amp;装备!#REF!&amp;"'")</f>
        <v>#REF!</v>
      </c>
      <c r="O148" s="31" t="e">
        <f t="shared" si="40"/>
        <v>#REF!</v>
      </c>
      <c r="P148" s="31" t="str">
        <f t="shared" si="47"/>
        <v/>
      </c>
      <c r="Q148" s="35" t="str">
        <f>IFERROR(VLOOKUP(C148,装备!$B:$E,3,FALSE),"")</f>
        <v/>
      </c>
      <c r="R148" s="35" t="str">
        <f>IFERROR(VLOOKUP(D148,装备!$B:$E,3,FALSE),"")</f>
        <v/>
      </c>
      <c r="S148" s="35" t="str">
        <f>IFERROR(VLOOKUP(E148,装备!$B:$E,3,FALSE),"")</f>
        <v/>
      </c>
      <c r="T148" s="35" t="str">
        <f>IFERROR(VLOOKUP(F148,装备!$B:$E,3,FALSE),"")</f>
        <v/>
      </c>
      <c r="U148" s="35" t="str">
        <f>IFERROR(VLOOKUP(G148,装备!$B:$E,3,FALSE),"")</f>
        <v/>
      </c>
      <c r="V148" s="35" t="str">
        <f>IFERROR(VLOOKUP(H148,装备!$B:$E,3,FALSE),"")</f>
        <v/>
      </c>
      <c r="W148" s="30" t="str">
        <f t="shared" si="41"/>
        <v/>
      </c>
      <c r="X148" s="30" t="str">
        <f t="shared" si="42"/>
        <v/>
      </c>
      <c r="Y148" s="30" t="str">
        <f t="shared" si="43"/>
        <v/>
      </c>
      <c r="Z148" s="30" t="str">
        <f t="shared" si="44"/>
        <v/>
      </c>
      <c r="AA148" s="30" t="str">
        <f t="shared" si="45"/>
        <v/>
      </c>
      <c r="AB148" s="30" t="e">
        <f t="shared" si="46"/>
        <v>#REF!</v>
      </c>
    </row>
    <row r="149" spans="1:28">
      <c r="A149" s="31" t="e">
        <f>装备!#REF!</f>
        <v>#REF!</v>
      </c>
      <c r="B149" s="31" t="e">
        <f>"'"&amp;装备!#REF!&amp;"'"</f>
        <v>#REF!</v>
      </c>
      <c r="C149" s="31" t="e">
        <f>装备!#REF!</f>
        <v>#REF!</v>
      </c>
      <c r="D149" s="31" t="e">
        <f>装备!#REF!</f>
        <v>#REF!</v>
      </c>
      <c r="E149" s="31" t="e">
        <f>装备!#REF!</f>
        <v>#REF!</v>
      </c>
      <c r="F149" s="31" t="e">
        <f>装备!#REF!</f>
        <v>#REF!</v>
      </c>
      <c r="G149" s="31" t="e">
        <f>装备!#REF!</f>
        <v>#REF!</v>
      </c>
      <c r="H149" s="31" t="e">
        <f>装备!#REF!</f>
        <v>#REF!</v>
      </c>
      <c r="I149" s="31" t="e">
        <f>IF(装备!#REF!=0,0,"'"&amp;装备!#REF!&amp;"'")</f>
        <v>#REF!</v>
      </c>
      <c r="J149" s="31" t="e">
        <f>IF(装备!#REF!=0,0,"'"&amp;装备!#REF!&amp;"'")</f>
        <v>#REF!</v>
      </c>
      <c r="K149" s="31" t="e">
        <f>IF(装备!#REF!=0,0,"'"&amp;装备!#REF!&amp;"'")</f>
        <v>#REF!</v>
      </c>
      <c r="L149" s="31" t="e">
        <f>IF(装备!#REF!=0,0,"'"&amp;装备!#REF!&amp;"'")</f>
        <v>#REF!</v>
      </c>
      <c r="M149" s="31" t="e">
        <f>IF(装备!#REF!=0,0,"'"&amp;装备!#REF!&amp;"'")</f>
        <v>#REF!</v>
      </c>
      <c r="N149" s="31" t="e">
        <f>IF(装备!#REF!=0,0,"'"&amp;装备!#REF!&amp;"'")</f>
        <v>#REF!</v>
      </c>
      <c r="O149" s="31" t="e">
        <f t="shared" si="40"/>
        <v>#REF!</v>
      </c>
      <c r="P149" s="31" t="str">
        <f t="shared" si="47"/>
        <v/>
      </c>
      <c r="Q149" s="35" t="str">
        <f>IFERROR(VLOOKUP(C149,装备!$B:$E,3,FALSE),"")</f>
        <v/>
      </c>
      <c r="R149" s="35" t="str">
        <f>IFERROR(VLOOKUP(D149,装备!$B:$E,3,FALSE),"")</f>
        <v/>
      </c>
      <c r="S149" s="35" t="str">
        <f>IFERROR(VLOOKUP(E149,装备!$B:$E,3,FALSE),"")</f>
        <v/>
      </c>
      <c r="T149" s="35" t="str">
        <f>IFERROR(VLOOKUP(F149,装备!$B:$E,3,FALSE),"")</f>
        <v/>
      </c>
      <c r="U149" s="35" t="str">
        <f>IFERROR(VLOOKUP(G149,装备!$B:$E,3,FALSE),"")</f>
        <v/>
      </c>
      <c r="V149" s="35" t="str">
        <f>IFERROR(VLOOKUP(H149,装备!$B:$E,3,FALSE),"")</f>
        <v/>
      </c>
      <c r="W149" s="30" t="str">
        <f t="shared" si="41"/>
        <v/>
      </c>
      <c r="X149" s="30" t="str">
        <f t="shared" si="42"/>
        <v/>
      </c>
      <c r="Y149" s="30" t="str">
        <f t="shared" si="43"/>
        <v/>
      </c>
      <c r="Z149" s="30" t="str">
        <f t="shared" si="44"/>
        <v/>
      </c>
      <c r="AA149" s="30" t="str">
        <f t="shared" si="45"/>
        <v/>
      </c>
      <c r="AB149" s="30" t="e">
        <f t="shared" si="46"/>
        <v>#REF!</v>
      </c>
    </row>
    <row r="150" spans="1:28">
      <c r="A150" s="31" t="e">
        <f>装备!#REF!</f>
        <v>#REF!</v>
      </c>
      <c r="B150" s="31" t="e">
        <f>"'"&amp;装备!#REF!&amp;"'"</f>
        <v>#REF!</v>
      </c>
      <c r="C150" s="31" t="e">
        <f>装备!#REF!</f>
        <v>#REF!</v>
      </c>
      <c r="D150" s="31" t="e">
        <f>装备!#REF!</f>
        <v>#REF!</v>
      </c>
      <c r="E150" s="31" t="e">
        <f>装备!#REF!</f>
        <v>#REF!</v>
      </c>
      <c r="F150" s="31" t="e">
        <f>装备!#REF!</f>
        <v>#REF!</v>
      </c>
      <c r="G150" s="31" t="e">
        <f>装备!#REF!</f>
        <v>#REF!</v>
      </c>
      <c r="H150" s="31" t="e">
        <f>装备!#REF!</f>
        <v>#REF!</v>
      </c>
      <c r="I150" s="31" t="e">
        <f>IF(装备!#REF!=0,0,"'"&amp;装备!#REF!&amp;"'")</f>
        <v>#REF!</v>
      </c>
      <c r="J150" s="31" t="e">
        <f>IF(装备!#REF!=0,0,"'"&amp;装备!#REF!&amp;"'")</f>
        <v>#REF!</v>
      </c>
      <c r="K150" s="31" t="e">
        <f>IF(装备!#REF!=0,0,"'"&amp;装备!#REF!&amp;"'")</f>
        <v>#REF!</v>
      </c>
      <c r="L150" s="31" t="e">
        <f>IF(装备!#REF!=0,0,"'"&amp;装备!#REF!&amp;"'")</f>
        <v>#REF!</v>
      </c>
      <c r="M150" s="31" t="e">
        <f>IF(装备!#REF!=0,0,"'"&amp;装备!#REF!&amp;"'")</f>
        <v>#REF!</v>
      </c>
      <c r="N150" s="31" t="e">
        <f>IF(装备!#REF!=0,0,"'"&amp;装备!#REF!&amp;"'")</f>
        <v>#REF!</v>
      </c>
      <c r="O150" s="31" t="e">
        <f t="shared" si="40"/>
        <v>#REF!</v>
      </c>
      <c r="P150" s="31" t="str">
        <f t="shared" si="47"/>
        <v/>
      </c>
      <c r="Q150" s="35" t="str">
        <f>IFERROR(VLOOKUP(C150,装备!$B:$E,3,FALSE),"")</f>
        <v/>
      </c>
      <c r="R150" s="35" t="str">
        <f>IFERROR(VLOOKUP(D150,装备!$B:$E,3,FALSE),"")</f>
        <v/>
      </c>
      <c r="S150" s="35" t="str">
        <f>IFERROR(VLOOKUP(E150,装备!$B:$E,3,FALSE),"")</f>
        <v/>
      </c>
      <c r="T150" s="35" t="str">
        <f>IFERROR(VLOOKUP(F150,装备!$B:$E,3,FALSE),"")</f>
        <v/>
      </c>
      <c r="U150" s="35" t="str">
        <f>IFERROR(VLOOKUP(G150,装备!$B:$E,3,FALSE),"")</f>
        <v/>
      </c>
      <c r="V150" s="35" t="str">
        <f>IFERROR(VLOOKUP(H150,装备!$B:$E,3,FALSE),"")</f>
        <v/>
      </c>
      <c r="W150" s="30" t="str">
        <f t="shared" si="41"/>
        <v/>
      </c>
      <c r="X150" s="30" t="str">
        <f t="shared" si="42"/>
        <v/>
      </c>
      <c r="Y150" s="30" t="str">
        <f t="shared" si="43"/>
        <v/>
      </c>
      <c r="Z150" s="30" t="str">
        <f t="shared" si="44"/>
        <v/>
      </c>
      <c r="AA150" s="30" t="str">
        <f t="shared" si="45"/>
        <v/>
      </c>
      <c r="AB150" s="30" t="e">
        <f t="shared" si="46"/>
        <v>#REF!</v>
      </c>
    </row>
    <row r="151" spans="1:28">
      <c r="A151" s="31" t="e">
        <f>装备!#REF!</f>
        <v>#REF!</v>
      </c>
      <c r="B151" s="31" t="e">
        <f>"'"&amp;装备!#REF!&amp;"'"</f>
        <v>#REF!</v>
      </c>
      <c r="C151" s="31" t="e">
        <f>装备!#REF!</f>
        <v>#REF!</v>
      </c>
      <c r="D151" s="31" t="e">
        <f>装备!#REF!</f>
        <v>#REF!</v>
      </c>
      <c r="E151" s="31" t="e">
        <f>装备!#REF!</f>
        <v>#REF!</v>
      </c>
      <c r="F151" s="31" t="e">
        <f>装备!#REF!</f>
        <v>#REF!</v>
      </c>
      <c r="G151" s="31" t="e">
        <f>装备!#REF!</f>
        <v>#REF!</v>
      </c>
      <c r="H151" s="31" t="e">
        <f>装备!#REF!</f>
        <v>#REF!</v>
      </c>
      <c r="I151" s="31" t="e">
        <f>IF(装备!#REF!=0,0,"'"&amp;装备!#REF!&amp;"'")</f>
        <v>#REF!</v>
      </c>
      <c r="J151" s="31" t="e">
        <f>IF(装备!#REF!=0,0,"'"&amp;装备!#REF!&amp;"'")</f>
        <v>#REF!</v>
      </c>
      <c r="K151" s="31" t="e">
        <f>IF(装备!#REF!=0,0,"'"&amp;装备!#REF!&amp;"'")</f>
        <v>#REF!</v>
      </c>
      <c r="L151" s="31" t="e">
        <f>IF(装备!#REF!=0,0,"'"&amp;装备!#REF!&amp;"'")</f>
        <v>#REF!</v>
      </c>
      <c r="M151" s="31" t="e">
        <f>IF(装备!#REF!=0,0,"'"&amp;装备!#REF!&amp;"'")</f>
        <v>#REF!</v>
      </c>
      <c r="N151" s="31" t="e">
        <f>IF(装备!#REF!=0,0,"'"&amp;装备!#REF!&amp;"'")</f>
        <v>#REF!</v>
      </c>
      <c r="O151" s="31" t="e">
        <f t="shared" si="40"/>
        <v>#REF!</v>
      </c>
      <c r="P151" s="31" t="str">
        <f t="shared" si="47"/>
        <v/>
      </c>
      <c r="Q151" s="35" t="str">
        <f>IFERROR(VLOOKUP(C151,装备!$B:$E,3,FALSE),"")</f>
        <v/>
      </c>
      <c r="R151" s="35" t="str">
        <f>IFERROR(VLOOKUP(D151,装备!$B:$E,3,FALSE),"")</f>
        <v/>
      </c>
      <c r="S151" s="35" t="str">
        <f>IFERROR(VLOOKUP(E151,装备!$B:$E,3,FALSE),"")</f>
        <v/>
      </c>
      <c r="T151" s="35" t="str">
        <f>IFERROR(VLOOKUP(F151,装备!$B:$E,3,FALSE),"")</f>
        <v/>
      </c>
      <c r="U151" s="35" t="str">
        <f>IFERROR(VLOOKUP(G151,装备!$B:$E,3,FALSE),"")</f>
        <v/>
      </c>
      <c r="V151" s="35" t="str">
        <f>IFERROR(VLOOKUP(H151,装备!$B:$E,3,FALSE),"")</f>
        <v/>
      </c>
      <c r="W151" s="30" t="str">
        <f t="shared" si="41"/>
        <v/>
      </c>
      <c r="X151" s="30" t="str">
        <f t="shared" si="42"/>
        <v/>
      </c>
      <c r="Y151" s="30" t="str">
        <f t="shared" si="43"/>
        <v/>
      </c>
      <c r="Z151" s="30" t="str">
        <f t="shared" si="44"/>
        <v/>
      </c>
      <c r="AA151" s="30" t="str">
        <f t="shared" si="45"/>
        <v/>
      </c>
      <c r="AB151" s="30" t="e">
        <f t="shared" si="46"/>
        <v>#REF!</v>
      </c>
    </row>
    <row r="152" spans="1:28">
      <c r="A152" s="31" t="e">
        <f>装备!#REF!</f>
        <v>#REF!</v>
      </c>
      <c r="B152" s="31" t="e">
        <f>"'"&amp;装备!#REF!&amp;"'"</f>
        <v>#REF!</v>
      </c>
      <c r="C152" s="31" t="e">
        <f>装备!#REF!</f>
        <v>#REF!</v>
      </c>
      <c r="D152" s="31" t="e">
        <f>装备!#REF!</f>
        <v>#REF!</v>
      </c>
      <c r="E152" s="31" t="e">
        <f>装备!#REF!</f>
        <v>#REF!</v>
      </c>
      <c r="F152" s="31" t="e">
        <f>装备!#REF!</f>
        <v>#REF!</v>
      </c>
      <c r="G152" s="31" t="e">
        <f>装备!#REF!</f>
        <v>#REF!</v>
      </c>
      <c r="H152" s="31" t="e">
        <f>装备!#REF!</f>
        <v>#REF!</v>
      </c>
      <c r="I152" s="31" t="e">
        <f>IF(装备!#REF!=0,0,"'"&amp;装备!#REF!&amp;"'")</f>
        <v>#REF!</v>
      </c>
      <c r="J152" s="31" t="e">
        <f>IF(装备!#REF!=0,0,"'"&amp;装备!#REF!&amp;"'")</f>
        <v>#REF!</v>
      </c>
      <c r="K152" s="31" t="e">
        <f>IF(装备!#REF!=0,0,"'"&amp;装备!#REF!&amp;"'")</f>
        <v>#REF!</v>
      </c>
      <c r="L152" s="31" t="e">
        <f>IF(装备!#REF!=0,0,"'"&amp;装备!#REF!&amp;"'")</f>
        <v>#REF!</v>
      </c>
      <c r="M152" s="31" t="e">
        <f>IF(装备!#REF!=0,0,"'"&amp;装备!#REF!&amp;"'")</f>
        <v>#REF!</v>
      </c>
      <c r="N152" s="31" t="e">
        <f>IF(装备!#REF!=0,0,"'"&amp;装备!#REF!&amp;"'")</f>
        <v>#REF!</v>
      </c>
      <c r="O152" s="31" t="e">
        <f t="shared" si="40"/>
        <v>#REF!</v>
      </c>
      <c r="P152" s="31" t="str">
        <f t="shared" ref="P152:P183" si="48">IFERROR(VLOOKUP(A152,Q:AB,12,FALSE),IFERROR(VLOOKUP(A152,R:AB,11,FALSE),IFERROR(VLOOKUP(A152,S:AB,10,FALSE),"")))</f>
        <v/>
      </c>
      <c r="Q152" s="35" t="str">
        <f>IFERROR(VLOOKUP(C152,装备!$B:$E,3,FALSE),"")</f>
        <v/>
      </c>
      <c r="R152" s="35" t="str">
        <f>IFERROR(VLOOKUP(D152,装备!$B:$E,3,FALSE),"")</f>
        <v/>
      </c>
      <c r="S152" s="35" t="str">
        <f>IFERROR(VLOOKUP(E152,装备!$B:$E,3,FALSE),"")</f>
        <v/>
      </c>
      <c r="T152" s="35" t="str">
        <f>IFERROR(VLOOKUP(F152,装备!$B:$E,3,FALSE),"")</f>
        <v/>
      </c>
      <c r="U152" s="35" t="str">
        <f>IFERROR(VLOOKUP(G152,装备!$B:$E,3,FALSE),"")</f>
        <v/>
      </c>
      <c r="V152" s="35" t="str">
        <f>IFERROR(VLOOKUP(H152,装备!$B:$E,3,FALSE),"")</f>
        <v/>
      </c>
      <c r="W152" s="30" t="str">
        <f t="shared" si="41"/>
        <v/>
      </c>
      <c r="X152" s="30" t="str">
        <f t="shared" si="42"/>
        <v/>
      </c>
      <c r="Y152" s="30" t="str">
        <f t="shared" si="43"/>
        <v/>
      </c>
      <c r="Z152" s="30" t="str">
        <f t="shared" si="44"/>
        <v/>
      </c>
      <c r="AA152" s="30" t="str">
        <f t="shared" si="45"/>
        <v/>
      </c>
      <c r="AB152" s="30" t="e">
        <f t="shared" si="46"/>
        <v>#REF!</v>
      </c>
    </row>
    <row r="153" spans="1:28">
      <c r="A153" s="31" t="e">
        <f>装备!#REF!</f>
        <v>#REF!</v>
      </c>
      <c r="B153" s="31" t="e">
        <f>"'"&amp;装备!#REF!&amp;"'"</f>
        <v>#REF!</v>
      </c>
      <c r="C153" s="31" t="e">
        <f>装备!#REF!</f>
        <v>#REF!</v>
      </c>
      <c r="D153" s="31" t="e">
        <f>装备!#REF!</f>
        <v>#REF!</v>
      </c>
      <c r="E153" s="31" t="e">
        <f>装备!#REF!</f>
        <v>#REF!</v>
      </c>
      <c r="F153" s="31" t="e">
        <f>装备!#REF!</f>
        <v>#REF!</v>
      </c>
      <c r="G153" s="31" t="e">
        <f>装备!#REF!</f>
        <v>#REF!</v>
      </c>
      <c r="H153" s="31" t="e">
        <f>装备!#REF!</f>
        <v>#REF!</v>
      </c>
      <c r="I153" s="31" t="e">
        <f>IF(装备!#REF!=0,0,"'"&amp;装备!#REF!&amp;"'")</f>
        <v>#REF!</v>
      </c>
      <c r="J153" s="31" t="e">
        <f>IF(装备!#REF!=0,0,"'"&amp;装备!#REF!&amp;"'")</f>
        <v>#REF!</v>
      </c>
      <c r="K153" s="31" t="e">
        <f>IF(装备!#REF!=0,0,"'"&amp;装备!#REF!&amp;"'")</f>
        <v>#REF!</v>
      </c>
      <c r="L153" s="31" t="e">
        <f>IF(装备!#REF!=0,0,"'"&amp;装备!#REF!&amp;"'")</f>
        <v>#REF!</v>
      </c>
      <c r="M153" s="31" t="e">
        <f>IF(装备!#REF!=0,0,"'"&amp;装备!#REF!&amp;"'")</f>
        <v>#REF!</v>
      </c>
      <c r="N153" s="31" t="e">
        <f>IF(装备!#REF!=0,0,"'"&amp;装备!#REF!&amp;"'")</f>
        <v>#REF!</v>
      </c>
      <c r="O153" s="31" t="e">
        <f t="shared" si="40"/>
        <v>#REF!</v>
      </c>
      <c r="P153" s="31" t="str">
        <f t="shared" si="48"/>
        <v/>
      </c>
      <c r="Q153" s="35" t="str">
        <f>IFERROR(VLOOKUP(C153,装备!$B:$E,3,FALSE),"")</f>
        <v/>
      </c>
      <c r="R153" s="35" t="str">
        <f>IFERROR(VLOOKUP(D153,装备!$B:$E,3,FALSE),"")</f>
        <v/>
      </c>
      <c r="S153" s="35" t="str">
        <f>IFERROR(VLOOKUP(E153,装备!$B:$E,3,FALSE),"")</f>
        <v/>
      </c>
      <c r="T153" s="35" t="str">
        <f>IFERROR(VLOOKUP(F153,装备!$B:$E,3,FALSE),"")</f>
        <v/>
      </c>
      <c r="U153" s="35" t="str">
        <f>IFERROR(VLOOKUP(G153,装备!$B:$E,3,FALSE),"")</f>
        <v/>
      </c>
      <c r="V153" s="35" t="str">
        <f>IFERROR(VLOOKUP(H153,装备!$B:$E,3,FALSE),"")</f>
        <v/>
      </c>
      <c r="W153" s="30" t="str">
        <f t="shared" si="41"/>
        <v/>
      </c>
      <c r="X153" s="30" t="str">
        <f t="shared" si="42"/>
        <v/>
      </c>
      <c r="Y153" s="30" t="str">
        <f t="shared" si="43"/>
        <v/>
      </c>
      <c r="Z153" s="30" t="str">
        <f t="shared" si="44"/>
        <v/>
      </c>
      <c r="AA153" s="30" t="str">
        <f t="shared" si="45"/>
        <v/>
      </c>
      <c r="AB153" s="30" t="e">
        <f t="shared" si="46"/>
        <v>#REF!</v>
      </c>
    </row>
    <row r="154" spans="1:28">
      <c r="A154" s="31" t="e">
        <f>装备!#REF!</f>
        <v>#REF!</v>
      </c>
      <c r="B154" s="31" t="e">
        <f>"'"&amp;装备!#REF!&amp;"'"</f>
        <v>#REF!</v>
      </c>
      <c r="C154" s="31" t="e">
        <f>装备!#REF!</f>
        <v>#REF!</v>
      </c>
      <c r="D154" s="31" t="e">
        <f>装备!#REF!</f>
        <v>#REF!</v>
      </c>
      <c r="E154" s="31" t="e">
        <f>装备!#REF!</f>
        <v>#REF!</v>
      </c>
      <c r="F154" s="31" t="e">
        <f>装备!#REF!</f>
        <v>#REF!</v>
      </c>
      <c r="G154" s="31" t="e">
        <f>装备!#REF!</f>
        <v>#REF!</v>
      </c>
      <c r="H154" s="31" t="e">
        <f>装备!#REF!</f>
        <v>#REF!</v>
      </c>
      <c r="I154" s="31" t="e">
        <f>IF(装备!#REF!=0,0,"'"&amp;装备!#REF!&amp;"'")</f>
        <v>#REF!</v>
      </c>
      <c r="J154" s="31" t="e">
        <f>IF(装备!#REF!=0,0,"'"&amp;装备!#REF!&amp;"'")</f>
        <v>#REF!</v>
      </c>
      <c r="K154" s="31" t="e">
        <f>IF(装备!#REF!=0,0,"'"&amp;装备!#REF!&amp;"'")</f>
        <v>#REF!</v>
      </c>
      <c r="L154" s="31" t="e">
        <f>IF(装备!#REF!=0,0,"'"&amp;装备!#REF!&amp;"'")</f>
        <v>#REF!</v>
      </c>
      <c r="M154" s="31" t="e">
        <f>IF(装备!#REF!=0,0,"'"&amp;装备!#REF!&amp;"'")</f>
        <v>#REF!</v>
      </c>
      <c r="N154" s="31" t="e">
        <f>IF(装备!#REF!=0,0,"'"&amp;装备!#REF!&amp;"'")</f>
        <v>#REF!</v>
      </c>
      <c r="O154" s="31" t="e">
        <f t="shared" ref="O154:O186" si="49">IF(I154=0,"","AddItemFormula("&amp;I154&amp;","&amp;J154&amp;","&amp;K154&amp;","&amp;L154&amp;","&amp;M154&amp;","&amp;N154&amp;","&amp;B154&amp;")")</f>
        <v>#REF!</v>
      </c>
      <c r="P154" s="31" t="str">
        <f t="shared" si="48"/>
        <v/>
      </c>
      <c r="Q154" s="35" t="str">
        <f>IFERROR(VLOOKUP(C154,装备!$B:$E,3,FALSE),"")</f>
        <v/>
      </c>
      <c r="R154" s="35" t="str">
        <f>IFERROR(VLOOKUP(D154,装备!$B:$E,3,FALSE),"")</f>
        <v/>
      </c>
      <c r="S154" s="35" t="str">
        <f>IFERROR(VLOOKUP(E154,装备!$B:$E,3,FALSE),"")</f>
        <v/>
      </c>
      <c r="T154" s="35" t="str">
        <f>IFERROR(VLOOKUP(F154,装备!$B:$E,3,FALSE),"")</f>
        <v/>
      </c>
      <c r="U154" s="35" t="str">
        <f>IFERROR(VLOOKUP(G154,装备!$B:$E,3,FALSE),"")</f>
        <v/>
      </c>
      <c r="V154" s="35" t="str">
        <f>IFERROR(VLOOKUP(H154,装备!$B:$E,3,FALSE),"")</f>
        <v/>
      </c>
      <c r="W154" s="30" t="str">
        <f t="shared" ref="W154:W186" si="50">IF(R154="","","+"&amp;R154)</f>
        <v/>
      </c>
      <c r="X154" s="30" t="str">
        <f t="shared" ref="X154:X186" si="51">IF(S154="","","+"&amp;S154)</f>
        <v/>
      </c>
      <c r="Y154" s="30" t="str">
        <f t="shared" ref="Y154:Y186" si="52">IF(T154="","","+"&amp;T154)</f>
        <v/>
      </c>
      <c r="Z154" s="30" t="str">
        <f t="shared" ref="Z154:Z186" si="53">IF(U154="","","+"&amp;U154)</f>
        <v/>
      </c>
      <c r="AA154" s="30" t="str">
        <f t="shared" ref="AA154:AA186" si="54">IF(V154="","","+"&amp;V154)</f>
        <v/>
      </c>
      <c r="AB154" s="30" t="e">
        <f t="shared" ref="AB154:AB186" si="55">"|n"&amp;Q154&amp;W154&amp;X154&amp;Y154&amp;Z154&amp;AA154&amp;"="&amp;A154</f>
        <v>#REF!</v>
      </c>
    </row>
    <row r="155" spans="1:28">
      <c r="A155" s="31" t="e">
        <f>装备!#REF!</f>
        <v>#REF!</v>
      </c>
      <c r="B155" s="31" t="e">
        <f>"'"&amp;装备!#REF!&amp;"'"</f>
        <v>#REF!</v>
      </c>
      <c r="C155" s="31" t="e">
        <f>装备!#REF!</f>
        <v>#REF!</v>
      </c>
      <c r="D155" s="31" t="e">
        <f>装备!#REF!</f>
        <v>#REF!</v>
      </c>
      <c r="E155" s="31" t="e">
        <f>装备!#REF!</f>
        <v>#REF!</v>
      </c>
      <c r="F155" s="31" t="e">
        <f>装备!#REF!</f>
        <v>#REF!</v>
      </c>
      <c r="G155" s="31" t="e">
        <f>装备!#REF!</f>
        <v>#REF!</v>
      </c>
      <c r="H155" s="31" t="e">
        <f>装备!#REF!</f>
        <v>#REF!</v>
      </c>
      <c r="I155" s="31" t="e">
        <f>IF(装备!#REF!=0,0,"'"&amp;装备!#REF!&amp;"'")</f>
        <v>#REF!</v>
      </c>
      <c r="J155" s="31" t="e">
        <f>IF(装备!#REF!=0,0,"'"&amp;装备!#REF!&amp;"'")</f>
        <v>#REF!</v>
      </c>
      <c r="K155" s="31" t="e">
        <f>IF(装备!#REF!=0,0,"'"&amp;装备!#REF!&amp;"'")</f>
        <v>#REF!</v>
      </c>
      <c r="L155" s="31" t="e">
        <f>IF(装备!#REF!=0,0,"'"&amp;装备!#REF!&amp;"'")</f>
        <v>#REF!</v>
      </c>
      <c r="M155" s="31" t="e">
        <f>IF(装备!#REF!=0,0,"'"&amp;装备!#REF!&amp;"'")</f>
        <v>#REF!</v>
      </c>
      <c r="N155" s="31" t="e">
        <f>IF(装备!#REF!=0,0,"'"&amp;装备!#REF!&amp;"'")</f>
        <v>#REF!</v>
      </c>
      <c r="O155" s="31" t="e">
        <f t="shared" si="49"/>
        <v>#REF!</v>
      </c>
      <c r="P155" s="31" t="str">
        <f t="shared" si="48"/>
        <v/>
      </c>
      <c r="Q155" s="35" t="str">
        <f>IFERROR(VLOOKUP(C155,装备!$B:$E,3,FALSE),"")</f>
        <v/>
      </c>
      <c r="R155" s="35" t="str">
        <f>IFERROR(VLOOKUP(D155,装备!$B:$E,3,FALSE),"")</f>
        <v/>
      </c>
      <c r="S155" s="35" t="str">
        <f>IFERROR(VLOOKUP(E155,装备!$B:$E,3,FALSE),"")</f>
        <v/>
      </c>
      <c r="T155" s="35" t="str">
        <f>IFERROR(VLOOKUP(F155,装备!$B:$E,3,FALSE),"")</f>
        <v/>
      </c>
      <c r="U155" s="35" t="str">
        <f>IFERROR(VLOOKUP(G155,装备!$B:$E,3,FALSE),"")</f>
        <v/>
      </c>
      <c r="V155" s="35" t="str">
        <f>IFERROR(VLOOKUP(H155,装备!$B:$E,3,FALSE),"")</f>
        <v/>
      </c>
      <c r="W155" s="30" t="str">
        <f t="shared" si="50"/>
        <v/>
      </c>
      <c r="X155" s="30" t="str">
        <f t="shared" si="51"/>
        <v/>
      </c>
      <c r="Y155" s="30" t="str">
        <f t="shared" si="52"/>
        <v/>
      </c>
      <c r="Z155" s="30" t="str">
        <f t="shared" si="53"/>
        <v/>
      </c>
      <c r="AA155" s="30" t="str">
        <f t="shared" si="54"/>
        <v/>
      </c>
      <c r="AB155" s="30" t="e">
        <f t="shared" si="55"/>
        <v>#REF!</v>
      </c>
    </row>
    <row r="156" spans="1:28">
      <c r="A156" s="31" t="e">
        <f>装备!#REF!</f>
        <v>#REF!</v>
      </c>
      <c r="B156" s="31" t="e">
        <f>"'"&amp;装备!#REF!&amp;"'"</f>
        <v>#REF!</v>
      </c>
      <c r="C156" s="31" t="e">
        <f>装备!#REF!</f>
        <v>#REF!</v>
      </c>
      <c r="D156" s="31" t="e">
        <f>装备!#REF!</f>
        <v>#REF!</v>
      </c>
      <c r="E156" s="31" t="e">
        <f>装备!#REF!</f>
        <v>#REF!</v>
      </c>
      <c r="F156" s="31" t="e">
        <f>装备!#REF!</f>
        <v>#REF!</v>
      </c>
      <c r="G156" s="31" t="e">
        <f>装备!#REF!</f>
        <v>#REF!</v>
      </c>
      <c r="H156" s="31" t="e">
        <f>装备!#REF!</f>
        <v>#REF!</v>
      </c>
      <c r="I156" s="31" t="e">
        <f>IF(装备!#REF!=0,0,"'"&amp;装备!#REF!&amp;"'")</f>
        <v>#REF!</v>
      </c>
      <c r="J156" s="31" t="e">
        <f>IF(装备!#REF!=0,0,"'"&amp;装备!#REF!&amp;"'")</f>
        <v>#REF!</v>
      </c>
      <c r="K156" s="31" t="e">
        <f>IF(装备!#REF!=0,0,"'"&amp;装备!#REF!&amp;"'")</f>
        <v>#REF!</v>
      </c>
      <c r="L156" s="31" t="e">
        <f>IF(装备!#REF!=0,0,"'"&amp;装备!#REF!&amp;"'")</f>
        <v>#REF!</v>
      </c>
      <c r="M156" s="31" t="e">
        <f>IF(装备!#REF!=0,0,"'"&amp;装备!#REF!&amp;"'")</f>
        <v>#REF!</v>
      </c>
      <c r="N156" s="31" t="e">
        <f>IF(装备!#REF!=0,0,"'"&amp;装备!#REF!&amp;"'")</f>
        <v>#REF!</v>
      </c>
      <c r="O156" s="31" t="e">
        <f t="shared" si="49"/>
        <v>#REF!</v>
      </c>
      <c r="P156" s="31" t="str">
        <f t="shared" si="48"/>
        <v/>
      </c>
      <c r="Q156" s="35" t="str">
        <f>IFERROR(VLOOKUP(C156,装备!$B:$E,3,FALSE),"")</f>
        <v/>
      </c>
      <c r="R156" s="35" t="str">
        <f>IFERROR(VLOOKUP(D156,装备!$B:$E,3,FALSE),"")</f>
        <v/>
      </c>
      <c r="S156" s="35" t="str">
        <f>IFERROR(VLOOKUP(E156,装备!$B:$E,3,FALSE),"")</f>
        <v/>
      </c>
      <c r="T156" s="35" t="str">
        <f>IFERROR(VLOOKUP(F156,装备!$B:$E,3,FALSE),"")</f>
        <v/>
      </c>
      <c r="U156" s="35" t="str">
        <f>IFERROR(VLOOKUP(G156,装备!$B:$E,3,FALSE),"")</f>
        <v/>
      </c>
      <c r="V156" s="35" t="str">
        <f>IFERROR(VLOOKUP(H156,装备!$B:$E,3,FALSE),"")</f>
        <v/>
      </c>
      <c r="W156" s="30" t="str">
        <f t="shared" si="50"/>
        <v/>
      </c>
      <c r="X156" s="30" t="str">
        <f t="shared" si="51"/>
        <v/>
      </c>
      <c r="Y156" s="30" t="str">
        <f t="shared" si="52"/>
        <v/>
      </c>
      <c r="Z156" s="30" t="str">
        <f t="shared" si="53"/>
        <v/>
      </c>
      <c r="AA156" s="30" t="str">
        <f t="shared" si="54"/>
        <v/>
      </c>
      <c r="AB156" s="30" t="e">
        <f t="shared" si="55"/>
        <v>#REF!</v>
      </c>
    </row>
    <row r="157" spans="1:28">
      <c r="A157" s="31" t="e">
        <f>装备!#REF!</f>
        <v>#REF!</v>
      </c>
      <c r="B157" s="31" t="e">
        <f>"'"&amp;装备!#REF!&amp;"'"</f>
        <v>#REF!</v>
      </c>
      <c r="C157" s="31" t="e">
        <f>装备!#REF!</f>
        <v>#REF!</v>
      </c>
      <c r="D157" s="31" t="e">
        <f>装备!#REF!</f>
        <v>#REF!</v>
      </c>
      <c r="E157" s="31" t="e">
        <f>装备!#REF!</f>
        <v>#REF!</v>
      </c>
      <c r="F157" s="31" t="e">
        <f>装备!#REF!</f>
        <v>#REF!</v>
      </c>
      <c r="G157" s="31" t="e">
        <f>装备!#REF!</f>
        <v>#REF!</v>
      </c>
      <c r="H157" s="31" t="e">
        <f>装备!#REF!</f>
        <v>#REF!</v>
      </c>
      <c r="I157" s="31" t="e">
        <f>IF(装备!#REF!=0,0,"'"&amp;装备!#REF!&amp;"'")</f>
        <v>#REF!</v>
      </c>
      <c r="J157" s="31" t="e">
        <f>IF(装备!#REF!=0,0,"'"&amp;装备!#REF!&amp;"'")</f>
        <v>#REF!</v>
      </c>
      <c r="K157" s="31" t="e">
        <f>IF(装备!#REF!=0,0,"'"&amp;装备!#REF!&amp;"'")</f>
        <v>#REF!</v>
      </c>
      <c r="L157" s="31" t="e">
        <f>IF(装备!#REF!=0,0,"'"&amp;装备!#REF!&amp;"'")</f>
        <v>#REF!</v>
      </c>
      <c r="M157" s="31" t="e">
        <f>IF(装备!#REF!=0,0,"'"&amp;装备!#REF!&amp;"'")</f>
        <v>#REF!</v>
      </c>
      <c r="N157" s="31" t="e">
        <f>IF(装备!#REF!=0,0,"'"&amp;装备!#REF!&amp;"'")</f>
        <v>#REF!</v>
      </c>
      <c r="O157" s="31" t="e">
        <f t="shared" si="49"/>
        <v>#REF!</v>
      </c>
      <c r="P157" s="31" t="str">
        <f t="shared" si="48"/>
        <v/>
      </c>
      <c r="Q157" s="35" t="str">
        <f>IFERROR(VLOOKUP(C157,装备!$B:$E,3,FALSE),"")</f>
        <v/>
      </c>
      <c r="R157" s="35" t="str">
        <f>IFERROR(VLOOKUP(D157,装备!$B:$E,3,FALSE),"")</f>
        <v/>
      </c>
      <c r="S157" s="35" t="str">
        <f>IFERROR(VLOOKUP(E157,装备!$B:$E,3,FALSE),"")</f>
        <v/>
      </c>
      <c r="T157" s="35" t="str">
        <f>IFERROR(VLOOKUP(F157,装备!$B:$E,3,FALSE),"")</f>
        <v/>
      </c>
      <c r="U157" s="35" t="str">
        <f>IFERROR(VLOOKUP(G157,装备!$B:$E,3,FALSE),"")</f>
        <v/>
      </c>
      <c r="V157" s="35" t="str">
        <f>IFERROR(VLOOKUP(H157,装备!$B:$E,3,FALSE),"")</f>
        <v/>
      </c>
      <c r="W157" s="30" t="str">
        <f t="shared" si="50"/>
        <v/>
      </c>
      <c r="X157" s="30" t="str">
        <f t="shared" si="51"/>
        <v/>
      </c>
      <c r="Y157" s="30" t="str">
        <f t="shared" si="52"/>
        <v/>
      </c>
      <c r="Z157" s="30" t="str">
        <f t="shared" si="53"/>
        <v/>
      </c>
      <c r="AA157" s="30" t="str">
        <f t="shared" si="54"/>
        <v/>
      </c>
      <c r="AB157" s="30" t="e">
        <f t="shared" si="55"/>
        <v>#REF!</v>
      </c>
    </row>
    <row r="158" spans="1:28">
      <c r="A158" s="31" t="e">
        <f>装备!#REF!</f>
        <v>#REF!</v>
      </c>
      <c r="B158" s="31" t="e">
        <f>"'"&amp;装备!#REF!&amp;"'"</f>
        <v>#REF!</v>
      </c>
      <c r="C158" s="31" t="e">
        <f>装备!#REF!</f>
        <v>#REF!</v>
      </c>
      <c r="D158" s="31" t="e">
        <f>装备!#REF!</f>
        <v>#REF!</v>
      </c>
      <c r="E158" s="31" t="e">
        <f>装备!#REF!</f>
        <v>#REF!</v>
      </c>
      <c r="F158" s="31" t="e">
        <f>装备!#REF!</f>
        <v>#REF!</v>
      </c>
      <c r="G158" s="31" t="e">
        <f>装备!#REF!</f>
        <v>#REF!</v>
      </c>
      <c r="H158" s="31" t="e">
        <f>装备!#REF!</f>
        <v>#REF!</v>
      </c>
      <c r="I158" s="31" t="e">
        <f>IF(装备!#REF!=0,0,"'"&amp;装备!#REF!&amp;"'")</f>
        <v>#REF!</v>
      </c>
      <c r="J158" s="31" t="e">
        <f>IF(装备!#REF!=0,0,"'"&amp;装备!#REF!&amp;"'")</f>
        <v>#REF!</v>
      </c>
      <c r="K158" s="31" t="e">
        <f>IF(装备!#REF!=0,0,"'"&amp;装备!#REF!&amp;"'")</f>
        <v>#REF!</v>
      </c>
      <c r="L158" s="31" t="e">
        <f>IF(装备!#REF!=0,0,"'"&amp;装备!#REF!&amp;"'")</f>
        <v>#REF!</v>
      </c>
      <c r="M158" s="31" t="e">
        <f>IF(装备!#REF!=0,0,"'"&amp;装备!#REF!&amp;"'")</f>
        <v>#REF!</v>
      </c>
      <c r="N158" s="31" t="e">
        <f>IF(装备!#REF!=0,0,"'"&amp;装备!#REF!&amp;"'")</f>
        <v>#REF!</v>
      </c>
      <c r="O158" s="31" t="e">
        <f t="shared" si="49"/>
        <v>#REF!</v>
      </c>
      <c r="P158" s="31" t="str">
        <f t="shared" si="48"/>
        <v/>
      </c>
      <c r="Q158" s="35" t="str">
        <f>IFERROR(VLOOKUP(C158,装备!$B:$E,3,FALSE),"")</f>
        <v/>
      </c>
      <c r="R158" s="35" t="str">
        <f>IFERROR(VLOOKUP(D158,装备!$B:$E,3,FALSE),"")</f>
        <v/>
      </c>
      <c r="S158" s="35" t="str">
        <f>IFERROR(VLOOKUP(E158,装备!$B:$E,3,FALSE),"")</f>
        <v/>
      </c>
      <c r="T158" s="35" t="str">
        <f>IFERROR(VLOOKUP(F158,装备!$B:$E,3,FALSE),"")</f>
        <v/>
      </c>
      <c r="U158" s="35" t="str">
        <f>IFERROR(VLOOKUP(G158,装备!$B:$E,3,FALSE),"")</f>
        <v/>
      </c>
      <c r="V158" s="35" t="str">
        <f>IFERROR(VLOOKUP(H158,装备!$B:$E,3,FALSE),"")</f>
        <v/>
      </c>
      <c r="W158" s="30" t="str">
        <f t="shared" si="50"/>
        <v/>
      </c>
      <c r="X158" s="30" t="str">
        <f t="shared" si="51"/>
        <v/>
      </c>
      <c r="Y158" s="30" t="str">
        <f t="shared" si="52"/>
        <v/>
      </c>
      <c r="Z158" s="30" t="str">
        <f t="shared" si="53"/>
        <v/>
      </c>
      <c r="AA158" s="30" t="str">
        <f t="shared" si="54"/>
        <v/>
      </c>
      <c r="AB158" s="30" t="e">
        <f t="shared" si="55"/>
        <v>#REF!</v>
      </c>
    </row>
    <row r="159" spans="1:28">
      <c r="A159" s="31" t="e">
        <f>装备!#REF!</f>
        <v>#REF!</v>
      </c>
      <c r="B159" s="31" t="e">
        <f>"'"&amp;装备!#REF!&amp;"'"</f>
        <v>#REF!</v>
      </c>
      <c r="C159" s="31" t="e">
        <f>装备!#REF!</f>
        <v>#REF!</v>
      </c>
      <c r="D159" s="31" t="e">
        <f>装备!#REF!</f>
        <v>#REF!</v>
      </c>
      <c r="E159" s="31" t="e">
        <f>装备!#REF!</f>
        <v>#REF!</v>
      </c>
      <c r="F159" s="31" t="e">
        <f>装备!#REF!</f>
        <v>#REF!</v>
      </c>
      <c r="G159" s="31" t="e">
        <f>装备!#REF!</f>
        <v>#REF!</v>
      </c>
      <c r="H159" s="31" t="e">
        <f>装备!#REF!</f>
        <v>#REF!</v>
      </c>
      <c r="I159" s="31" t="e">
        <f>IF(装备!#REF!=0,0,"'"&amp;装备!#REF!&amp;"'")</f>
        <v>#REF!</v>
      </c>
      <c r="J159" s="31" t="e">
        <f>IF(装备!#REF!=0,0,"'"&amp;装备!#REF!&amp;"'")</f>
        <v>#REF!</v>
      </c>
      <c r="K159" s="31" t="e">
        <f>IF(装备!#REF!=0,0,"'"&amp;装备!#REF!&amp;"'")</f>
        <v>#REF!</v>
      </c>
      <c r="L159" s="31" t="e">
        <f>IF(装备!#REF!=0,0,"'"&amp;装备!#REF!&amp;"'")</f>
        <v>#REF!</v>
      </c>
      <c r="M159" s="31" t="e">
        <f>IF(装备!#REF!=0,0,"'"&amp;装备!#REF!&amp;"'")</f>
        <v>#REF!</v>
      </c>
      <c r="N159" s="31" t="e">
        <f>IF(装备!#REF!=0,0,"'"&amp;装备!#REF!&amp;"'")</f>
        <v>#REF!</v>
      </c>
      <c r="O159" s="31" t="e">
        <f t="shared" si="49"/>
        <v>#REF!</v>
      </c>
      <c r="P159" s="31" t="str">
        <f t="shared" si="48"/>
        <v/>
      </c>
      <c r="Q159" s="35" t="str">
        <f>IFERROR(VLOOKUP(C159,装备!$B:$E,3,FALSE),"")</f>
        <v/>
      </c>
      <c r="R159" s="35" t="str">
        <f>IFERROR(VLOOKUP(D159,装备!$B:$E,3,FALSE),"")</f>
        <v/>
      </c>
      <c r="S159" s="35" t="str">
        <f>IFERROR(VLOOKUP(E159,装备!$B:$E,3,FALSE),"")</f>
        <v/>
      </c>
      <c r="T159" s="35" t="str">
        <f>IFERROR(VLOOKUP(F159,装备!$B:$E,3,FALSE),"")</f>
        <v/>
      </c>
      <c r="U159" s="35" t="str">
        <f>IFERROR(VLOOKUP(G159,装备!$B:$E,3,FALSE),"")</f>
        <v/>
      </c>
      <c r="V159" s="35" t="str">
        <f>IFERROR(VLOOKUP(H159,装备!$B:$E,3,FALSE),"")</f>
        <v/>
      </c>
      <c r="W159" s="30" t="str">
        <f t="shared" si="50"/>
        <v/>
      </c>
      <c r="X159" s="30" t="str">
        <f t="shared" si="51"/>
        <v/>
      </c>
      <c r="Y159" s="30" t="str">
        <f t="shared" si="52"/>
        <v/>
      </c>
      <c r="Z159" s="30" t="str">
        <f t="shared" si="53"/>
        <v/>
      </c>
      <c r="AA159" s="30" t="str">
        <f t="shared" si="54"/>
        <v/>
      </c>
      <c r="AB159" s="30" t="e">
        <f t="shared" si="55"/>
        <v>#REF!</v>
      </c>
    </row>
    <row r="160" spans="1:28">
      <c r="A160" s="31" t="e">
        <f>装备!#REF!</f>
        <v>#REF!</v>
      </c>
      <c r="B160" s="31" t="e">
        <f>"'"&amp;装备!#REF!&amp;"'"</f>
        <v>#REF!</v>
      </c>
      <c r="C160" s="31" t="e">
        <f>装备!#REF!</f>
        <v>#REF!</v>
      </c>
      <c r="D160" s="31" t="e">
        <f>装备!#REF!</f>
        <v>#REF!</v>
      </c>
      <c r="E160" s="31" t="e">
        <f>装备!#REF!</f>
        <v>#REF!</v>
      </c>
      <c r="F160" s="31" t="e">
        <f>装备!#REF!</f>
        <v>#REF!</v>
      </c>
      <c r="G160" s="31" t="e">
        <f>装备!#REF!</f>
        <v>#REF!</v>
      </c>
      <c r="H160" s="31" t="e">
        <f>装备!#REF!</f>
        <v>#REF!</v>
      </c>
      <c r="I160" s="31" t="e">
        <f>IF(装备!#REF!=0,0,"'"&amp;装备!#REF!&amp;"'")</f>
        <v>#REF!</v>
      </c>
      <c r="J160" s="31" t="e">
        <f>IF(装备!#REF!=0,0,"'"&amp;装备!#REF!&amp;"'")</f>
        <v>#REF!</v>
      </c>
      <c r="K160" s="31" t="e">
        <f>IF(装备!#REF!=0,0,"'"&amp;装备!#REF!&amp;"'")</f>
        <v>#REF!</v>
      </c>
      <c r="L160" s="31" t="e">
        <f>IF(装备!#REF!=0,0,"'"&amp;装备!#REF!&amp;"'")</f>
        <v>#REF!</v>
      </c>
      <c r="M160" s="31" t="e">
        <f>IF(装备!#REF!=0,0,"'"&amp;装备!#REF!&amp;"'")</f>
        <v>#REF!</v>
      </c>
      <c r="N160" s="31" t="e">
        <f>IF(装备!#REF!=0,0,"'"&amp;装备!#REF!&amp;"'")</f>
        <v>#REF!</v>
      </c>
      <c r="O160" s="31" t="e">
        <f t="shared" si="49"/>
        <v>#REF!</v>
      </c>
      <c r="P160" s="31" t="str">
        <f t="shared" si="48"/>
        <v/>
      </c>
      <c r="Q160" s="35" t="str">
        <f>IFERROR(VLOOKUP(C160,装备!$B:$E,3,FALSE),"")</f>
        <v/>
      </c>
      <c r="R160" s="35" t="str">
        <f>IFERROR(VLOOKUP(D160,装备!$B:$E,3,FALSE),"")</f>
        <v/>
      </c>
      <c r="S160" s="35" t="str">
        <f>IFERROR(VLOOKUP(E160,装备!$B:$E,3,FALSE),"")</f>
        <v/>
      </c>
      <c r="T160" s="35" t="str">
        <f>IFERROR(VLOOKUP(F160,装备!$B:$E,3,FALSE),"")</f>
        <v/>
      </c>
      <c r="U160" s="35" t="str">
        <f>IFERROR(VLOOKUP(G160,装备!$B:$E,3,FALSE),"")</f>
        <v/>
      </c>
      <c r="V160" s="35" t="str">
        <f>IFERROR(VLOOKUP(H160,装备!$B:$E,3,FALSE),"")</f>
        <v/>
      </c>
      <c r="W160" s="30" t="str">
        <f t="shared" si="50"/>
        <v/>
      </c>
      <c r="X160" s="30" t="str">
        <f t="shared" si="51"/>
        <v/>
      </c>
      <c r="Y160" s="30" t="str">
        <f t="shared" si="52"/>
        <v/>
      </c>
      <c r="Z160" s="30" t="str">
        <f t="shared" si="53"/>
        <v/>
      </c>
      <c r="AA160" s="30" t="str">
        <f t="shared" si="54"/>
        <v/>
      </c>
      <c r="AB160" s="30" t="e">
        <f t="shared" si="55"/>
        <v>#REF!</v>
      </c>
    </row>
    <row r="161" spans="1:28">
      <c r="A161" s="31" t="e">
        <f>装备!#REF!</f>
        <v>#REF!</v>
      </c>
      <c r="B161" s="31" t="e">
        <f>"'"&amp;装备!#REF!&amp;"'"</f>
        <v>#REF!</v>
      </c>
      <c r="C161" s="31" t="e">
        <f>装备!#REF!</f>
        <v>#REF!</v>
      </c>
      <c r="D161" s="31" t="e">
        <f>装备!#REF!</f>
        <v>#REF!</v>
      </c>
      <c r="E161" s="31" t="e">
        <f>装备!#REF!</f>
        <v>#REF!</v>
      </c>
      <c r="F161" s="31" t="e">
        <f>装备!#REF!</f>
        <v>#REF!</v>
      </c>
      <c r="G161" s="31" t="e">
        <f>装备!#REF!</f>
        <v>#REF!</v>
      </c>
      <c r="H161" s="31" t="e">
        <f>装备!#REF!</f>
        <v>#REF!</v>
      </c>
      <c r="I161" s="31" t="e">
        <f>IF(装备!#REF!=0,0,"'"&amp;装备!#REF!&amp;"'")</f>
        <v>#REF!</v>
      </c>
      <c r="J161" s="31" t="e">
        <f>IF(装备!#REF!=0,0,"'"&amp;装备!#REF!&amp;"'")</f>
        <v>#REF!</v>
      </c>
      <c r="K161" s="31" t="e">
        <f>IF(装备!#REF!=0,0,"'"&amp;装备!#REF!&amp;"'")</f>
        <v>#REF!</v>
      </c>
      <c r="L161" s="31" t="e">
        <f>IF(装备!#REF!=0,0,"'"&amp;装备!#REF!&amp;"'")</f>
        <v>#REF!</v>
      </c>
      <c r="M161" s="31" t="e">
        <f>IF(装备!#REF!=0,0,"'"&amp;装备!#REF!&amp;"'")</f>
        <v>#REF!</v>
      </c>
      <c r="N161" s="31" t="e">
        <f>IF(装备!#REF!=0,0,"'"&amp;装备!#REF!&amp;"'")</f>
        <v>#REF!</v>
      </c>
      <c r="O161" s="31" t="e">
        <f t="shared" si="49"/>
        <v>#REF!</v>
      </c>
      <c r="P161" s="31" t="str">
        <f t="shared" si="48"/>
        <v/>
      </c>
      <c r="Q161" s="35" t="str">
        <f>IFERROR(VLOOKUP(C161,装备!$B:$E,3,FALSE),"")</f>
        <v/>
      </c>
      <c r="R161" s="35" t="str">
        <f>IFERROR(VLOOKUP(D161,装备!$B:$E,3,FALSE),"")</f>
        <v/>
      </c>
      <c r="S161" s="35" t="str">
        <f>IFERROR(VLOOKUP(E161,装备!$B:$E,3,FALSE),"")</f>
        <v/>
      </c>
      <c r="T161" s="35" t="str">
        <f>IFERROR(VLOOKUP(F161,装备!$B:$E,3,FALSE),"")</f>
        <v/>
      </c>
      <c r="U161" s="35" t="str">
        <f>IFERROR(VLOOKUP(G161,装备!$B:$E,3,FALSE),"")</f>
        <v/>
      </c>
      <c r="V161" s="35" t="str">
        <f>IFERROR(VLOOKUP(H161,装备!$B:$E,3,FALSE),"")</f>
        <v/>
      </c>
      <c r="W161" s="30" t="str">
        <f t="shared" si="50"/>
        <v/>
      </c>
      <c r="X161" s="30" t="str">
        <f t="shared" si="51"/>
        <v/>
      </c>
      <c r="Y161" s="30" t="str">
        <f t="shared" si="52"/>
        <v/>
      </c>
      <c r="Z161" s="30" t="str">
        <f t="shared" si="53"/>
        <v/>
      </c>
      <c r="AA161" s="30" t="str">
        <f t="shared" si="54"/>
        <v/>
      </c>
      <c r="AB161" s="30" t="e">
        <f t="shared" si="55"/>
        <v>#REF!</v>
      </c>
    </row>
    <row r="162" spans="1:28">
      <c r="A162" s="31" t="e">
        <f>装备!#REF!</f>
        <v>#REF!</v>
      </c>
      <c r="B162" s="31" t="e">
        <f>"'"&amp;装备!#REF!&amp;"'"</f>
        <v>#REF!</v>
      </c>
      <c r="C162" s="31" t="e">
        <f>装备!#REF!</f>
        <v>#REF!</v>
      </c>
      <c r="D162" s="31" t="e">
        <f>装备!#REF!</f>
        <v>#REF!</v>
      </c>
      <c r="E162" s="31" t="e">
        <f>装备!#REF!</f>
        <v>#REF!</v>
      </c>
      <c r="F162" s="31" t="e">
        <f>装备!#REF!</f>
        <v>#REF!</v>
      </c>
      <c r="G162" s="31" t="e">
        <f>装备!#REF!</f>
        <v>#REF!</v>
      </c>
      <c r="H162" s="31" t="e">
        <f>装备!#REF!</f>
        <v>#REF!</v>
      </c>
      <c r="I162" s="31" t="e">
        <f>IF(装备!#REF!=0,0,"'"&amp;装备!#REF!&amp;"'")</f>
        <v>#REF!</v>
      </c>
      <c r="J162" s="31" t="e">
        <f>IF(装备!#REF!=0,0,"'"&amp;装备!#REF!&amp;"'")</f>
        <v>#REF!</v>
      </c>
      <c r="K162" s="31" t="e">
        <f>IF(装备!#REF!=0,0,"'"&amp;装备!#REF!&amp;"'")</f>
        <v>#REF!</v>
      </c>
      <c r="L162" s="31" t="e">
        <f>IF(装备!#REF!=0,0,"'"&amp;装备!#REF!&amp;"'")</f>
        <v>#REF!</v>
      </c>
      <c r="M162" s="31" t="e">
        <f>IF(装备!#REF!=0,0,"'"&amp;装备!#REF!&amp;"'")</f>
        <v>#REF!</v>
      </c>
      <c r="N162" s="31" t="e">
        <f>IF(装备!#REF!=0,0,"'"&amp;装备!#REF!&amp;"'")</f>
        <v>#REF!</v>
      </c>
      <c r="O162" s="31" t="e">
        <f t="shared" si="49"/>
        <v>#REF!</v>
      </c>
      <c r="P162" s="31" t="str">
        <f t="shared" si="48"/>
        <v/>
      </c>
      <c r="Q162" s="35" t="str">
        <f>IFERROR(VLOOKUP(C162,装备!$B:$E,3,FALSE),"")</f>
        <v/>
      </c>
      <c r="R162" s="35" t="str">
        <f>IFERROR(VLOOKUP(D162,装备!$B:$E,3,FALSE),"")</f>
        <v/>
      </c>
      <c r="S162" s="35" t="str">
        <f>IFERROR(VLOOKUP(E162,装备!$B:$E,3,FALSE),"")</f>
        <v/>
      </c>
      <c r="T162" s="35" t="str">
        <f>IFERROR(VLOOKUP(F162,装备!$B:$E,3,FALSE),"")</f>
        <v/>
      </c>
      <c r="U162" s="35" t="str">
        <f>IFERROR(VLOOKUP(G162,装备!$B:$E,3,FALSE),"")</f>
        <v/>
      </c>
      <c r="V162" s="35" t="str">
        <f>IFERROR(VLOOKUP(H162,装备!$B:$E,3,FALSE),"")</f>
        <v/>
      </c>
      <c r="W162" s="30" t="str">
        <f t="shared" si="50"/>
        <v/>
      </c>
      <c r="X162" s="30" t="str">
        <f t="shared" si="51"/>
        <v/>
      </c>
      <c r="Y162" s="30" t="str">
        <f t="shared" si="52"/>
        <v/>
      </c>
      <c r="Z162" s="30" t="str">
        <f t="shared" si="53"/>
        <v/>
      </c>
      <c r="AA162" s="30" t="str">
        <f t="shared" si="54"/>
        <v/>
      </c>
      <c r="AB162" s="30" t="e">
        <f t="shared" si="55"/>
        <v>#REF!</v>
      </c>
    </row>
    <row r="163" spans="1:28">
      <c r="A163" s="31" t="e">
        <f>装备!#REF!</f>
        <v>#REF!</v>
      </c>
      <c r="B163" s="31" t="e">
        <f>"'"&amp;装备!#REF!&amp;"'"</f>
        <v>#REF!</v>
      </c>
      <c r="C163" s="31" t="e">
        <f>装备!#REF!</f>
        <v>#REF!</v>
      </c>
      <c r="D163" s="31" t="e">
        <f>装备!#REF!</f>
        <v>#REF!</v>
      </c>
      <c r="E163" s="31" t="e">
        <f>装备!#REF!</f>
        <v>#REF!</v>
      </c>
      <c r="F163" s="31" t="e">
        <f>装备!#REF!</f>
        <v>#REF!</v>
      </c>
      <c r="G163" s="31" t="e">
        <f>装备!#REF!</f>
        <v>#REF!</v>
      </c>
      <c r="H163" s="31" t="e">
        <f>装备!#REF!</f>
        <v>#REF!</v>
      </c>
      <c r="I163" s="31" t="e">
        <f>IF(装备!#REF!=0,0,"'"&amp;装备!#REF!&amp;"'")</f>
        <v>#REF!</v>
      </c>
      <c r="J163" s="31" t="e">
        <f>IF(装备!#REF!=0,0,"'"&amp;装备!#REF!&amp;"'")</f>
        <v>#REF!</v>
      </c>
      <c r="K163" s="31" t="e">
        <f>IF(装备!#REF!=0,0,"'"&amp;装备!#REF!&amp;"'")</f>
        <v>#REF!</v>
      </c>
      <c r="L163" s="31" t="e">
        <f>IF(装备!#REF!=0,0,"'"&amp;装备!#REF!&amp;"'")</f>
        <v>#REF!</v>
      </c>
      <c r="M163" s="31" t="e">
        <f>IF(装备!#REF!=0,0,"'"&amp;装备!#REF!&amp;"'")</f>
        <v>#REF!</v>
      </c>
      <c r="N163" s="31" t="e">
        <f>IF(装备!#REF!=0,0,"'"&amp;装备!#REF!&amp;"'")</f>
        <v>#REF!</v>
      </c>
      <c r="O163" s="31" t="e">
        <f t="shared" si="49"/>
        <v>#REF!</v>
      </c>
      <c r="P163" s="31" t="str">
        <f t="shared" si="48"/>
        <v/>
      </c>
      <c r="Q163" s="35" t="str">
        <f>IFERROR(VLOOKUP(C163,装备!$B:$E,3,FALSE),"")</f>
        <v/>
      </c>
      <c r="R163" s="35" t="str">
        <f>IFERROR(VLOOKUP(D163,装备!$B:$E,3,FALSE),"")</f>
        <v/>
      </c>
      <c r="S163" s="35" t="str">
        <f>IFERROR(VLOOKUP(E163,装备!$B:$E,3,FALSE),"")</f>
        <v/>
      </c>
      <c r="T163" s="35" t="str">
        <f>IFERROR(VLOOKUP(F163,装备!$B:$E,3,FALSE),"")</f>
        <v/>
      </c>
      <c r="U163" s="35" t="str">
        <f>IFERROR(VLOOKUP(G163,装备!$B:$E,3,FALSE),"")</f>
        <v/>
      </c>
      <c r="V163" s="35" t="str">
        <f>IFERROR(VLOOKUP(H163,装备!$B:$E,3,FALSE),"")</f>
        <v/>
      </c>
      <c r="W163" s="30" t="str">
        <f t="shared" si="50"/>
        <v/>
      </c>
      <c r="X163" s="30" t="str">
        <f t="shared" si="51"/>
        <v/>
      </c>
      <c r="Y163" s="30" t="str">
        <f t="shared" si="52"/>
        <v/>
      </c>
      <c r="Z163" s="30" t="str">
        <f t="shared" si="53"/>
        <v/>
      </c>
      <c r="AA163" s="30" t="str">
        <f t="shared" si="54"/>
        <v/>
      </c>
      <c r="AB163" s="30" t="e">
        <f t="shared" si="55"/>
        <v>#REF!</v>
      </c>
    </row>
    <row r="164" spans="1:28">
      <c r="A164" s="31" t="e">
        <f>装备!#REF!</f>
        <v>#REF!</v>
      </c>
      <c r="B164" s="31" t="e">
        <f>"'"&amp;装备!#REF!&amp;"'"</f>
        <v>#REF!</v>
      </c>
      <c r="C164" s="31" t="e">
        <f>装备!#REF!</f>
        <v>#REF!</v>
      </c>
      <c r="D164" s="31" t="e">
        <f>装备!#REF!</f>
        <v>#REF!</v>
      </c>
      <c r="E164" s="31" t="e">
        <f>装备!#REF!</f>
        <v>#REF!</v>
      </c>
      <c r="F164" s="31" t="e">
        <f>装备!#REF!</f>
        <v>#REF!</v>
      </c>
      <c r="G164" s="31" t="e">
        <f>装备!#REF!</f>
        <v>#REF!</v>
      </c>
      <c r="H164" s="31" t="e">
        <f>装备!#REF!</f>
        <v>#REF!</v>
      </c>
      <c r="I164" s="31" t="e">
        <f>IF(装备!#REF!=0,0,"'"&amp;装备!#REF!&amp;"'")</f>
        <v>#REF!</v>
      </c>
      <c r="J164" s="31" t="e">
        <f>IF(装备!#REF!=0,0,"'"&amp;装备!#REF!&amp;"'")</f>
        <v>#REF!</v>
      </c>
      <c r="K164" s="31" t="e">
        <f>IF(装备!#REF!=0,0,"'"&amp;装备!#REF!&amp;"'")</f>
        <v>#REF!</v>
      </c>
      <c r="L164" s="31" t="e">
        <f>IF(装备!#REF!=0,0,"'"&amp;装备!#REF!&amp;"'")</f>
        <v>#REF!</v>
      </c>
      <c r="M164" s="31" t="e">
        <f>IF(装备!#REF!=0,0,"'"&amp;装备!#REF!&amp;"'")</f>
        <v>#REF!</v>
      </c>
      <c r="N164" s="31" t="e">
        <f>IF(装备!#REF!=0,0,"'"&amp;装备!#REF!&amp;"'")</f>
        <v>#REF!</v>
      </c>
      <c r="O164" s="31" t="e">
        <f t="shared" si="49"/>
        <v>#REF!</v>
      </c>
      <c r="P164" s="31" t="str">
        <f t="shared" si="48"/>
        <v/>
      </c>
      <c r="Q164" s="35" t="str">
        <f>IFERROR(VLOOKUP(C164,装备!$B:$E,3,FALSE),"")</f>
        <v/>
      </c>
      <c r="R164" s="35" t="str">
        <f>IFERROR(VLOOKUP(D164,装备!$B:$E,3,FALSE),"")</f>
        <v/>
      </c>
      <c r="S164" s="35" t="str">
        <f>IFERROR(VLOOKUP(E164,装备!$B:$E,3,FALSE),"")</f>
        <v/>
      </c>
      <c r="T164" s="35" t="str">
        <f>IFERROR(VLOOKUP(F164,装备!$B:$E,3,FALSE),"")</f>
        <v/>
      </c>
      <c r="U164" s="35" t="str">
        <f>IFERROR(VLOOKUP(G164,装备!$B:$E,3,FALSE),"")</f>
        <v/>
      </c>
      <c r="V164" s="35" t="str">
        <f>IFERROR(VLOOKUP(H164,装备!$B:$E,3,FALSE),"")</f>
        <v/>
      </c>
      <c r="W164" s="30" t="str">
        <f t="shared" si="50"/>
        <v/>
      </c>
      <c r="X164" s="30" t="str">
        <f t="shared" si="51"/>
        <v/>
      </c>
      <c r="Y164" s="30" t="str">
        <f t="shared" si="52"/>
        <v/>
      </c>
      <c r="Z164" s="30" t="str">
        <f t="shared" si="53"/>
        <v/>
      </c>
      <c r="AA164" s="30" t="str">
        <f t="shared" si="54"/>
        <v/>
      </c>
      <c r="AB164" s="30" t="e">
        <f t="shared" si="55"/>
        <v>#REF!</v>
      </c>
    </row>
    <row r="165" spans="1:28">
      <c r="A165" s="31" t="e">
        <f>装备!#REF!</f>
        <v>#REF!</v>
      </c>
      <c r="B165" s="31" t="e">
        <f>"'"&amp;装备!#REF!&amp;"'"</f>
        <v>#REF!</v>
      </c>
      <c r="C165" s="31" t="e">
        <f>装备!#REF!</f>
        <v>#REF!</v>
      </c>
      <c r="D165" s="31" t="e">
        <f>装备!#REF!</f>
        <v>#REF!</v>
      </c>
      <c r="E165" s="31" t="e">
        <f>装备!#REF!</f>
        <v>#REF!</v>
      </c>
      <c r="F165" s="31" t="e">
        <f>装备!#REF!</f>
        <v>#REF!</v>
      </c>
      <c r="G165" s="31" t="e">
        <f>装备!#REF!</f>
        <v>#REF!</v>
      </c>
      <c r="H165" s="31" t="e">
        <f>装备!#REF!</f>
        <v>#REF!</v>
      </c>
      <c r="I165" s="31" t="e">
        <f>IF(装备!#REF!=0,0,"'"&amp;装备!#REF!&amp;"'")</f>
        <v>#REF!</v>
      </c>
      <c r="J165" s="31" t="e">
        <f>IF(装备!#REF!=0,0,"'"&amp;装备!#REF!&amp;"'")</f>
        <v>#REF!</v>
      </c>
      <c r="K165" s="31" t="e">
        <f>IF(装备!#REF!=0,0,"'"&amp;装备!#REF!&amp;"'")</f>
        <v>#REF!</v>
      </c>
      <c r="L165" s="31" t="e">
        <f>IF(装备!#REF!=0,0,"'"&amp;装备!#REF!&amp;"'")</f>
        <v>#REF!</v>
      </c>
      <c r="M165" s="31" t="e">
        <f>IF(装备!#REF!=0,0,"'"&amp;装备!#REF!&amp;"'")</f>
        <v>#REF!</v>
      </c>
      <c r="N165" s="31" t="e">
        <f>IF(装备!#REF!=0,0,"'"&amp;装备!#REF!&amp;"'")</f>
        <v>#REF!</v>
      </c>
      <c r="O165" s="31" t="e">
        <f t="shared" si="49"/>
        <v>#REF!</v>
      </c>
      <c r="P165" s="31" t="str">
        <f t="shared" si="48"/>
        <v/>
      </c>
      <c r="Q165" s="35" t="str">
        <f>IFERROR(VLOOKUP(C165,装备!$B:$E,3,FALSE),"")</f>
        <v/>
      </c>
      <c r="R165" s="35" t="str">
        <f>IFERROR(VLOOKUP(D165,装备!$B:$E,3,FALSE),"")</f>
        <v/>
      </c>
      <c r="S165" s="35" t="str">
        <f>IFERROR(VLOOKUP(E165,装备!$B:$E,3,FALSE),"")</f>
        <v/>
      </c>
      <c r="T165" s="35" t="str">
        <f>IFERROR(VLOOKUP(F165,装备!$B:$E,3,FALSE),"")</f>
        <v/>
      </c>
      <c r="U165" s="35" t="str">
        <f>IFERROR(VLOOKUP(G165,装备!$B:$E,3,FALSE),"")</f>
        <v/>
      </c>
      <c r="V165" s="35" t="str">
        <f>IFERROR(VLOOKUP(H165,装备!$B:$E,3,FALSE),"")</f>
        <v/>
      </c>
      <c r="W165" s="30" t="str">
        <f t="shared" si="50"/>
        <v/>
      </c>
      <c r="X165" s="30" t="str">
        <f t="shared" si="51"/>
        <v/>
      </c>
      <c r="Y165" s="30" t="str">
        <f t="shared" si="52"/>
        <v/>
      </c>
      <c r="Z165" s="30" t="str">
        <f t="shared" si="53"/>
        <v/>
      </c>
      <c r="AA165" s="30" t="str">
        <f t="shared" si="54"/>
        <v/>
      </c>
      <c r="AB165" s="30" t="e">
        <f t="shared" si="55"/>
        <v>#REF!</v>
      </c>
    </row>
    <row r="166" spans="1:28">
      <c r="A166" s="31" t="e">
        <f>装备!#REF!</f>
        <v>#REF!</v>
      </c>
      <c r="B166" s="31" t="e">
        <f>"'"&amp;装备!#REF!&amp;"'"</f>
        <v>#REF!</v>
      </c>
      <c r="C166" s="31" t="e">
        <f>装备!#REF!</f>
        <v>#REF!</v>
      </c>
      <c r="D166" s="31" t="e">
        <f>装备!#REF!</f>
        <v>#REF!</v>
      </c>
      <c r="E166" s="31" t="e">
        <f>装备!#REF!</f>
        <v>#REF!</v>
      </c>
      <c r="F166" s="31" t="e">
        <f>装备!#REF!</f>
        <v>#REF!</v>
      </c>
      <c r="G166" s="31" t="e">
        <f>装备!#REF!</f>
        <v>#REF!</v>
      </c>
      <c r="H166" s="31" t="e">
        <f>装备!#REF!</f>
        <v>#REF!</v>
      </c>
      <c r="I166" s="31" t="e">
        <f>IF(装备!#REF!=0,0,"'"&amp;装备!#REF!&amp;"'")</f>
        <v>#REF!</v>
      </c>
      <c r="J166" s="31" t="e">
        <f>IF(装备!#REF!=0,0,"'"&amp;装备!#REF!&amp;"'")</f>
        <v>#REF!</v>
      </c>
      <c r="K166" s="31" t="e">
        <f>IF(装备!#REF!=0,0,"'"&amp;装备!#REF!&amp;"'")</f>
        <v>#REF!</v>
      </c>
      <c r="L166" s="31" t="e">
        <f>IF(装备!#REF!=0,0,"'"&amp;装备!#REF!&amp;"'")</f>
        <v>#REF!</v>
      </c>
      <c r="M166" s="31" t="e">
        <f>IF(装备!#REF!=0,0,"'"&amp;装备!#REF!&amp;"'")</f>
        <v>#REF!</v>
      </c>
      <c r="N166" s="31" t="e">
        <f>IF(装备!#REF!=0,0,"'"&amp;装备!#REF!&amp;"'")</f>
        <v>#REF!</v>
      </c>
      <c r="O166" s="31" t="e">
        <f t="shared" si="49"/>
        <v>#REF!</v>
      </c>
      <c r="P166" s="31" t="str">
        <f t="shared" si="48"/>
        <v/>
      </c>
      <c r="Q166" s="35" t="str">
        <f>IFERROR(VLOOKUP(C166,装备!$B:$E,3,FALSE),"")</f>
        <v/>
      </c>
      <c r="R166" s="35" t="str">
        <f>IFERROR(VLOOKUP(D166,装备!$B:$E,3,FALSE),"")</f>
        <v/>
      </c>
      <c r="S166" s="35" t="str">
        <f>IFERROR(VLOOKUP(E166,装备!$B:$E,3,FALSE),"")</f>
        <v/>
      </c>
      <c r="T166" s="35" t="str">
        <f>IFERROR(VLOOKUP(F166,装备!$B:$E,3,FALSE),"")</f>
        <v/>
      </c>
      <c r="U166" s="35" t="str">
        <f>IFERROR(VLOOKUP(G166,装备!$B:$E,3,FALSE),"")</f>
        <v/>
      </c>
      <c r="V166" s="35" t="str">
        <f>IFERROR(VLOOKUP(H166,装备!$B:$E,3,FALSE),"")</f>
        <v/>
      </c>
      <c r="W166" s="30" t="str">
        <f t="shared" si="50"/>
        <v/>
      </c>
      <c r="X166" s="30" t="str">
        <f t="shared" si="51"/>
        <v/>
      </c>
      <c r="Y166" s="30" t="str">
        <f t="shared" si="52"/>
        <v/>
      </c>
      <c r="Z166" s="30" t="str">
        <f t="shared" si="53"/>
        <v/>
      </c>
      <c r="AA166" s="30" t="str">
        <f t="shared" si="54"/>
        <v/>
      </c>
      <c r="AB166" s="30" t="e">
        <f t="shared" si="55"/>
        <v>#REF!</v>
      </c>
    </row>
    <row r="167" spans="1:28">
      <c r="A167" s="31" t="e">
        <f>装备!#REF!</f>
        <v>#REF!</v>
      </c>
      <c r="B167" s="31" t="e">
        <f>"'"&amp;装备!#REF!&amp;"'"</f>
        <v>#REF!</v>
      </c>
      <c r="C167" s="31" t="e">
        <f>装备!#REF!</f>
        <v>#REF!</v>
      </c>
      <c r="D167" s="31" t="e">
        <f>装备!#REF!</f>
        <v>#REF!</v>
      </c>
      <c r="E167" s="31" t="e">
        <f>装备!#REF!</f>
        <v>#REF!</v>
      </c>
      <c r="F167" s="31" t="e">
        <f>装备!#REF!</f>
        <v>#REF!</v>
      </c>
      <c r="G167" s="31" t="e">
        <f>装备!#REF!</f>
        <v>#REF!</v>
      </c>
      <c r="H167" s="31" t="e">
        <f>装备!#REF!</f>
        <v>#REF!</v>
      </c>
      <c r="I167" s="31" t="e">
        <f>IF(装备!#REF!=0,0,"'"&amp;装备!#REF!&amp;"'")</f>
        <v>#REF!</v>
      </c>
      <c r="J167" s="31" t="e">
        <f>IF(装备!#REF!=0,0,"'"&amp;装备!#REF!&amp;"'")</f>
        <v>#REF!</v>
      </c>
      <c r="K167" s="31" t="e">
        <f>IF(装备!#REF!=0,0,"'"&amp;装备!#REF!&amp;"'")</f>
        <v>#REF!</v>
      </c>
      <c r="L167" s="31" t="e">
        <f>IF(装备!#REF!=0,0,"'"&amp;装备!#REF!&amp;"'")</f>
        <v>#REF!</v>
      </c>
      <c r="M167" s="31" t="e">
        <f>IF(装备!#REF!=0,0,"'"&amp;装备!#REF!&amp;"'")</f>
        <v>#REF!</v>
      </c>
      <c r="N167" s="31" t="e">
        <f>IF(装备!#REF!=0,0,"'"&amp;装备!#REF!&amp;"'")</f>
        <v>#REF!</v>
      </c>
      <c r="O167" s="31" t="e">
        <f t="shared" si="49"/>
        <v>#REF!</v>
      </c>
      <c r="P167" s="31" t="str">
        <f t="shared" si="48"/>
        <v/>
      </c>
      <c r="Q167" s="35" t="str">
        <f>IFERROR(VLOOKUP(C167,装备!$B:$E,3,FALSE),"")</f>
        <v/>
      </c>
      <c r="R167" s="35" t="str">
        <f>IFERROR(VLOOKUP(D167,装备!$B:$E,3,FALSE),"")</f>
        <v/>
      </c>
      <c r="S167" s="35" t="str">
        <f>IFERROR(VLOOKUP(E167,装备!$B:$E,3,FALSE),"")</f>
        <v/>
      </c>
      <c r="T167" s="35" t="str">
        <f>IFERROR(VLOOKUP(F167,装备!$B:$E,3,FALSE),"")</f>
        <v/>
      </c>
      <c r="U167" s="35" t="str">
        <f>IFERROR(VLOOKUP(G167,装备!$B:$E,3,FALSE),"")</f>
        <v/>
      </c>
      <c r="V167" s="35" t="str">
        <f>IFERROR(VLOOKUP(H167,装备!$B:$E,3,FALSE),"")</f>
        <v/>
      </c>
      <c r="W167" s="30" t="str">
        <f t="shared" si="50"/>
        <v/>
      </c>
      <c r="X167" s="30" t="str">
        <f t="shared" si="51"/>
        <v/>
      </c>
      <c r="Y167" s="30" t="str">
        <f t="shared" si="52"/>
        <v/>
      </c>
      <c r="Z167" s="30" t="str">
        <f t="shared" si="53"/>
        <v/>
      </c>
      <c r="AA167" s="30" t="str">
        <f t="shared" si="54"/>
        <v/>
      </c>
      <c r="AB167" s="30" t="e">
        <f t="shared" si="55"/>
        <v>#REF!</v>
      </c>
    </row>
    <row r="168" spans="1:28">
      <c r="A168" s="31" t="e">
        <f>装备!#REF!</f>
        <v>#REF!</v>
      </c>
      <c r="B168" s="31" t="e">
        <f>"'"&amp;装备!#REF!&amp;"'"</f>
        <v>#REF!</v>
      </c>
      <c r="C168" s="31" t="e">
        <f>装备!#REF!</f>
        <v>#REF!</v>
      </c>
      <c r="D168" s="31" t="e">
        <f>装备!#REF!</f>
        <v>#REF!</v>
      </c>
      <c r="E168" s="31" t="e">
        <f>装备!#REF!</f>
        <v>#REF!</v>
      </c>
      <c r="F168" s="31" t="e">
        <f>装备!#REF!</f>
        <v>#REF!</v>
      </c>
      <c r="G168" s="31" t="e">
        <f>装备!#REF!</f>
        <v>#REF!</v>
      </c>
      <c r="H168" s="31" t="e">
        <f>装备!#REF!</f>
        <v>#REF!</v>
      </c>
      <c r="I168" s="31" t="e">
        <f>IF(装备!#REF!=0,0,"'"&amp;装备!#REF!&amp;"'")</f>
        <v>#REF!</v>
      </c>
      <c r="J168" s="31" t="e">
        <f>IF(装备!#REF!=0,0,"'"&amp;装备!#REF!&amp;"'")</f>
        <v>#REF!</v>
      </c>
      <c r="K168" s="31" t="e">
        <f>IF(装备!#REF!=0,0,"'"&amp;装备!#REF!&amp;"'")</f>
        <v>#REF!</v>
      </c>
      <c r="L168" s="31" t="e">
        <f>IF(装备!#REF!=0,0,"'"&amp;装备!#REF!&amp;"'")</f>
        <v>#REF!</v>
      </c>
      <c r="M168" s="31" t="e">
        <f>IF(装备!#REF!=0,0,"'"&amp;装备!#REF!&amp;"'")</f>
        <v>#REF!</v>
      </c>
      <c r="N168" s="31" t="e">
        <f>IF(装备!#REF!=0,0,"'"&amp;装备!#REF!&amp;"'")</f>
        <v>#REF!</v>
      </c>
      <c r="O168" s="31" t="e">
        <f t="shared" si="49"/>
        <v>#REF!</v>
      </c>
      <c r="P168" s="31" t="str">
        <f t="shared" si="48"/>
        <v/>
      </c>
      <c r="Q168" s="35" t="str">
        <f>IFERROR(VLOOKUP(C168,装备!$B:$E,3,FALSE),"")</f>
        <v/>
      </c>
      <c r="R168" s="35" t="str">
        <f>IFERROR(VLOOKUP(D168,装备!$B:$E,3,FALSE),"")</f>
        <v/>
      </c>
      <c r="S168" s="35" t="str">
        <f>IFERROR(VLOOKUP(E168,装备!$B:$E,3,FALSE),"")</f>
        <v/>
      </c>
      <c r="T168" s="35" t="str">
        <f>IFERROR(VLOOKUP(F168,装备!$B:$E,3,FALSE),"")</f>
        <v/>
      </c>
      <c r="U168" s="35" t="str">
        <f>IFERROR(VLOOKUP(G168,装备!$B:$E,3,FALSE),"")</f>
        <v/>
      </c>
      <c r="V168" s="35" t="str">
        <f>IFERROR(VLOOKUP(H168,装备!$B:$E,3,FALSE),"")</f>
        <v/>
      </c>
      <c r="W168" s="30" t="str">
        <f t="shared" si="50"/>
        <v/>
      </c>
      <c r="X168" s="30" t="str">
        <f t="shared" si="51"/>
        <v/>
      </c>
      <c r="Y168" s="30" t="str">
        <f t="shared" si="52"/>
        <v/>
      </c>
      <c r="Z168" s="30" t="str">
        <f t="shared" si="53"/>
        <v/>
      </c>
      <c r="AA168" s="30" t="str">
        <f t="shared" si="54"/>
        <v/>
      </c>
      <c r="AB168" s="30" t="e">
        <f t="shared" si="55"/>
        <v>#REF!</v>
      </c>
    </row>
    <row r="169" spans="1:28">
      <c r="A169" s="31" t="e">
        <f>装备!#REF!</f>
        <v>#REF!</v>
      </c>
      <c r="B169" s="31" t="e">
        <f>"'"&amp;装备!#REF!&amp;"'"</f>
        <v>#REF!</v>
      </c>
      <c r="C169" s="31" t="e">
        <f>装备!#REF!</f>
        <v>#REF!</v>
      </c>
      <c r="D169" s="31" t="e">
        <f>装备!#REF!</f>
        <v>#REF!</v>
      </c>
      <c r="E169" s="31" t="e">
        <f>装备!#REF!</f>
        <v>#REF!</v>
      </c>
      <c r="F169" s="31" t="e">
        <f>装备!#REF!</f>
        <v>#REF!</v>
      </c>
      <c r="G169" s="31" t="e">
        <f>装备!#REF!</f>
        <v>#REF!</v>
      </c>
      <c r="H169" s="31" t="e">
        <f>装备!#REF!</f>
        <v>#REF!</v>
      </c>
      <c r="I169" s="31" t="e">
        <f>IF(装备!#REF!=0,0,"'"&amp;装备!#REF!&amp;"'")</f>
        <v>#REF!</v>
      </c>
      <c r="J169" s="31" t="e">
        <f>IF(装备!#REF!=0,0,"'"&amp;装备!#REF!&amp;"'")</f>
        <v>#REF!</v>
      </c>
      <c r="K169" s="31" t="e">
        <f>IF(装备!#REF!=0,0,"'"&amp;装备!#REF!&amp;"'")</f>
        <v>#REF!</v>
      </c>
      <c r="L169" s="31" t="e">
        <f>IF(装备!#REF!=0,0,"'"&amp;装备!#REF!&amp;"'")</f>
        <v>#REF!</v>
      </c>
      <c r="M169" s="31" t="e">
        <f>IF(装备!#REF!=0,0,"'"&amp;装备!#REF!&amp;"'")</f>
        <v>#REF!</v>
      </c>
      <c r="N169" s="31" t="e">
        <f>IF(装备!#REF!=0,0,"'"&amp;装备!#REF!&amp;"'")</f>
        <v>#REF!</v>
      </c>
      <c r="O169" s="31" t="e">
        <f t="shared" si="49"/>
        <v>#REF!</v>
      </c>
      <c r="P169" s="31" t="str">
        <f t="shared" si="48"/>
        <v/>
      </c>
      <c r="Q169" s="35" t="str">
        <f>IFERROR(VLOOKUP(C169,装备!$B:$E,3,FALSE),"")</f>
        <v/>
      </c>
      <c r="R169" s="35" t="str">
        <f>IFERROR(VLOOKUP(D169,装备!$B:$E,3,FALSE),"")</f>
        <v/>
      </c>
      <c r="S169" s="35" t="str">
        <f>IFERROR(VLOOKUP(E169,装备!$B:$E,3,FALSE),"")</f>
        <v/>
      </c>
      <c r="T169" s="35" t="str">
        <f>IFERROR(VLOOKUP(F169,装备!$B:$E,3,FALSE),"")</f>
        <v/>
      </c>
      <c r="U169" s="35" t="str">
        <f>IFERROR(VLOOKUP(G169,装备!$B:$E,3,FALSE),"")</f>
        <v/>
      </c>
      <c r="V169" s="35" t="str">
        <f>IFERROR(VLOOKUP(H169,装备!$B:$E,3,FALSE),"")</f>
        <v/>
      </c>
      <c r="W169" s="30" t="str">
        <f t="shared" si="50"/>
        <v/>
      </c>
      <c r="X169" s="30" t="str">
        <f t="shared" si="51"/>
        <v/>
      </c>
      <c r="Y169" s="30" t="str">
        <f t="shared" si="52"/>
        <v/>
      </c>
      <c r="Z169" s="30" t="str">
        <f t="shared" si="53"/>
        <v/>
      </c>
      <c r="AA169" s="30" t="str">
        <f t="shared" si="54"/>
        <v/>
      </c>
      <c r="AB169" s="30" t="e">
        <f t="shared" si="55"/>
        <v>#REF!</v>
      </c>
    </row>
    <row r="170" spans="1:28">
      <c r="A170" s="31" t="e">
        <f>装备!#REF!</f>
        <v>#REF!</v>
      </c>
      <c r="B170" s="31" t="e">
        <f>"'"&amp;装备!#REF!&amp;"'"</f>
        <v>#REF!</v>
      </c>
      <c r="C170" s="31" t="e">
        <f>装备!#REF!</f>
        <v>#REF!</v>
      </c>
      <c r="D170" s="31" t="e">
        <f>装备!#REF!</f>
        <v>#REF!</v>
      </c>
      <c r="E170" s="31" t="e">
        <f>装备!#REF!</f>
        <v>#REF!</v>
      </c>
      <c r="F170" s="31" t="e">
        <f>装备!#REF!</f>
        <v>#REF!</v>
      </c>
      <c r="G170" s="31" t="e">
        <f>装备!#REF!</f>
        <v>#REF!</v>
      </c>
      <c r="H170" s="31" t="e">
        <f>装备!#REF!</f>
        <v>#REF!</v>
      </c>
      <c r="I170" s="31" t="e">
        <f>IF(装备!#REF!=0,0,"'"&amp;装备!#REF!&amp;"'")</f>
        <v>#REF!</v>
      </c>
      <c r="J170" s="31" t="e">
        <f>IF(装备!#REF!=0,0,"'"&amp;装备!#REF!&amp;"'")</f>
        <v>#REF!</v>
      </c>
      <c r="K170" s="31" t="e">
        <f>IF(装备!#REF!=0,0,"'"&amp;装备!#REF!&amp;"'")</f>
        <v>#REF!</v>
      </c>
      <c r="L170" s="31" t="e">
        <f>IF(装备!#REF!=0,0,"'"&amp;装备!#REF!&amp;"'")</f>
        <v>#REF!</v>
      </c>
      <c r="M170" s="31" t="e">
        <f>IF(装备!#REF!=0,0,"'"&amp;装备!#REF!&amp;"'")</f>
        <v>#REF!</v>
      </c>
      <c r="N170" s="31" t="e">
        <f>IF(装备!#REF!=0,0,"'"&amp;装备!#REF!&amp;"'")</f>
        <v>#REF!</v>
      </c>
      <c r="O170" s="31" t="e">
        <f t="shared" si="49"/>
        <v>#REF!</v>
      </c>
      <c r="P170" s="31" t="str">
        <f t="shared" si="48"/>
        <v/>
      </c>
      <c r="Q170" s="35" t="str">
        <f>IFERROR(VLOOKUP(C170,装备!$B:$E,3,FALSE),"")</f>
        <v/>
      </c>
      <c r="R170" s="35" t="str">
        <f>IFERROR(VLOOKUP(D170,装备!$B:$E,3,FALSE),"")</f>
        <v/>
      </c>
      <c r="S170" s="35" t="str">
        <f>IFERROR(VLOOKUP(E170,装备!$B:$E,3,FALSE),"")</f>
        <v/>
      </c>
      <c r="T170" s="35" t="str">
        <f>IFERROR(VLOOKUP(F170,装备!$B:$E,3,FALSE),"")</f>
        <v/>
      </c>
      <c r="U170" s="35" t="str">
        <f>IFERROR(VLOOKUP(G170,装备!$B:$E,3,FALSE),"")</f>
        <v/>
      </c>
      <c r="V170" s="35" t="str">
        <f>IFERROR(VLOOKUP(H170,装备!$B:$E,3,FALSE),"")</f>
        <v/>
      </c>
      <c r="W170" s="30" t="str">
        <f t="shared" si="50"/>
        <v/>
      </c>
      <c r="X170" s="30" t="str">
        <f t="shared" si="51"/>
        <v/>
      </c>
      <c r="Y170" s="30" t="str">
        <f t="shared" si="52"/>
        <v/>
      </c>
      <c r="Z170" s="30" t="str">
        <f t="shared" si="53"/>
        <v/>
      </c>
      <c r="AA170" s="30" t="str">
        <f t="shared" si="54"/>
        <v/>
      </c>
      <c r="AB170" s="30" t="e">
        <f t="shared" si="55"/>
        <v>#REF!</v>
      </c>
    </row>
    <row r="171" spans="1:28">
      <c r="A171" s="31" t="e">
        <f>装备!#REF!</f>
        <v>#REF!</v>
      </c>
      <c r="B171" s="31" t="e">
        <f>"'"&amp;装备!#REF!&amp;"'"</f>
        <v>#REF!</v>
      </c>
      <c r="C171" s="31" t="e">
        <f>装备!#REF!</f>
        <v>#REF!</v>
      </c>
      <c r="D171" s="31" t="e">
        <f>装备!#REF!</f>
        <v>#REF!</v>
      </c>
      <c r="E171" s="31" t="e">
        <f>装备!#REF!</f>
        <v>#REF!</v>
      </c>
      <c r="F171" s="31" t="e">
        <f>装备!#REF!</f>
        <v>#REF!</v>
      </c>
      <c r="G171" s="31" t="e">
        <f>装备!#REF!</f>
        <v>#REF!</v>
      </c>
      <c r="H171" s="31" t="e">
        <f>装备!#REF!</f>
        <v>#REF!</v>
      </c>
      <c r="I171" s="31" t="e">
        <f>IF(装备!#REF!=0,0,"'"&amp;装备!#REF!&amp;"'")</f>
        <v>#REF!</v>
      </c>
      <c r="J171" s="31" t="e">
        <f>IF(装备!#REF!=0,0,"'"&amp;装备!#REF!&amp;"'")</f>
        <v>#REF!</v>
      </c>
      <c r="K171" s="31" t="e">
        <f>IF(装备!#REF!=0,0,"'"&amp;装备!#REF!&amp;"'")</f>
        <v>#REF!</v>
      </c>
      <c r="L171" s="31" t="e">
        <f>IF(装备!#REF!=0,0,"'"&amp;装备!#REF!&amp;"'")</f>
        <v>#REF!</v>
      </c>
      <c r="M171" s="31" t="e">
        <f>IF(装备!#REF!=0,0,"'"&amp;装备!#REF!&amp;"'")</f>
        <v>#REF!</v>
      </c>
      <c r="N171" s="31" t="e">
        <f>IF(装备!#REF!=0,0,"'"&amp;装备!#REF!&amp;"'")</f>
        <v>#REF!</v>
      </c>
      <c r="O171" s="31" t="e">
        <f t="shared" si="49"/>
        <v>#REF!</v>
      </c>
      <c r="P171" s="31" t="str">
        <f t="shared" si="48"/>
        <v/>
      </c>
      <c r="Q171" s="35" t="str">
        <f>IFERROR(VLOOKUP(C171,装备!$B:$E,3,FALSE),"")</f>
        <v/>
      </c>
      <c r="R171" s="35" t="str">
        <f>IFERROR(VLOOKUP(D171,装备!$B:$E,3,FALSE),"")</f>
        <v/>
      </c>
      <c r="S171" s="35" t="str">
        <f>IFERROR(VLOOKUP(E171,装备!$B:$E,3,FALSE),"")</f>
        <v/>
      </c>
      <c r="T171" s="35" t="str">
        <f>IFERROR(VLOOKUP(F171,装备!$B:$E,3,FALSE),"")</f>
        <v/>
      </c>
      <c r="U171" s="35" t="str">
        <f>IFERROR(VLOOKUP(G171,装备!$B:$E,3,FALSE),"")</f>
        <v/>
      </c>
      <c r="V171" s="35" t="str">
        <f>IFERROR(VLOOKUP(H171,装备!$B:$E,3,FALSE),"")</f>
        <v/>
      </c>
      <c r="W171" s="30" t="str">
        <f t="shared" si="50"/>
        <v/>
      </c>
      <c r="X171" s="30" t="str">
        <f t="shared" si="51"/>
        <v/>
      </c>
      <c r="Y171" s="30" t="str">
        <f t="shared" si="52"/>
        <v/>
      </c>
      <c r="Z171" s="30" t="str">
        <f t="shared" si="53"/>
        <v/>
      </c>
      <c r="AA171" s="30" t="str">
        <f t="shared" si="54"/>
        <v/>
      </c>
      <c r="AB171" s="30" t="e">
        <f t="shared" si="55"/>
        <v>#REF!</v>
      </c>
    </row>
    <row r="172" spans="1:28">
      <c r="A172" s="31" t="e">
        <f>装备!#REF!</f>
        <v>#REF!</v>
      </c>
      <c r="B172" s="31" t="e">
        <f>"'"&amp;装备!#REF!&amp;"'"</f>
        <v>#REF!</v>
      </c>
      <c r="C172" s="31" t="e">
        <f>装备!#REF!</f>
        <v>#REF!</v>
      </c>
      <c r="D172" s="31" t="e">
        <f>装备!#REF!</f>
        <v>#REF!</v>
      </c>
      <c r="E172" s="31" t="e">
        <f>装备!#REF!</f>
        <v>#REF!</v>
      </c>
      <c r="F172" s="31" t="e">
        <f>装备!#REF!</f>
        <v>#REF!</v>
      </c>
      <c r="G172" s="31" t="e">
        <f>装备!#REF!</f>
        <v>#REF!</v>
      </c>
      <c r="H172" s="31" t="e">
        <f>装备!#REF!</f>
        <v>#REF!</v>
      </c>
      <c r="I172" s="31" t="e">
        <f>IF(装备!#REF!=0,0,"'"&amp;装备!#REF!&amp;"'")</f>
        <v>#REF!</v>
      </c>
      <c r="J172" s="31" t="e">
        <f>IF(装备!#REF!=0,0,"'"&amp;装备!#REF!&amp;"'")</f>
        <v>#REF!</v>
      </c>
      <c r="K172" s="31" t="e">
        <f>IF(装备!#REF!=0,0,"'"&amp;装备!#REF!&amp;"'")</f>
        <v>#REF!</v>
      </c>
      <c r="L172" s="31" t="e">
        <f>IF(装备!#REF!=0,0,"'"&amp;装备!#REF!&amp;"'")</f>
        <v>#REF!</v>
      </c>
      <c r="M172" s="31" t="e">
        <f>IF(装备!#REF!=0,0,"'"&amp;装备!#REF!&amp;"'")</f>
        <v>#REF!</v>
      </c>
      <c r="N172" s="31" t="e">
        <f>IF(装备!#REF!=0,0,"'"&amp;装备!#REF!&amp;"'")</f>
        <v>#REF!</v>
      </c>
      <c r="O172" s="31" t="e">
        <f t="shared" si="49"/>
        <v>#REF!</v>
      </c>
      <c r="P172" s="31" t="str">
        <f t="shared" si="48"/>
        <v/>
      </c>
      <c r="Q172" s="35" t="str">
        <f>IFERROR(VLOOKUP(C172,装备!$B:$E,3,FALSE),"")</f>
        <v/>
      </c>
      <c r="R172" s="35" t="str">
        <f>IFERROR(VLOOKUP(D172,装备!$B:$E,3,FALSE),"")</f>
        <v/>
      </c>
      <c r="S172" s="35" t="str">
        <f>IFERROR(VLOOKUP(E172,装备!$B:$E,3,FALSE),"")</f>
        <v/>
      </c>
      <c r="T172" s="35" t="str">
        <f>IFERROR(VLOOKUP(F172,装备!$B:$E,3,FALSE),"")</f>
        <v/>
      </c>
      <c r="U172" s="35" t="str">
        <f>IFERROR(VLOOKUP(G172,装备!$B:$E,3,FALSE),"")</f>
        <v/>
      </c>
      <c r="V172" s="35" t="str">
        <f>IFERROR(VLOOKUP(H172,装备!$B:$E,3,FALSE),"")</f>
        <v/>
      </c>
      <c r="W172" s="30" t="str">
        <f t="shared" si="50"/>
        <v/>
      </c>
      <c r="X172" s="30" t="str">
        <f t="shared" si="51"/>
        <v/>
      </c>
      <c r="Y172" s="30" t="str">
        <f t="shared" si="52"/>
        <v/>
      </c>
      <c r="Z172" s="30" t="str">
        <f t="shared" si="53"/>
        <v/>
      </c>
      <c r="AA172" s="30" t="str">
        <f t="shared" si="54"/>
        <v/>
      </c>
      <c r="AB172" s="30" t="e">
        <f t="shared" si="55"/>
        <v>#REF!</v>
      </c>
    </row>
    <row r="173" spans="1:28">
      <c r="A173" s="31">
        <f>装备!A146</f>
        <v>0</v>
      </c>
      <c r="B173" s="31" t="str">
        <f>"'"&amp;装备!B146&amp;"'"</f>
        <v>'IP01'</v>
      </c>
      <c r="C173" s="31">
        <f>装备!J146</f>
        <v>0</v>
      </c>
      <c r="D173" s="31">
        <f>装备!K146</f>
        <v>0</v>
      </c>
      <c r="E173" s="31">
        <f>装备!L146</f>
        <v>0</v>
      </c>
      <c r="F173" s="31">
        <f>装备!M146</f>
        <v>0</v>
      </c>
      <c r="G173" s="31">
        <f>装备!N146</f>
        <v>0</v>
      </c>
      <c r="H173" s="31">
        <f>装备!O146</f>
        <v>0</v>
      </c>
      <c r="I173" s="31">
        <f>IF(装备!J146=0,0,"'"&amp;装备!J146&amp;"'")</f>
        <v>0</v>
      </c>
      <c r="J173" s="31">
        <f>IF(装备!K146=0,0,"'"&amp;装备!K146&amp;"'")</f>
        <v>0</v>
      </c>
      <c r="K173" s="31">
        <f>IF(装备!L146=0,0,"'"&amp;装备!L146&amp;"'")</f>
        <v>0</v>
      </c>
      <c r="L173" s="31">
        <f>IF(装备!M146=0,0,"'"&amp;装备!M146&amp;"'")</f>
        <v>0</v>
      </c>
      <c r="M173" s="31">
        <f>IF(装备!N146=0,0,"'"&amp;装备!N146&amp;"'")</f>
        <v>0</v>
      </c>
      <c r="N173" s="31">
        <f>IF(装备!O146=0,0,"'"&amp;装备!O146&amp;"'")</f>
        <v>0</v>
      </c>
      <c r="O173" s="31" t="str">
        <f t="shared" si="49"/>
        <v/>
      </c>
      <c r="P173" s="31" t="str">
        <f t="shared" si="48"/>
        <v/>
      </c>
      <c r="Q173" s="35" t="str">
        <f>IFERROR(VLOOKUP(C173,装备!$B:$E,3,FALSE),"")</f>
        <v/>
      </c>
      <c r="R173" s="35" t="str">
        <f>IFERROR(VLOOKUP(D173,装备!$B:$E,3,FALSE),"")</f>
        <v/>
      </c>
      <c r="S173" s="35" t="str">
        <f>IFERROR(VLOOKUP(E173,装备!$B:$E,3,FALSE),"")</f>
        <v/>
      </c>
      <c r="T173" s="35" t="str">
        <f>IFERROR(VLOOKUP(F173,装备!$B:$E,3,FALSE),"")</f>
        <v/>
      </c>
      <c r="U173" s="35" t="str">
        <f>IFERROR(VLOOKUP(G173,装备!$B:$E,3,FALSE),"")</f>
        <v/>
      </c>
      <c r="V173" s="35" t="str">
        <f>IFERROR(VLOOKUP(H173,装备!$B:$E,3,FALSE),"")</f>
        <v/>
      </c>
      <c r="W173" s="30" t="str">
        <f t="shared" si="50"/>
        <v/>
      </c>
      <c r="X173" s="30" t="str">
        <f t="shared" si="51"/>
        <v/>
      </c>
      <c r="Y173" s="30" t="str">
        <f t="shared" si="52"/>
        <v/>
      </c>
      <c r="Z173" s="30" t="str">
        <f t="shared" si="53"/>
        <v/>
      </c>
      <c r="AA173" s="30" t="str">
        <f t="shared" si="54"/>
        <v/>
      </c>
      <c r="AB173" s="30" t="str">
        <f t="shared" si="55"/>
        <v>|n=0</v>
      </c>
    </row>
    <row r="174" spans="1:28">
      <c r="A174" s="31">
        <f>装备!A147</f>
        <v>0</v>
      </c>
      <c r="B174" s="31" t="str">
        <f>"'"&amp;装备!B147&amp;"'"</f>
        <v>'IP02'</v>
      </c>
      <c r="C174" s="31">
        <f>装备!J147</f>
        <v>0</v>
      </c>
      <c r="D174" s="31">
        <f>装备!K147</f>
        <v>0</v>
      </c>
      <c r="E174" s="31">
        <f>装备!L147</f>
        <v>0</v>
      </c>
      <c r="F174" s="31">
        <f>装备!M147</f>
        <v>0</v>
      </c>
      <c r="G174" s="31">
        <f>装备!N147</f>
        <v>0</v>
      </c>
      <c r="H174" s="31">
        <f>装备!O147</f>
        <v>0</v>
      </c>
      <c r="I174" s="31">
        <f>IF(装备!J147=0,0,"'"&amp;装备!J147&amp;"'")</f>
        <v>0</v>
      </c>
      <c r="J174" s="31">
        <f>IF(装备!K147=0,0,"'"&amp;装备!K147&amp;"'")</f>
        <v>0</v>
      </c>
      <c r="K174" s="31">
        <f>IF(装备!L147=0,0,"'"&amp;装备!L147&amp;"'")</f>
        <v>0</v>
      </c>
      <c r="L174" s="31">
        <f>IF(装备!M147=0,0,"'"&amp;装备!M147&amp;"'")</f>
        <v>0</v>
      </c>
      <c r="M174" s="31">
        <f>IF(装备!N147=0,0,"'"&amp;装备!N147&amp;"'")</f>
        <v>0</v>
      </c>
      <c r="N174" s="31">
        <f>IF(装备!O147=0,0,"'"&amp;装备!O147&amp;"'")</f>
        <v>0</v>
      </c>
      <c r="O174" s="31" t="str">
        <f t="shared" si="49"/>
        <v/>
      </c>
      <c r="P174" s="31" t="str">
        <f t="shared" si="48"/>
        <v/>
      </c>
      <c r="Q174" s="35" t="str">
        <f>IFERROR(VLOOKUP(C174,装备!$B:$E,3,FALSE),"")</f>
        <v/>
      </c>
      <c r="R174" s="35" t="str">
        <f>IFERROR(VLOOKUP(D174,装备!$B:$E,3,FALSE),"")</f>
        <v/>
      </c>
      <c r="S174" s="35" t="str">
        <f>IFERROR(VLOOKUP(E174,装备!$B:$E,3,FALSE),"")</f>
        <v/>
      </c>
      <c r="T174" s="35" t="str">
        <f>IFERROR(VLOOKUP(F174,装备!$B:$E,3,FALSE),"")</f>
        <v/>
      </c>
      <c r="U174" s="35" t="str">
        <f>IFERROR(VLOOKUP(G174,装备!$B:$E,3,FALSE),"")</f>
        <v/>
      </c>
      <c r="V174" s="35" t="str">
        <f>IFERROR(VLOOKUP(H174,装备!$B:$E,3,FALSE),"")</f>
        <v/>
      </c>
      <c r="W174" s="30" t="str">
        <f t="shared" si="50"/>
        <v/>
      </c>
      <c r="X174" s="30" t="str">
        <f t="shared" si="51"/>
        <v/>
      </c>
      <c r="Y174" s="30" t="str">
        <f t="shared" si="52"/>
        <v/>
      </c>
      <c r="Z174" s="30" t="str">
        <f t="shared" si="53"/>
        <v/>
      </c>
      <c r="AA174" s="30" t="str">
        <f t="shared" si="54"/>
        <v/>
      </c>
      <c r="AB174" s="30" t="str">
        <f t="shared" si="55"/>
        <v>|n=0</v>
      </c>
    </row>
    <row r="175" spans="1:28">
      <c r="A175" s="31">
        <f>装备!A148</f>
        <v>0</v>
      </c>
      <c r="B175" s="31" t="str">
        <f>"'"&amp;装备!B148&amp;"'"</f>
        <v>'IP03'</v>
      </c>
      <c r="C175" s="31">
        <f>装备!J148</f>
        <v>0</v>
      </c>
      <c r="D175" s="31">
        <f>装备!K148</f>
        <v>0</v>
      </c>
      <c r="E175" s="31">
        <f>装备!L148</f>
        <v>0</v>
      </c>
      <c r="F175" s="31">
        <f>装备!M148</f>
        <v>0</v>
      </c>
      <c r="G175" s="31">
        <f>装备!N148</f>
        <v>0</v>
      </c>
      <c r="H175" s="31">
        <f>装备!O148</f>
        <v>0</v>
      </c>
      <c r="I175" s="31">
        <f>IF(装备!J148=0,0,"'"&amp;装备!J148&amp;"'")</f>
        <v>0</v>
      </c>
      <c r="J175" s="31">
        <f>IF(装备!K148=0,0,"'"&amp;装备!K148&amp;"'")</f>
        <v>0</v>
      </c>
      <c r="K175" s="31">
        <f>IF(装备!L148=0,0,"'"&amp;装备!L148&amp;"'")</f>
        <v>0</v>
      </c>
      <c r="L175" s="31">
        <f>IF(装备!M148=0,0,"'"&amp;装备!M148&amp;"'")</f>
        <v>0</v>
      </c>
      <c r="M175" s="31">
        <f>IF(装备!N148=0,0,"'"&amp;装备!N148&amp;"'")</f>
        <v>0</v>
      </c>
      <c r="N175" s="31">
        <f>IF(装备!O148=0,0,"'"&amp;装备!O148&amp;"'")</f>
        <v>0</v>
      </c>
      <c r="O175" s="31" t="str">
        <f t="shared" si="49"/>
        <v/>
      </c>
      <c r="P175" s="31" t="str">
        <f t="shared" si="48"/>
        <v/>
      </c>
      <c r="Q175" s="35" t="str">
        <f>IFERROR(VLOOKUP(C175,装备!$B:$E,3,FALSE),"")</f>
        <v/>
      </c>
      <c r="R175" s="35" t="str">
        <f>IFERROR(VLOOKUP(D175,装备!$B:$E,3,FALSE),"")</f>
        <v/>
      </c>
      <c r="S175" s="35" t="str">
        <f>IFERROR(VLOOKUP(E175,装备!$B:$E,3,FALSE),"")</f>
        <v/>
      </c>
      <c r="T175" s="35" t="str">
        <f>IFERROR(VLOOKUP(F175,装备!$B:$E,3,FALSE),"")</f>
        <v/>
      </c>
      <c r="U175" s="35" t="str">
        <f>IFERROR(VLOOKUP(G175,装备!$B:$E,3,FALSE),"")</f>
        <v/>
      </c>
      <c r="V175" s="35" t="str">
        <f>IFERROR(VLOOKUP(H175,装备!$B:$E,3,FALSE),"")</f>
        <v/>
      </c>
      <c r="W175" s="30" t="str">
        <f t="shared" si="50"/>
        <v/>
      </c>
      <c r="X175" s="30" t="str">
        <f t="shared" si="51"/>
        <v/>
      </c>
      <c r="Y175" s="30" t="str">
        <f t="shared" si="52"/>
        <v/>
      </c>
      <c r="Z175" s="30" t="str">
        <f t="shared" si="53"/>
        <v/>
      </c>
      <c r="AA175" s="30" t="str">
        <f t="shared" si="54"/>
        <v/>
      </c>
      <c r="AB175" s="30" t="str">
        <f t="shared" si="55"/>
        <v>|n=0</v>
      </c>
    </row>
    <row r="176" spans="1:28">
      <c r="A176" s="31">
        <f>装备!A151</f>
        <v>0</v>
      </c>
      <c r="B176" s="31" t="str">
        <f>"'"&amp;装备!B151&amp;"'"</f>
        <v>'IT01'</v>
      </c>
      <c r="C176" s="31">
        <f>装备!J151</f>
        <v>0</v>
      </c>
      <c r="D176" s="31">
        <f>装备!K151</f>
        <v>0</v>
      </c>
      <c r="E176" s="31">
        <f>装备!L151</f>
        <v>0</v>
      </c>
      <c r="F176" s="31">
        <f>装备!M151</f>
        <v>0</v>
      </c>
      <c r="G176" s="31">
        <f>装备!N151</f>
        <v>0</v>
      </c>
      <c r="H176" s="31">
        <f>装备!O151</f>
        <v>0</v>
      </c>
      <c r="I176" s="31">
        <f>IF(装备!J151=0,0,"'"&amp;装备!J151&amp;"'")</f>
        <v>0</v>
      </c>
      <c r="J176" s="31">
        <f>IF(装备!K151=0,0,"'"&amp;装备!K151&amp;"'")</f>
        <v>0</v>
      </c>
      <c r="K176" s="31">
        <f>IF(装备!L151=0,0,"'"&amp;装备!L151&amp;"'")</f>
        <v>0</v>
      </c>
      <c r="L176" s="31">
        <f>IF(装备!M151=0,0,"'"&amp;装备!M151&amp;"'")</f>
        <v>0</v>
      </c>
      <c r="M176" s="31">
        <f>IF(装备!N151=0,0,"'"&amp;装备!N151&amp;"'")</f>
        <v>0</v>
      </c>
      <c r="N176" s="31">
        <f>IF(装备!O151=0,0,"'"&amp;装备!O151&amp;"'")</f>
        <v>0</v>
      </c>
      <c r="O176" s="31" t="str">
        <f t="shared" si="49"/>
        <v/>
      </c>
      <c r="P176" s="31" t="str">
        <f t="shared" si="48"/>
        <v/>
      </c>
      <c r="Q176" s="35" t="str">
        <f>IFERROR(VLOOKUP(C176,装备!$B:$E,3,FALSE),"")</f>
        <v/>
      </c>
      <c r="R176" s="35" t="str">
        <f>IFERROR(VLOOKUP(D176,装备!$B:$E,3,FALSE),"")</f>
        <v/>
      </c>
      <c r="S176" s="35" t="str">
        <f>IFERROR(VLOOKUP(E176,装备!$B:$E,3,FALSE),"")</f>
        <v/>
      </c>
      <c r="T176" s="35" t="str">
        <f>IFERROR(VLOOKUP(F176,装备!$B:$E,3,FALSE),"")</f>
        <v/>
      </c>
      <c r="U176" s="35" t="str">
        <f>IFERROR(VLOOKUP(G176,装备!$B:$E,3,FALSE),"")</f>
        <v/>
      </c>
      <c r="V176" s="35" t="str">
        <f>IFERROR(VLOOKUP(H176,装备!$B:$E,3,FALSE),"")</f>
        <v/>
      </c>
      <c r="W176" s="30" t="str">
        <f t="shared" si="50"/>
        <v/>
      </c>
      <c r="X176" s="30" t="str">
        <f t="shared" si="51"/>
        <v/>
      </c>
      <c r="Y176" s="30" t="str">
        <f t="shared" si="52"/>
        <v/>
      </c>
      <c r="Z176" s="30" t="str">
        <f t="shared" si="53"/>
        <v/>
      </c>
      <c r="AA176" s="30" t="str">
        <f t="shared" si="54"/>
        <v/>
      </c>
      <c r="AB176" s="30" t="str">
        <f t="shared" si="55"/>
        <v>|n=0</v>
      </c>
    </row>
    <row r="177" spans="1:28">
      <c r="A177" s="31">
        <f>装备!A152</f>
        <v>0</v>
      </c>
      <c r="B177" s="31" t="str">
        <f>"'"&amp;装备!B152&amp;"'"</f>
        <v>'IT02'</v>
      </c>
      <c r="C177" s="31">
        <f>装备!J152</f>
        <v>0</v>
      </c>
      <c r="D177" s="31">
        <f>装备!K152</f>
        <v>0</v>
      </c>
      <c r="E177" s="31">
        <f>装备!L152</f>
        <v>0</v>
      </c>
      <c r="F177" s="31">
        <f>装备!M152</f>
        <v>0</v>
      </c>
      <c r="G177" s="31">
        <f>装备!N152</f>
        <v>0</v>
      </c>
      <c r="H177" s="31">
        <f>装备!O152</f>
        <v>0</v>
      </c>
      <c r="I177" s="31">
        <f>IF(装备!J152=0,0,"'"&amp;装备!J152&amp;"'")</f>
        <v>0</v>
      </c>
      <c r="J177" s="31">
        <f>IF(装备!K152=0,0,"'"&amp;装备!K152&amp;"'")</f>
        <v>0</v>
      </c>
      <c r="K177" s="31">
        <f>IF(装备!L152=0,0,"'"&amp;装备!L152&amp;"'")</f>
        <v>0</v>
      </c>
      <c r="L177" s="31">
        <f>IF(装备!M152=0,0,"'"&amp;装备!M152&amp;"'")</f>
        <v>0</v>
      </c>
      <c r="M177" s="31">
        <f>IF(装备!N152=0,0,"'"&amp;装备!N152&amp;"'")</f>
        <v>0</v>
      </c>
      <c r="N177" s="31">
        <f>IF(装备!O152=0,0,"'"&amp;装备!O152&amp;"'")</f>
        <v>0</v>
      </c>
      <c r="O177" s="31" t="str">
        <f t="shared" si="49"/>
        <v/>
      </c>
      <c r="P177" s="31" t="str">
        <f t="shared" si="48"/>
        <v/>
      </c>
      <c r="Q177" s="35" t="str">
        <f>IFERROR(VLOOKUP(C177,装备!$B:$E,3,FALSE),"")</f>
        <v/>
      </c>
      <c r="R177" s="35" t="str">
        <f>IFERROR(VLOOKUP(D177,装备!$B:$E,3,FALSE),"")</f>
        <v/>
      </c>
      <c r="S177" s="35" t="str">
        <f>IFERROR(VLOOKUP(E177,装备!$B:$E,3,FALSE),"")</f>
        <v/>
      </c>
      <c r="T177" s="35" t="str">
        <f>IFERROR(VLOOKUP(F177,装备!$B:$E,3,FALSE),"")</f>
        <v/>
      </c>
      <c r="U177" s="35" t="str">
        <f>IFERROR(VLOOKUP(G177,装备!$B:$E,3,FALSE),"")</f>
        <v/>
      </c>
      <c r="V177" s="35" t="str">
        <f>IFERROR(VLOOKUP(H177,装备!$B:$E,3,FALSE),"")</f>
        <v/>
      </c>
      <c r="W177" s="30" t="str">
        <f t="shared" si="50"/>
        <v/>
      </c>
      <c r="X177" s="30" t="str">
        <f t="shared" si="51"/>
        <v/>
      </c>
      <c r="Y177" s="30" t="str">
        <f t="shared" si="52"/>
        <v/>
      </c>
      <c r="Z177" s="30" t="str">
        <f t="shared" si="53"/>
        <v/>
      </c>
      <c r="AA177" s="30" t="str">
        <f t="shared" si="54"/>
        <v/>
      </c>
      <c r="AB177" s="30" t="str">
        <f t="shared" si="55"/>
        <v>|n=0</v>
      </c>
    </row>
    <row r="178" spans="1:28">
      <c r="A178" s="31">
        <f>装备!A153</f>
        <v>0</v>
      </c>
      <c r="B178" s="31" t="str">
        <f>"'"&amp;装备!B153&amp;"'"</f>
        <v>'IT03'</v>
      </c>
      <c r="C178" s="31">
        <f>装备!J153</f>
        <v>0</v>
      </c>
      <c r="D178" s="31">
        <f>装备!K153</f>
        <v>0</v>
      </c>
      <c r="E178" s="31">
        <f>装备!L153</f>
        <v>0</v>
      </c>
      <c r="F178" s="31">
        <f>装备!M153</f>
        <v>0</v>
      </c>
      <c r="G178" s="31">
        <f>装备!N153</f>
        <v>0</v>
      </c>
      <c r="H178" s="31">
        <f>装备!O153</f>
        <v>0</v>
      </c>
      <c r="I178" s="31">
        <f>IF(装备!J153=0,0,"'"&amp;装备!J153&amp;"'")</f>
        <v>0</v>
      </c>
      <c r="J178" s="31">
        <f>IF(装备!K153=0,0,"'"&amp;装备!K153&amp;"'")</f>
        <v>0</v>
      </c>
      <c r="K178" s="31">
        <f>IF(装备!L153=0,0,"'"&amp;装备!L153&amp;"'")</f>
        <v>0</v>
      </c>
      <c r="L178" s="31">
        <f>IF(装备!M153=0,0,"'"&amp;装备!M153&amp;"'")</f>
        <v>0</v>
      </c>
      <c r="M178" s="31">
        <f>IF(装备!N153=0,0,"'"&amp;装备!N153&amp;"'")</f>
        <v>0</v>
      </c>
      <c r="N178" s="31">
        <f>IF(装备!O153=0,0,"'"&amp;装备!O153&amp;"'")</f>
        <v>0</v>
      </c>
      <c r="O178" s="31" t="str">
        <f t="shared" si="49"/>
        <v/>
      </c>
      <c r="P178" s="31" t="str">
        <f t="shared" si="48"/>
        <v/>
      </c>
      <c r="Q178" s="35" t="str">
        <f>IFERROR(VLOOKUP(C178,装备!$B:$E,3,FALSE),"")</f>
        <v/>
      </c>
      <c r="R178" s="35" t="str">
        <f>IFERROR(VLOOKUP(D178,装备!$B:$E,3,FALSE),"")</f>
        <v/>
      </c>
      <c r="S178" s="35" t="str">
        <f>IFERROR(VLOOKUP(E178,装备!$B:$E,3,FALSE),"")</f>
        <v/>
      </c>
      <c r="T178" s="35" t="str">
        <f>IFERROR(VLOOKUP(F178,装备!$B:$E,3,FALSE),"")</f>
        <v/>
      </c>
      <c r="U178" s="35" t="str">
        <f>IFERROR(VLOOKUP(G178,装备!$B:$E,3,FALSE),"")</f>
        <v/>
      </c>
      <c r="V178" s="35" t="str">
        <f>IFERROR(VLOOKUP(H178,装备!$B:$E,3,FALSE),"")</f>
        <v/>
      </c>
      <c r="W178" s="30" t="str">
        <f t="shared" si="50"/>
        <v/>
      </c>
      <c r="X178" s="30" t="str">
        <f t="shared" si="51"/>
        <v/>
      </c>
      <c r="Y178" s="30" t="str">
        <f t="shared" si="52"/>
        <v/>
      </c>
      <c r="Z178" s="30" t="str">
        <f t="shared" si="53"/>
        <v/>
      </c>
      <c r="AA178" s="30" t="str">
        <f t="shared" si="54"/>
        <v/>
      </c>
      <c r="AB178" s="30" t="str">
        <f t="shared" si="55"/>
        <v>|n=0</v>
      </c>
    </row>
    <row r="179" spans="1:28">
      <c r="A179" s="31">
        <f>装备!A154</f>
        <v>0</v>
      </c>
      <c r="B179" s="31" t="str">
        <f>"'"&amp;装备!B154&amp;"'"</f>
        <v>'IT04'</v>
      </c>
      <c r="C179" s="31">
        <f>装备!J154</f>
        <v>0</v>
      </c>
      <c r="D179" s="31">
        <f>装备!K154</f>
        <v>0</v>
      </c>
      <c r="E179" s="31">
        <f>装备!L154</f>
        <v>0</v>
      </c>
      <c r="F179" s="31">
        <f>装备!M154</f>
        <v>0</v>
      </c>
      <c r="G179" s="31">
        <f>装备!N154</f>
        <v>0</v>
      </c>
      <c r="H179" s="31">
        <f>装备!O154</f>
        <v>0</v>
      </c>
      <c r="I179" s="31">
        <f>IF(装备!J154=0,0,"'"&amp;装备!J154&amp;"'")</f>
        <v>0</v>
      </c>
      <c r="J179" s="31">
        <f>IF(装备!K154=0,0,"'"&amp;装备!K154&amp;"'")</f>
        <v>0</v>
      </c>
      <c r="K179" s="31">
        <f>IF(装备!L154=0,0,"'"&amp;装备!L154&amp;"'")</f>
        <v>0</v>
      </c>
      <c r="L179" s="31">
        <f>IF(装备!M154=0,0,"'"&amp;装备!M154&amp;"'")</f>
        <v>0</v>
      </c>
      <c r="M179" s="31">
        <f>IF(装备!N154=0,0,"'"&amp;装备!N154&amp;"'")</f>
        <v>0</v>
      </c>
      <c r="N179" s="31">
        <f>IF(装备!O154=0,0,"'"&amp;装备!O154&amp;"'")</f>
        <v>0</v>
      </c>
      <c r="O179" s="31" t="str">
        <f t="shared" si="49"/>
        <v/>
      </c>
      <c r="P179" s="31" t="str">
        <f t="shared" si="48"/>
        <v/>
      </c>
      <c r="Q179" s="35" t="str">
        <f>IFERROR(VLOOKUP(C179,装备!$B:$E,3,FALSE),"")</f>
        <v/>
      </c>
      <c r="R179" s="35" t="str">
        <f>IFERROR(VLOOKUP(D179,装备!$B:$E,3,FALSE),"")</f>
        <v/>
      </c>
      <c r="S179" s="35" t="str">
        <f>IFERROR(VLOOKUP(E179,装备!$B:$E,3,FALSE),"")</f>
        <v/>
      </c>
      <c r="T179" s="35" t="str">
        <f>IFERROR(VLOOKUP(F179,装备!$B:$E,3,FALSE),"")</f>
        <v/>
      </c>
      <c r="U179" s="35" t="str">
        <f>IFERROR(VLOOKUP(G179,装备!$B:$E,3,FALSE),"")</f>
        <v/>
      </c>
      <c r="V179" s="35" t="str">
        <f>IFERROR(VLOOKUP(H179,装备!$B:$E,3,FALSE),"")</f>
        <v/>
      </c>
      <c r="W179" s="30" t="str">
        <f t="shared" si="50"/>
        <v/>
      </c>
      <c r="X179" s="30" t="str">
        <f t="shared" si="51"/>
        <v/>
      </c>
      <c r="Y179" s="30" t="str">
        <f t="shared" si="52"/>
        <v/>
      </c>
      <c r="Z179" s="30" t="str">
        <f t="shared" si="53"/>
        <v/>
      </c>
      <c r="AA179" s="30" t="str">
        <f t="shared" si="54"/>
        <v/>
      </c>
      <c r="AB179" s="30" t="str">
        <f t="shared" si="55"/>
        <v>|n=0</v>
      </c>
    </row>
    <row r="180" spans="1:28">
      <c r="A180" s="31">
        <f>装备!A155</f>
        <v>0</v>
      </c>
      <c r="B180" s="31" t="str">
        <f>"'"&amp;装备!B155&amp;"'"</f>
        <v>'IT05'</v>
      </c>
      <c r="C180" s="31">
        <f>装备!J155</f>
        <v>0</v>
      </c>
      <c r="D180" s="31">
        <f>装备!K155</f>
        <v>0</v>
      </c>
      <c r="E180" s="31">
        <f>装备!L155</f>
        <v>0</v>
      </c>
      <c r="F180" s="31">
        <f>装备!M155</f>
        <v>0</v>
      </c>
      <c r="G180" s="31">
        <f>装备!N155</f>
        <v>0</v>
      </c>
      <c r="H180" s="31">
        <f>装备!O155</f>
        <v>0</v>
      </c>
      <c r="I180" s="31">
        <f>IF(装备!J155=0,0,"'"&amp;装备!J155&amp;"'")</f>
        <v>0</v>
      </c>
      <c r="J180" s="31">
        <f>IF(装备!K155=0,0,"'"&amp;装备!K155&amp;"'")</f>
        <v>0</v>
      </c>
      <c r="K180" s="31">
        <f>IF(装备!L155=0,0,"'"&amp;装备!L155&amp;"'")</f>
        <v>0</v>
      </c>
      <c r="L180" s="31">
        <f>IF(装备!M155=0,0,"'"&amp;装备!M155&amp;"'")</f>
        <v>0</v>
      </c>
      <c r="M180" s="31">
        <f>IF(装备!N155=0,0,"'"&amp;装备!N155&amp;"'")</f>
        <v>0</v>
      </c>
      <c r="N180" s="31">
        <f>IF(装备!O155=0,0,"'"&amp;装备!O155&amp;"'")</f>
        <v>0</v>
      </c>
      <c r="O180" s="31" t="str">
        <f t="shared" si="49"/>
        <v/>
      </c>
      <c r="P180" s="31" t="str">
        <f t="shared" si="48"/>
        <v/>
      </c>
      <c r="Q180" s="35" t="str">
        <f>IFERROR(VLOOKUP(C180,装备!$B:$E,3,FALSE),"")</f>
        <v/>
      </c>
      <c r="R180" s="35" t="str">
        <f>IFERROR(VLOOKUP(D180,装备!$B:$E,3,FALSE),"")</f>
        <v/>
      </c>
      <c r="S180" s="35" t="str">
        <f>IFERROR(VLOOKUP(E180,装备!$B:$E,3,FALSE),"")</f>
        <v/>
      </c>
      <c r="T180" s="35" t="str">
        <f>IFERROR(VLOOKUP(F180,装备!$B:$E,3,FALSE),"")</f>
        <v/>
      </c>
      <c r="U180" s="35" t="str">
        <f>IFERROR(VLOOKUP(G180,装备!$B:$E,3,FALSE),"")</f>
        <v/>
      </c>
      <c r="V180" s="35" t="str">
        <f>IFERROR(VLOOKUP(H180,装备!$B:$E,3,FALSE),"")</f>
        <v/>
      </c>
      <c r="W180" s="30" t="str">
        <f t="shared" si="50"/>
        <v/>
      </c>
      <c r="X180" s="30" t="str">
        <f t="shared" si="51"/>
        <v/>
      </c>
      <c r="Y180" s="30" t="str">
        <f t="shared" si="52"/>
        <v/>
      </c>
      <c r="Z180" s="30" t="str">
        <f t="shared" si="53"/>
        <v/>
      </c>
      <c r="AA180" s="30" t="str">
        <f t="shared" si="54"/>
        <v/>
      </c>
      <c r="AB180" s="30" t="str">
        <f t="shared" si="55"/>
        <v>|n=0</v>
      </c>
    </row>
    <row r="181" spans="1:28">
      <c r="A181" s="31">
        <f>装备!A156</f>
        <v>0</v>
      </c>
      <c r="B181" s="31" t="str">
        <f>"'"&amp;装备!B156&amp;"'"</f>
        <v>'IT06'</v>
      </c>
      <c r="C181" s="31">
        <f>装备!J156</f>
        <v>0</v>
      </c>
      <c r="D181" s="31">
        <f>装备!K156</f>
        <v>0</v>
      </c>
      <c r="E181" s="31">
        <f>装备!L156</f>
        <v>0</v>
      </c>
      <c r="F181" s="31">
        <f>装备!M156</f>
        <v>0</v>
      </c>
      <c r="G181" s="31">
        <f>装备!N156</f>
        <v>0</v>
      </c>
      <c r="H181" s="31">
        <f>装备!O156</f>
        <v>0</v>
      </c>
      <c r="I181" s="31">
        <f>IF(装备!J156=0,0,"'"&amp;装备!J156&amp;"'")</f>
        <v>0</v>
      </c>
      <c r="J181" s="31">
        <f>IF(装备!K156=0,0,"'"&amp;装备!K156&amp;"'")</f>
        <v>0</v>
      </c>
      <c r="K181" s="31">
        <f>IF(装备!L156=0,0,"'"&amp;装备!L156&amp;"'")</f>
        <v>0</v>
      </c>
      <c r="L181" s="31">
        <f>IF(装备!M156=0,0,"'"&amp;装备!M156&amp;"'")</f>
        <v>0</v>
      </c>
      <c r="M181" s="31">
        <f>IF(装备!N156=0,0,"'"&amp;装备!N156&amp;"'")</f>
        <v>0</v>
      </c>
      <c r="N181" s="31">
        <f>IF(装备!O156=0,0,"'"&amp;装备!O156&amp;"'")</f>
        <v>0</v>
      </c>
      <c r="O181" s="31" t="str">
        <f t="shared" si="49"/>
        <v/>
      </c>
      <c r="P181" s="31" t="str">
        <f t="shared" si="48"/>
        <v/>
      </c>
      <c r="Q181" s="35" t="str">
        <f>IFERROR(VLOOKUP(C181,装备!$B:$E,3,FALSE),"")</f>
        <v/>
      </c>
      <c r="R181" s="35" t="str">
        <f>IFERROR(VLOOKUP(D181,装备!$B:$E,3,FALSE),"")</f>
        <v/>
      </c>
      <c r="S181" s="35" t="str">
        <f>IFERROR(VLOOKUP(E181,装备!$B:$E,3,FALSE),"")</f>
        <v/>
      </c>
      <c r="T181" s="35" t="str">
        <f>IFERROR(VLOOKUP(F181,装备!$B:$E,3,FALSE),"")</f>
        <v/>
      </c>
      <c r="U181" s="35" t="str">
        <f>IFERROR(VLOOKUP(G181,装备!$B:$E,3,FALSE),"")</f>
        <v/>
      </c>
      <c r="V181" s="35" t="str">
        <f>IFERROR(VLOOKUP(H181,装备!$B:$E,3,FALSE),"")</f>
        <v/>
      </c>
      <c r="W181" s="30" t="str">
        <f t="shared" si="50"/>
        <v/>
      </c>
      <c r="X181" s="30" t="str">
        <f t="shared" si="51"/>
        <v/>
      </c>
      <c r="Y181" s="30" t="str">
        <f t="shared" si="52"/>
        <v/>
      </c>
      <c r="Z181" s="30" t="str">
        <f t="shared" si="53"/>
        <v/>
      </c>
      <c r="AA181" s="30" t="str">
        <f t="shared" si="54"/>
        <v/>
      </c>
      <c r="AB181" s="30" t="str">
        <f t="shared" si="55"/>
        <v>|n=0</v>
      </c>
    </row>
    <row r="182" spans="1:28">
      <c r="A182" s="31">
        <f>装备!A157</f>
        <v>0</v>
      </c>
      <c r="B182" s="31" t="str">
        <f>"'"&amp;装备!B157&amp;"'"</f>
        <v>'IT07'</v>
      </c>
      <c r="C182" s="31">
        <f>装备!J157</f>
        <v>0</v>
      </c>
      <c r="D182" s="31">
        <f>装备!K157</f>
        <v>0</v>
      </c>
      <c r="E182" s="31">
        <f>装备!L157</f>
        <v>0</v>
      </c>
      <c r="F182" s="31">
        <f>装备!M157</f>
        <v>0</v>
      </c>
      <c r="G182" s="31">
        <f>装备!N157</f>
        <v>0</v>
      </c>
      <c r="H182" s="31">
        <f>装备!O157</f>
        <v>0</v>
      </c>
      <c r="I182" s="31">
        <f>IF(装备!J157=0,0,"'"&amp;装备!J157&amp;"'")</f>
        <v>0</v>
      </c>
      <c r="J182" s="31">
        <f>IF(装备!K157=0,0,"'"&amp;装备!K157&amp;"'")</f>
        <v>0</v>
      </c>
      <c r="K182" s="31">
        <f>IF(装备!L157=0,0,"'"&amp;装备!L157&amp;"'")</f>
        <v>0</v>
      </c>
      <c r="L182" s="31">
        <f>IF(装备!M157=0,0,"'"&amp;装备!M157&amp;"'")</f>
        <v>0</v>
      </c>
      <c r="M182" s="31">
        <f>IF(装备!N157=0,0,"'"&amp;装备!N157&amp;"'")</f>
        <v>0</v>
      </c>
      <c r="N182" s="31">
        <f>IF(装备!O157=0,0,"'"&amp;装备!O157&amp;"'")</f>
        <v>0</v>
      </c>
      <c r="O182" s="31" t="str">
        <f t="shared" si="49"/>
        <v/>
      </c>
      <c r="P182" s="31" t="str">
        <f t="shared" si="48"/>
        <v/>
      </c>
      <c r="Q182" s="35" t="str">
        <f>IFERROR(VLOOKUP(C182,装备!$B:$E,3,FALSE),"")</f>
        <v/>
      </c>
      <c r="R182" s="35" t="str">
        <f>IFERROR(VLOOKUP(D182,装备!$B:$E,3,FALSE),"")</f>
        <v/>
      </c>
      <c r="S182" s="35" t="str">
        <f>IFERROR(VLOOKUP(E182,装备!$B:$E,3,FALSE),"")</f>
        <v/>
      </c>
      <c r="T182" s="35" t="str">
        <f>IFERROR(VLOOKUP(F182,装备!$B:$E,3,FALSE),"")</f>
        <v/>
      </c>
      <c r="U182" s="35" t="str">
        <f>IFERROR(VLOOKUP(G182,装备!$B:$E,3,FALSE),"")</f>
        <v/>
      </c>
      <c r="V182" s="35" t="str">
        <f>IFERROR(VLOOKUP(H182,装备!$B:$E,3,FALSE),"")</f>
        <v/>
      </c>
      <c r="W182" s="30" t="str">
        <f t="shared" si="50"/>
        <v/>
      </c>
      <c r="X182" s="30" t="str">
        <f t="shared" si="51"/>
        <v/>
      </c>
      <c r="Y182" s="30" t="str">
        <f t="shared" si="52"/>
        <v/>
      </c>
      <c r="Z182" s="30" t="str">
        <f t="shared" si="53"/>
        <v/>
      </c>
      <c r="AA182" s="30" t="str">
        <f t="shared" si="54"/>
        <v/>
      </c>
      <c r="AB182" s="30" t="str">
        <f t="shared" si="55"/>
        <v>|n=0</v>
      </c>
    </row>
    <row r="183" spans="1:28">
      <c r="A183" s="31" t="str">
        <f>装备!A158</f>
        <v>.</v>
      </c>
      <c r="B183" s="31" t="str">
        <f>"'"&amp;装备!B158&amp;"'"</f>
        <v>'IT08'</v>
      </c>
      <c r="C183" s="31">
        <f>装备!J158</f>
        <v>0</v>
      </c>
      <c r="D183" s="31">
        <f>装备!K158</f>
        <v>0</v>
      </c>
      <c r="E183" s="31">
        <f>装备!L158</f>
        <v>0</v>
      </c>
      <c r="F183" s="31">
        <f>装备!M158</f>
        <v>0</v>
      </c>
      <c r="G183" s="31">
        <f>装备!N158</f>
        <v>0</v>
      </c>
      <c r="H183" s="31">
        <f>装备!O158</f>
        <v>0</v>
      </c>
      <c r="I183" s="31">
        <f>IF(装备!J158=0,0,"'"&amp;装备!J158&amp;"'")</f>
        <v>0</v>
      </c>
      <c r="J183" s="31">
        <f>IF(装备!K158=0,0,"'"&amp;装备!K158&amp;"'")</f>
        <v>0</v>
      </c>
      <c r="K183" s="31">
        <f>IF(装备!L158=0,0,"'"&amp;装备!L158&amp;"'")</f>
        <v>0</v>
      </c>
      <c r="L183" s="31">
        <f>IF(装备!M158=0,0,"'"&amp;装备!M158&amp;"'")</f>
        <v>0</v>
      </c>
      <c r="M183" s="31">
        <f>IF(装备!N158=0,0,"'"&amp;装备!N158&amp;"'")</f>
        <v>0</v>
      </c>
      <c r="N183" s="31">
        <f>IF(装备!O158=0,0,"'"&amp;装备!O158&amp;"'")</f>
        <v>0</v>
      </c>
      <c r="O183" s="31" t="str">
        <f t="shared" si="49"/>
        <v/>
      </c>
      <c r="P183" s="31" t="str">
        <f t="shared" si="48"/>
        <v/>
      </c>
      <c r="Q183" s="35" t="str">
        <f>IFERROR(VLOOKUP(C183,装备!$B:$E,3,FALSE),"")</f>
        <v/>
      </c>
      <c r="R183" s="35" t="str">
        <f>IFERROR(VLOOKUP(D183,装备!$B:$E,3,FALSE),"")</f>
        <v/>
      </c>
      <c r="S183" s="35" t="str">
        <f>IFERROR(VLOOKUP(E183,装备!$B:$E,3,FALSE),"")</f>
        <v/>
      </c>
      <c r="T183" s="35" t="str">
        <f>IFERROR(VLOOKUP(F183,装备!$B:$E,3,FALSE),"")</f>
        <v/>
      </c>
      <c r="U183" s="35" t="str">
        <f>IFERROR(VLOOKUP(G183,装备!$B:$E,3,FALSE),"")</f>
        <v/>
      </c>
      <c r="V183" s="35" t="str">
        <f>IFERROR(VLOOKUP(H183,装备!$B:$E,3,FALSE),"")</f>
        <v/>
      </c>
      <c r="W183" s="30" t="str">
        <f t="shared" si="50"/>
        <v/>
      </c>
      <c r="X183" s="30" t="str">
        <f t="shared" si="51"/>
        <v/>
      </c>
      <c r="Y183" s="30" t="str">
        <f t="shared" si="52"/>
        <v/>
      </c>
      <c r="Z183" s="30" t="str">
        <f t="shared" si="53"/>
        <v/>
      </c>
      <c r="AA183" s="30" t="str">
        <f t="shared" si="54"/>
        <v/>
      </c>
      <c r="AB183" s="30" t="str">
        <f t="shared" si="55"/>
        <v>|n=.</v>
      </c>
    </row>
    <row r="184" spans="1:28">
      <c r="A184" s="31">
        <f>装备!A159</f>
        <v>0</v>
      </c>
      <c r="B184" s="31" t="str">
        <f>"'"&amp;装备!B159&amp;"'"</f>
        <v>'IT09'</v>
      </c>
      <c r="C184" s="31">
        <f>装备!J159</f>
        <v>0</v>
      </c>
      <c r="D184" s="31">
        <f>装备!K159</f>
        <v>0</v>
      </c>
      <c r="E184" s="31">
        <f>装备!L159</f>
        <v>0</v>
      </c>
      <c r="F184" s="31">
        <f>装备!M159</f>
        <v>0</v>
      </c>
      <c r="G184" s="31">
        <f>装备!N159</f>
        <v>0</v>
      </c>
      <c r="H184" s="31">
        <f>装备!O159</f>
        <v>0</v>
      </c>
      <c r="I184" s="31">
        <f>IF(装备!J159=0,0,"'"&amp;装备!J159&amp;"'")</f>
        <v>0</v>
      </c>
      <c r="J184" s="31">
        <f>IF(装备!K159=0,0,"'"&amp;装备!K159&amp;"'")</f>
        <v>0</v>
      </c>
      <c r="K184" s="31">
        <f>IF(装备!L159=0,0,"'"&amp;装备!L159&amp;"'")</f>
        <v>0</v>
      </c>
      <c r="L184" s="31">
        <f>IF(装备!M159=0,0,"'"&amp;装备!M159&amp;"'")</f>
        <v>0</v>
      </c>
      <c r="M184" s="31">
        <f>IF(装备!N159=0,0,"'"&amp;装备!N159&amp;"'")</f>
        <v>0</v>
      </c>
      <c r="N184" s="31">
        <f>IF(装备!O159=0,0,"'"&amp;装备!O159&amp;"'")</f>
        <v>0</v>
      </c>
      <c r="O184" s="31" t="str">
        <f t="shared" si="49"/>
        <v/>
      </c>
      <c r="P184" s="31" t="str">
        <f t="shared" ref="P184:P215" si="56">IFERROR(VLOOKUP(A184,Q:AB,12,FALSE),IFERROR(VLOOKUP(A184,R:AB,11,FALSE),IFERROR(VLOOKUP(A184,S:AB,10,FALSE),"")))</f>
        <v/>
      </c>
      <c r="Q184" s="35" t="str">
        <f>IFERROR(VLOOKUP(C184,装备!$B:$E,3,FALSE),"")</f>
        <v/>
      </c>
      <c r="R184" s="35" t="str">
        <f>IFERROR(VLOOKUP(D184,装备!$B:$E,3,FALSE),"")</f>
        <v/>
      </c>
      <c r="S184" s="35" t="str">
        <f>IFERROR(VLOOKUP(E184,装备!$B:$E,3,FALSE),"")</f>
        <v/>
      </c>
      <c r="T184" s="35" t="str">
        <f>IFERROR(VLOOKUP(F184,装备!$B:$E,3,FALSE),"")</f>
        <v/>
      </c>
      <c r="U184" s="35" t="str">
        <f>IFERROR(VLOOKUP(G184,装备!$B:$E,3,FALSE),"")</f>
        <v/>
      </c>
      <c r="V184" s="35" t="str">
        <f>IFERROR(VLOOKUP(H184,装备!$B:$E,3,FALSE),"")</f>
        <v/>
      </c>
      <c r="W184" s="30" t="str">
        <f t="shared" si="50"/>
        <v/>
      </c>
      <c r="X184" s="30" t="str">
        <f t="shared" si="51"/>
        <v/>
      </c>
      <c r="Y184" s="30" t="str">
        <f t="shared" si="52"/>
        <v/>
      </c>
      <c r="Z184" s="30" t="str">
        <f t="shared" si="53"/>
        <v/>
      </c>
      <c r="AA184" s="30" t="str">
        <f t="shared" si="54"/>
        <v/>
      </c>
      <c r="AB184" s="30" t="str">
        <f t="shared" si="55"/>
        <v>|n=0</v>
      </c>
    </row>
    <row r="185" spans="1:28">
      <c r="A185" s="31">
        <f>装备!A160</f>
        <v>0</v>
      </c>
      <c r="B185" s="31" t="str">
        <f>"'"&amp;装备!B160&amp;"'"</f>
        <v>'IT10'</v>
      </c>
      <c r="C185" s="31">
        <f>装备!J160</f>
        <v>0</v>
      </c>
      <c r="D185" s="31">
        <f>装备!K160</f>
        <v>0</v>
      </c>
      <c r="E185" s="31">
        <f>装备!L160</f>
        <v>0</v>
      </c>
      <c r="F185" s="31">
        <f>装备!M160</f>
        <v>0</v>
      </c>
      <c r="G185" s="31">
        <f>装备!N160</f>
        <v>0</v>
      </c>
      <c r="H185" s="31">
        <f>装备!O160</f>
        <v>0</v>
      </c>
      <c r="I185" s="31">
        <f>IF(装备!J160=0,0,"'"&amp;装备!J160&amp;"'")</f>
        <v>0</v>
      </c>
      <c r="J185" s="31">
        <f>IF(装备!K160=0,0,"'"&amp;装备!K160&amp;"'")</f>
        <v>0</v>
      </c>
      <c r="K185" s="31">
        <f>IF(装备!L160=0,0,"'"&amp;装备!L160&amp;"'")</f>
        <v>0</v>
      </c>
      <c r="L185" s="31">
        <f>IF(装备!M160=0,0,"'"&amp;装备!M160&amp;"'")</f>
        <v>0</v>
      </c>
      <c r="M185" s="31">
        <f>IF(装备!N160=0,0,"'"&amp;装备!N160&amp;"'")</f>
        <v>0</v>
      </c>
      <c r="N185" s="31">
        <f>IF(装备!O160=0,0,"'"&amp;装备!O160&amp;"'")</f>
        <v>0</v>
      </c>
      <c r="O185" s="31" t="str">
        <f t="shared" si="49"/>
        <v/>
      </c>
      <c r="P185" s="31" t="str">
        <f t="shared" si="56"/>
        <v/>
      </c>
      <c r="Q185" s="35" t="str">
        <f>IFERROR(VLOOKUP(C185,装备!$B:$E,3,FALSE),"")</f>
        <v/>
      </c>
      <c r="R185" s="35" t="str">
        <f>IFERROR(VLOOKUP(D185,装备!$B:$E,3,FALSE),"")</f>
        <v/>
      </c>
      <c r="S185" s="35" t="str">
        <f>IFERROR(VLOOKUP(E185,装备!$B:$E,3,FALSE),"")</f>
        <v/>
      </c>
      <c r="T185" s="35" t="str">
        <f>IFERROR(VLOOKUP(F185,装备!$B:$E,3,FALSE),"")</f>
        <v/>
      </c>
      <c r="U185" s="35" t="str">
        <f>IFERROR(VLOOKUP(G185,装备!$B:$E,3,FALSE),"")</f>
        <v/>
      </c>
      <c r="V185" s="35" t="str">
        <f>IFERROR(VLOOKUP(H185,装备!$B:$E,3,FALSE),"")</f>
        <v/>
      </c>
      <c r="W185" s="30" t="str">
        <f t="shared" si="50"/>
        <v/>
      </c>
      <c r="X185" s="30" t="str">
        <f t="shared" si="51"/>
        <v/>
      </c>
      <c r="Y185" s="30" t="str">
        <f t="shared" si="52"/>
        <v/>
      </c>
      <c r="Z185" s="30" t="str">
        <f t="shared" si="53"/>
        <v/>
      </c>
      <c r="AA185" s="30" t="str">
        <f t="shared" si="54"/>
        <v/>
      </c>
      <c r="AB185" s="30" t="str">
        <f t="shared" si="55"/>
        <v>|n=0</v>
      </c>
    </row>
    <row r="186" spans="1:28">
      <c r="A186" s="31">
        <f>装备!A167</f>
        <v>0</v>
      </c>
      <c r="B186" s="31" t="str">
        <f>"'"&amp;装备!B167&amp;"'"</f>
        <v>'IS02'</v>
      </c>
      <c r="C186" s="31">
        <f>装备!J167</f>
        <v>0</v>
      </c>
      <c r="D186" s="31">
        <f>装备!K167</f>
        <v>0</v>
      </c>
      <c r="E186" s="31">
        <f>装备!L167</f>
        <v>0</v>
      </c>
      <c r="F186" s="31">
        <f>装备!M167</f>
        <v>0</v>
      </c>
      <c r="G186" s="31">
        <f>装备!N167</f>
        <v>0</v>
      </c>
      <c r="H186" s="31">
        <f>装备!O167</f>
        <v>0</v>
      </c>
      <c r="I186" s="31">
        <f>IF(装备!J167=0,0,"'"&amp;装备!J167&amp;"'")</f>
        <v>0</v>
      </c>
      <c r="J186" s="31">
        <f>IF(装备!K167=0,0,"'"&amp;装备!K167&amp;"'")</f>
        <v>0</v>
      </c>
      <c r="K186" s="31">
        <f>IF(装备!L167=0,0,"'"&amp;装备!L167&amp;"'")</f>
        <v>0</v>
      </c>
      <c r="L186" s="31">
        <f>IF(装备!M167=0,0,"'"&amp;装备!M167&amp;"'")</f>
        <v>0</v>
      </c>
      <c r="M186" s="31">
        <f>IF(装备!N167=0,0,"'"&amp;装备!N167&amp;"'")</f>
        <v>0</v>
      </c>
      <c r="N186" s="31">
        <f>IF(装备!O167=0,0,"'"&amp;装备!O167&amp;"'")</f>
        <v>0</v>
      </c>
      <c r="O186" s="31" t="str">
        <f t="shared" si="49"/>
        <v/>
      </c>
      <c r="P186" s="31" t="str">
        <f t="shared" si="56"/>
        <v/>
      </c>
      <c r="Q186" s="35" t="str">
        <f>IFERROR(VLOOKUP(C186,装备!$B:$E,3,FALSE),"")</f>
        <v/>
      </c>
      <c r="R186" s="35" t="str">
        <f>IFERROR(VLOOKUP(D186,装备!$B:$E,3,FALSE),"")</f>
        <v/>
      </c>
      <c r="S186" s="35" t="str">
        <f>IFERROR(VLOOKUP(E186,装备!$B:$E,3,FALSE),"")</f>
        <v/>
      </c>
      <c r="T186" s="35" t="str">
        <f>IFERROR(VLOOKUP(F186,装备!$B:$E,3,FALSE),"")</f>
        <v/>
      </c>
      <c r="U186" s="35" t="str">
        <f>IFERROR(VLOOKUP(G186,装备!$B:$E,3,FALSE),"")</f>
        <v/>
      </c>
      <c r="V186" s="35" t="str">
        <f>IFERROR(VLOOKUP(H186,装备!$B:$E,3,FALSE),"")</f>
        <v/>
      </c>
      <c r="W186" s="30" t="str">
        <f t="shared" si="50"/>
        <v/>
      </c>
      <c r="X186" s="30" t="str">
        <f t="shared" si="51"/>
        <v/>
      </c>
      <c r="Y186" s="30" t="str">
        <f t="shared" si="52"/>
        <v/>
      </c>
      <c r="Z186" s="30" t="str">
        <f t="shared" si="53"/>
        <v/>
      </c>
      <c r="AA186" s="30" t="str">
        <f t="shared" si="54"/>
        <v/>
      </c>
      <c r="AB186" s="30" t="str">
        <f t="shared" si="55"/>
        <v>|n=0</v>
      </c>
    </row>
    <row r="187" spans="1:28">
      <c r="A187" s="31">
        <f>装备!A168</f>
        <v>0</v>
      </c>
      <c r="B187" s="31" t="str">
        <f>"'"&amp;装备!B168&amp;"'"</f>
        <v>'IS03'</v>
      </c>
      <c r="C187" s="31">
        <f>装备!J168</f>
        <v>0</v>
      </c>
      <c r="D187" s="31">
        <f>装备!K168</f>
        <v>0</v>
      </c>
      <c r="E187" s="31">
        <f>装备!L168</f>
        <v>0</v>
      </c>
      <c r="F187" s="31">
        <f>装备!M168</f>
        <v>0</v>
      </c>
      <c r="G187" s="31">
        <f>装备!N168</f>
        <v>0</v>
      </c>
      <c r="H187" s="31">
        <f>装备!O168</f>
        <v>0</v>
      </c>
      <c r="I187" s="31">
        <f>IF(装备!J168=0,0,"'"&amp;装备!J168&amp;"'")</f>
        <v>0</v>
      </c>
      <c r="J187" s="31">
        <f>IF(装备!K168=0,0,"'"&amp;装备!K168&amp;"'")</f>
        <v>0</v>
      </c>
      <c r="K187" s="31">
        <f>IF(装备!L168=0,0,"'"&amp;装备!L168&amp;"'")</f>
        <v>0</v>
      </c>
      <c r="L187" s="31">
        <f>IF(装备!M168=0,0,"'"&amp;装备!M168&amp;"'")</f>
        <v>0</v>
      </c>
      <c r="M187" s="31">
        <f>IF(装备!N168=0,0,"'"&amp;装备!N168&amp;"'")</f>
        <v>0</v>
      </c>
      <c r="N187" s="31">
        <f>IF(装备!O168=0,0,"'"&amp;装备!O168&amp;"'")</f>
        <v>0</v>
      </c>
      <c r="O187" s="31" t="str">
        <f t="shared" ref="O187:O214" si="57">IF(I187=0,"","AddItemFormula("&amp;I187&amp;","&amp;J187&amp;","&amp;K187&amp;","&amp;L187&amp;","&amp;M187&amp;","&amp;N187&amp;","&amp;B187&amp;")")</f>
        <v/>
      </c>
      <c r="P187" s="31" t="str">
        <f t="shared" si="56"/>
        <v/>
      </c>
      <c r="Q187" s="35" t="str">
        <f>IFERROR(VLOOKUP(C187,装备!$B:$E,3,FALSE),"")</f>
        <v/>
      </c>
      <c r="R187" s="35" t="str">
        <f>IFERROR(VLOOKUP(D187,装备!$B:$E,3,FALSE),"")</f>
        <v/>
      </c>
      <c r="S187" s="35" t="str">
        <f>IFERROR(VLOOKUP(E187,装备!$B:$E,3,FALSE),"")</f>
        <v/>
      </c>
      <c r="T187" s="35" t="str">
        <f>IFERROR(VLOOKUP(F187,装备!$B:$E,3,FALSE),"")</f>
        <v/>
      </c>
      <c r="U187" s="35" t="str">
        <f>IFERROR(VLOOKUP(G187,装备!$B:$E,3,FALSE),"")</f>
        <v/>
      </c>
      <c r="V187" s="35" t="str">
        <f>IFERROR(VLOOKUP(H187,装备!$B:$E,3,FALSE),"")</f>
        <v/>
      </c>
      <c r="W187" s="30" t="str">
        <f t="shared" ref="W187:W214" si="58">IF(R187="","","+"&amp;R187)</f>
        <v/>
      </c>
      <c r="X187" s="30" t="str">
        <f t="shared" ref="X187:X214" si="59">IF(S187="","","+"&amp;S187)</f>
        <v/>
      </c>
      <c r="Y187" s="30" t="str">
        <f t="shared" ref="Y187:Y214" si="60">IF(T187="","","+"&amp;T187)</f>
        <v/>
      </c>
      <c r="Z187" s="30" t="str">
        <f t="shared" ref="Z187:Z214" si="61">IF(U187="","","+"&amp;U187)</f>
        <v/>
      </c>
      <c r="AA187" s="30" t="str">
        <f t="shared" ref="AA187:AA214" si="62">IF(V187="","","+"&amp;V187)</f>
        <v/>
      </c>
      <c r="AB187" s="30" t="str">
        <f t="shared" ref="AB187:AB214" si="63">"|n"&amp;Q187&amp;W187&amp;X187&amp;Y187&amp;Z187&amp;AA187&amp;"="&amp;A187</f>
        <v>|n=0</v>
      </c>
    </row>
    <row r="188" spans="1:28">
      <c r="A188" s="31" t="e">
        <f>装备!#REF!</f>
        <v>#REF!</v>
      </c>
      <c r="B188" s="31" t="e">
        <f>"'"&amp;装备!#REF!&amp;"'"</f>
        <v>#REF!</v>
      </c>
      <c r="C188" s="31" t="e">
        <f>装备!#REF!</f>
        <v>#REF!</v>
      </c>
      <c r="D188" s="31" t="e">
        <f>装备!#REF!</f>
        <v>#REF!</v>
      </c>
      <c r="E188" s="31" t="e">
        <f>装备!#REF!</f>
        <v>#REF!</v>
      </c>
      <c r="F188" s="31" t="e">
        <f>装备!#REF!</f>
        <v>#REF!</v>
      </c>
      <c r="G188" s="31" t="e">
        <f>装备!#REF!</f>
        <v>#REF!</v>
      </c>
      <c r="H188" s="31" t="e">
        <f>装备!#REF!</f>
        <v>#REF!</v>
      </c>
      <c r="I188" s="31" t="e">
        <f>IF(装备!#REF!=0,0,"'"&amp;装备!#REF!&amp;"'")</f>
        <v>#REF!</v>
      </c>
      <c r="J188" s="31" t="e">
        <f>IF(装备!#REF!=0,0,"'"&amp;装备!#REF!&amp;"'")</f>
        <v>#REF!</v>
      </c>
      <c r="K188" s="31" t="e">
        <f>IF(装备!#REF!=0,0,"'"&amp;装备!#REF!&amp;"'")</f>
        <v>#REF!</v>
      </c>
      <c r="L188" s="31" t="e">
        <f>IF(装备!#REF!=0,0,"'"&amp;装备!#REF!&amp;"'")</f>
        <v>#REF!</v>
      </c>
      <c r="M188" s="31" t="e">
        <f>IF(装备!#REF!=0,0,"'"&amp;装备!#REF!&amp;"'")</f>
        <v>#REF!</v>
      </c>
      <c r="N188" s="31" t="e">
        <f>IF(装备!#REF!=0,0,"'"&amp;装备!#REF!&amp;"'")</f>
        <v>#REF!</v>
      </c>
      <c r="O188" s="31" t="e">
        <f t="shared" si="57"/>
        <v>#REF!</v>
      </c>
      <c r="P188" s="31" t="str">
        <f t="shared" si="56"/>
        <v/>
      </c>
      <c r="Q188" s="35" t="str">
        <f>IFERROR(VLOOKUP(C188,装备!$B:$E,3,FALSE),"")</f>
        <v/>
      </c>
      <c r="R188" s="35" t="str">
        <f>IFERROR(VLOOKUP(D188,装备!$B:$E,3,FALSE),"")</f>
        <v/>
      </c>
      <c r="S188" s="35" t="str">
        <f>IFERROR(VLOOKUP(E188,装备!$B:$E,3,FALSE),"")</f>
        <v/>
      </c>
      <c r="T188" s="35" t="str">
        <f>IFERROR(VLOOKUP(F188,装备!$B:$E,3,FALSE),"")</f>
        <v/>
      </c>
      <c r="U188" s="35" t="str">
        <f>IFERROR(VLOOKUP(G188,装备!$B:$E,3,FALSE),"")</f>
        <v/>
      </c>
      <c r="V188" s="35" t="str">
        <f>IFERROR(VLOOKUP(H188,装备!$B:$E,3,FALSE),"")</f>
        <v/>
      </c>
      <c r="W188" s="30" t="str">
        <f t="shared" si="58"/>
        <v/>
      </c>
      <c r="X188" s="30" t="str">
        <f t="shared" si="59"/>
        <v/>
      </c>
      <c r="Y188" s="30" t="str">
        <f t="shared" si="60"/>
        <v/>
      </c>
      <c r="Z188" s="30" t="str">
        <f t="shared" si="61"/>
        <v/>
      </c>
      <c r="AA188" s="30" t="str">
        <f t="shared" si="62"/>
        <v/>
      </c>
      <c r="AB188" s="30" t="e">
        <f t="shared" si="63"/>
        <v>#REF!</v>
      </c>
    </row>
    <row r="189" spans="1:28">
      <c r="A189" s="31" t="e">
        <f>装备!#REF!</f>
        <v>#REF!</v>
      </c>
      <c r="B189" s="31" t="e">
        <f>"'"&amp;装备!#REF!&amp;"'"</f>
        <v>#REF!</v>
      </c>
      <c r="C189" s="31" t="e">
        <f>装备!#REF!</f>
        <v>#REF!</v>
      </c>
      <c r="D189" s="31" t="e">
        <f>装备!#REF!</f>
        <v>#REF!</v>
      </c>
      <c r="E189" s="31" t="e">
        <f>装备!#REF!</f>
        <v>#REF!</v>
      </c>
      <c r="F189" s="31" t="e">
        <f>装备!#REF!</f>
        <v>#REF!</v>
      </c>
      <c r="G189" s="31" t="e">
        <f>装备!#REF!</f>
        <v>#REF!</v>
      </c>
      <c r="H189" s="31" t="e">
        <f>装备!#REF!</f>
        <v>#REF!</v>
      </c>
      <c r="I189" s="31" t="e">
        <f>IF(装备!#REF!=0,0,"'"&amp;装备!#REF!&amp;"'")</f>
        <v>#REF!</v>
      </c>
      <c r="J189" s="31" t="e">
        <f>IF(装备!#REF!=0,0,"'"&amp;装备!#REF!&amp;"'")</f>
        <v>#REF!</v>
      </c>
      <c r="K189" s="31" t="e">
        <f>IF(装备!#REF!=0,0,"'"&amp;装备!#REF!&amp;"'")</f>
        <v>#REF!</v>
      </c>
      <c r="L189" s="31" t="e">
        <f>IF(装备!#REF!=0,0,"'"&amp;装备!#REF!&amp;"'")</f>
        <v>#REF!</v>
      </c>
      <c r="M189" s="31" t="e">
        <f>IF(装备!#REF!=0,0,"'"&amp;装备!#REF!&amp;"'")</f>
        <v>#REF!</v>
      </c>
      <c r="N189" s="31" t="e">
        <f>IF(装备!#REF!=0,0,"'"&amp;装备!#REF!&amp;"'")</f>
        <v>#REF!</v>
      </c>
      <c r="O189" s="31" t="e">
        <f t="shared" si="57"/>
        <v>#REF!</v>
      </c>
      <c r="P189" s="31" t="str">
        <f t="shared" si="56"/>
        <v/>
      </c>
      <c r="Q189" s="35" t="str">
        <f>IFERROR(VLOOKUP(C189,装备!$B:$E,3,FALSE),"")</f>
        <v/>
      </c>
      <c r="R189" s="35" t="str">
        <f>IFERROR(VLOOKUP(D189,装备!$B:$E,3,FALSE),"")</f>
        <v/>
      </c>
      <c r="S189" s="35" t="str">
        <f>IFERROR(VLOOKUP(E189,装备!$B:$E,3,FALSE),"")</f>
        <v/>
      </c>
      <c r="T189" s="35" t="str">
        <f>IFERROR(VLOOKUP(F189,装备!$B:$E,3,FALSE),"")</f>
        <v/>
      </c>
      <c r="U189" s="35" t="str">
        <f>IFERROR(VLOOKUP(G189,装备!$B:$E,3,FALSE),"")</f>
        <v/>
      </c>
      <c r="V189" s="35" t="str">
        <f>IFERROR(VLOOKUP(H189,装备!$B:$E,3,FALSE),"")</f>
        <v/>
      </c>
      <c r="W189" s="30" t="str">
        <f t="shared" si="58"/>
        <v/>
      </c>
      <c r="X189" s="30" t="str">
        <f t="shared" si="59"/>
        <v/>
      </c>
      <c r="Y189" s="30" t="str">
        <f t="shared" si="60"/>
        <v/>
      </c>
      <c r="Z189" s="30" t="str">
        <f t="shared" si="61"/>
        <v/>
      </c>
      <c r="AA189" s="30" t="str">
        <f t="shared" si="62"/>
        <v/>
      </c>
      <c r="AB189" s="30" t="e">
        <f t="shared" si="63"/>
        <v>#REF!</v>
      </c>
    </row>
    <row r="190" spans="1:28">
      <c r="A190" s="31">
        <f>装备!A173</f>
        <v>0</v>
      </c>
      <c r="B190" s="31" t="str">
        <f>"'"&amp;装备!B173&amp;"'"</f>
        <v>'IH00'</v>
      </c>
      <c r="C190" s="31">
        <f>装备!J173</f>
        <v>0</v>
      </c>
      <c r="D190" s="31">
        <f>装备!K173</f>
        <v>0</v>
      </c>
      <c r="E190" s="31">
        <f>装备!L173</f>
        <v>0</v>
      </c>
      <c r="F190" s="31">
        <f>装备!M173</f>
        <v>0</v>
      </c>
      <c r="G190" s="31">
        <f>装备!N173</f>
        <v>0</v>
      </c>
      <c r="H190" s="31">
        <f>装备!O173</f>
        <v>0</v>
      </c>
      <c r="I190" s="31">
        <f>IF(装备!J173=0,0,"'"&amp;装备!J173&amp;"'")</f>
        <v>0</v>
      </c>
      <c r="J190" s="31">
        <f>IF(装备!K173=0,0,"'"&amp;装备!K173&amp;"'")</f>
        <v>0</v>
      </c>
      <c r="K190" s="31">
        <f>IF(装备!L173=0,0,"'"&amp;装备!L173&amp;"'")</f>
        <v>0</v>
      </c>
      <c r="L190" s="31">
        <f>IF(装备!M173=0,0,"'"&amp;装备!M173&amp;"'")</f>
        <v>0</v>
      </c>
      <c r="M190" s="31">
        <f>IF(装备!N173=0,0,"'"&amp;装备!N173&amp;"'")</f>
        <v>0</v>
      </c>
      <c r="N190" s="31">
        <f>IF(装备!O173=0,0,"'"&amp;装备!O173&amp;"'")</f>
        <v>0</v>
      </c>
      <c r="O190" s="31" t="str">
        <f t="shared" si="57"/>
        <v/>
      </c>
      <c r="P190" s="31" t="str">
        <f t="shared" si="56"/>
        <v/>
      </c>
      <c r="Q190" s="35" t="str">
        <f>IFERROR(VLOOKUP(C190,装备!$B:$E,3,FALSE),"")</f>
        <v/>
      </c>
      <c r="R190" s="35" t="str">
        <f>IFERROR(VLOOKUP(D190,装备!$B:$E,3,FALSE),"")</f>
        <v/>
      </c>
      <c r="S190" s="35" t="str">
        <f>IFERROR(VLOOKUP(E190,装备!$B:$E,3,FALSE),"")</f>
        <v/>
      </c>
      <c r="T190" s="35" t="str">
        <f>IFERROR(VLOOKUP(F190,装备!$B:$E,3,FALSE),"")</f>
        <v/>
      </c>
      <c r="U190" s="35" t="str">
        <f>IFERROR(VLOOKUP(G190,装备!$B:$E,3,FALSE),"")</f>
        <v/>
      </c>
      <c r="V190" s="35" t="str">
        <f>IFERROR(VLOOKUP(H190,装备!$B:$E,3,FALSE),"")</f>
        <v/>
      </c>
      <c r="W190" s="30" t="str">
        <f t="shared" si="58"/>
        <v/>
      </c>
      <c r="X190" s="30" t="str">
        <f t="shared" si="59"/>
        <v/>
      </c>
      <c r="Y190" s="30" t="str">
        <f t="shared" si="60"/>
        <v/>
      </c>
      <c r="Z190" s="30" t="str">
        <f t="shared" si="61"/>
        <v/>
      </c>
      <c r="AA190" s="30" t="str">
        <f t="shared" si="62"/>
        <v/>
      </c>
      <c r="AB190" s="30" t="str">
        <f t="shared" si="63"/>
        <v>|n=0</v>
      </c>
    </row>
    <row r="191" spans="1:28">
      <c r="A191" s="31">
        <f>装备!A174</f>
        <v>0</v>
      </c>
      <c r="B191" s="31" t="str">
        <f>"'"&amp;装备!B174&amp;"'"</f>
        <v>'IH01'</v>
      </c>
      <c r="C191" s="31">
        <f>装备!J174</f>
        <v>0</v>
      </c>
      <c r="D191" s="31">
        <f>装备!K174</f>
        <v>0</v>
      </c>
      <c r="E191" s="31">
        <f>装备!L174</f>
        <v>0</v>
      </c>
      <c r="F191" s="31">
        <f>装备!M174</f>
        <v>0</v>
      </c>
      <c r="G191" s="31">
        <f>装备!N174</f>
        <v>0</v>
      </c>
      <c r="H191" s="31">
        <f>装备!O174</f>
        <v>0</v>
      </c>
      <c r="I191" s="31">
        <f>IF(装备!J174=0,0,"'"&amp;装备!J174&amp;"'")</f>
        <v>0</v>
      </c>
      <c r="J191" s="31">
        <f>IF(装备!K174=0,0,"'"&amp;装备!K174&amp;"'")</f>
        <v>0</v>
      </c>
      <c r="K191" s="31">
        <f>IF(装备!L174=0,0,"'"&amp;装备!L174&amp;"'")</f>
        <v>0</v>
      </c>
      <c r="L191" s="31">
        <f>IF(装备!M174=0,0,"'"&amp;装备!M174&amp;"'")</f>
        <v>0</v>
      </c>
      <c r="M191" s="31">
        <f>IF(装备!N174=0,0,"'"&amp;装备!N174&amp;"'")</f>
        <v>0</v>
      </c>
      <c r="N191" s="31">
        <f>IF(装备!O174=0,0,"'"&amp;装备!O174&amp;"'")</f>
        <v>0</v>
      </c>
      <c r="O191" s="31" t="str">
        <f t="shared" si="57"/>
        <v/>
      </c>
      <c r="P191" s="31" t="str">
        <f t="shared" si="56"/>
        <v/>
      </c>
      <c r="Q191" s="35" t="str">
        <f>IFERROR(VLOOKUP(C191,装备!$B:$E,3,FALSE),"")</f>
        <v/>
      </c>
      <c r="R191" s="35" t="str">
        <f>IFERROR(VLOOKUP(D191,装备!$B:$E,3,FALSE),"")</f>
        <v/>
      </c>
      <c r="S191" s="35" t="str">
        <f>IFERROR(VLOOKUP(E191,装备!$B:$E,3,FALSE),"")</f>
        <v/>
      </c>
      <c r="T191" s="35" t="str">
        <f>IFERROR(VLOOKUP(F191,装备!$B:$E,3,FALSE),"")</f>
        <v/>
      </c>
      <c r="U191" s="35" t="str">
        <f>IFERROR(VLOOKUP(G191,装备!$B:$E,3,FALSE),"")</f>
        <v/>
      </c>
      <c r="V191" s="35" t="str">
        <f>IFERROR(VLOOKUP(H191,装备!$B:$E,3,FALSE),"")</f>
        <v/>
      </c>
      <c r="W191" s="30" t="str">
        <f t="shared" si="58"/>
        <v/>
      </c>
      <c r="X191" s="30" t="str">
        <f t="shared" si="59"/>
        <v/>
      </c>
      <c r="Y191" s="30" t="str">
        <f t="shared" si="60"/>
        <v/>
      </c>
      <c r="Z191" s="30" t="str">
        <f t="shared" si="61"/>
        <v/>
      </c>
      <c r="AA191" s="30" t="str">
        <f t="shared" si="62"/>
        <v/>
      </c>
      <c r="AB191" s="30" t="str">
        <f t="shared" si="63"/>
        <v>|n=0</v>
      </c>
    </row>
    <row r="192" spans="1:28">
      <c r="A192" s="31">
        <f>装备!A175</f>
        <v>0</v>
      </c>
      <c r="B192" s="31" t="str">
        <f>"'"&amp;装备!B175&amp;"'"</f>
        <v>'IH02'</v>
      </c>
      <c r="C192" s="31">
        <f>装备!J175</f>
        <v>0</v>
      </c>
      <c r="D192" s="31">
        <f>装备!K175</f>
        <v>0</v>
      </c>
      <c r="E192" s="31">
        <f>装备!L175</f>
        <v>0</v>
      </c>
      <c r="F192" s="31">
        <f>装备!M175</f>
        <v>0</v>
      </c>
      <c r="G192" s="31">
        <f>装备!N175</f>
        <v>0</v>
      </c>
      <c r="H192" s="31">
        <f>装备!O175</f>
        <v>0</v>
      </c>
      <c r="I192" s="31">
        <f>IF(装备!J175=0,0,"'"&amp;装备!J175&amp;"'")</f>
        <v>0</v>
      </c>
      <c r="J192" s="31">
        <f>IF(装备!K175=0,0,"'"&amp;装备!K175&amp;"'")</f>
        <v>0</v>
      </c>
      <c r="K192" s="31">
        <f>IF(装备!L175=0,0,"'"&amp;装备!L175&amp;"'")</f>
        <v>0</v>
      </c>
      <c r="L192" s="31">
        <f>IF(装备!M175=0,0,"'"&amp;装备!M175&amp;"'")</f>
        <v>0</v>
      </c>
      <c r="M192" s="31">
        <f>IF(装备!N175=0,0,"'"&amp;装备!N175&amp;"'")</f>
        <v>0</v>
      </c>
      <c r="N192" s="31">
        <f>IF(装备!O175=0,0,"'"&amp;装备!O175&amp;"'")</f>
        <v>0</v>
      </c>
      <c r="O192" s="31" t="str">
        <f t="shared" si="57"/>
        <v/>
      </c>
      <c r="P192" s="31" t="str">
        <f t="shared" si="56"/>
        <v/>
      </c>
      <c r="Q192" s="35" t="str">
        <f>IFERROR(VLOOKUP(C192,装备!$B:$E,3,FALSE),"")</f>
        <v/>
      </c>
      <c r="R192" s="35" t="str">
        <f>IFERROR(VLOOKUP(D192,装备!$B:$E,3,FALSE),"")</f>
        <v/>
      </c>
      <c r="S192" s="35" t="str">
        <f>IFERROR(VLOOKUP(E192,装备!$B:$E,3,FALSE),"")</f>
        <v/>
      </c>
      <c r="T192" s="35" t="str">
        <f>IFERROR(VLOOKUP(F192,装备!$B:$E,3,FALSE),"")</f>
        <v/>
      </c>
      <c r="U192" s="35" t="str">
        <f>IFERROR(VLOOKUP(G192,装备!$B:$E,3,FALSE),"")</f>
        <v/>
      </c>
      <c r="V192" s="35" t="str">
        <f>IFERROR(VLOOKUP(H192,装备!$B:$E,3,FALSE),"")</f>
        <v/>
      </c>
      <c r="W192" s="30" t="str">
        <f t="shared" si="58"/>
        <v/>
      </c>
      <c r="X192" s="30" t="str">
        <f t="shared" si="59"/>
        <v/>
      </c>
      <c r="Y192" s="30" t="str">
        <f t="shared" si="60"/>
        <v/>
      </c>
      <c r="Z192" s="30" t="str">
        <f t="shared" si="61"/>
        <v/>
      </c>
      <c r="AA192" s="30" t="str">
        <f t="shared" si="62"/>
        <v/>
      </c>
      <c r="AB192" s="30" t="str">
        <f t="shared" si="63"/>
        <v>|n=0</v>
      </c>
    </row>
    <row r="193" spans="1:28">
      <c r="A193" s="31">
        <f>装备!A176</f>
        <v>0</v>
      </c>
      <c r="B193" s="31" t="str">
        <f>"'"&amp;装备!B176&amp;"'"</f>
        <v>'IH03'</v>
      </c>
      <c r="C193" s="31">
        <f>装备!J176</f>
        <v>0</v>
      </c>
      <c r="D193" s="31">
        <f>装备!K176</f>
        <v>0</v>
      </c>
      <c r="E193" s="31">
        <f>装备!L176</f>
        <v>0</v>
      </c>
      <c r="F193" s="31">
        <f>装备!M176</f>
        <v>0</v>
      </c>
      <c r="G193" s="31">
        <f>装备!N176</f>
        <v>0</v>
      </c>
      <c r="H193" s="31">
        <f>装备!O176</f>
        <v>0</v>
      </c>
      <c r="I193" s="31">
        <f>IF(装备!J176=0,0,"'"&amp;装备!J176&amp;"'")</f>
        <v>0</v>
      </c>
      <c r="J193" s="31">
        <f>IF(装备!K176=0,0,"'"&amp;装备!K176&amp;"'")</f>
        <v>0</v>
      </c>
      <c r="K193" s="31">
        <f>IF(装备!L176=0,0,"'"&amp;装备!L176&amp;"'")</f>
        <v>0</v>
      </c>
      <c r="L193" s="31">
        <f>IF(装备!M176=0,0,"'"&amp;装备!M176&amp;"'")</f>
        <v>0</v>
      </c>
      <c r="M193" s="31">
        <f>IF(装备!N176=0,0,"'"&amp;装备!N176&amp;"'")</f>
        <v>0</v>
      </c>
      <c r="N193" s="31">
        <f>IF(装备!O176=0,0,"'"&amp;装备!O176&amp;"'")</f>
        <v>0</v>
      </c>
      <c r="O193" s="31" t="str">
        <f t="shared" si="57"/>
        <v/>
      </c>
      <c r="P193" s="31" t="str">
        <f t="shared" si="56"/>
        <v/>
      </c>
      <c r="Q193" s="35" t="str">
        <f>IFERROR(VLOOKUP(C193,装备!$B:$E,3,FALSE),"")</f>
        <v/>
      </c>
      <c r="R193" s="35" t="str">
        <f>IFERROR(VLOOKUP(D193,装备!$B:$E,3,FALSE),"")</f>
        <v/>
      </c>
      <c r="S193" s="35" t="str">
        <f>IFERROR(VLOOKUP(E193,装备!$B:$E,3,FALSE),"")</f>
        <v/>
      </c>
      <c r="T193" s="35" t="str">
        <f>IFERROR(VLOOKUP(F193,装备!$B:$E,3,FALSE),"")</f>
        <v/>
      </c>
      <c r="U193" s="35" t="str">
        <f>IFERROR(VLOOKUP(G193,装备!$B:$E,3,FALSE),"")</f>
        <v/>
      </c>
      <c r="V193" s="35" t="str">
        <f>IFERROR(VLOOKUP(H193,装备!$B:$E,3,FALSE),"")</f>
        <v/>
      </c>
      <c r="W193" s="30" t="str">
        <f t="shared" si="58"/>
        <v/>
      </c>
      <c r="X193" s="30" t="str">
        <f t="shared" si="59"/>
        <v/>
      </c>
      <c r="Y193" s="30" t="str">
        <f t="shared" si="60"/>
        <v/>
      </c>
      <c r="Z193" s="30" t="str">
        <f t="shared" si="61"/>
        <v/>
      </c>
      <c r="AA193" s="30" t="str">
        <f t="shared" si="62"/>
        <v/>
      </c>
      <c r="AB193" s="30" t="str">
        <f t="shared" si="63"/>
        <v>|n=0</v>
      </c>
    </row>
    <row r="194" spans="1:28">
      <c r="A194" s="31">
        <f>装备!A177</f>
        <v>0</v>
      </c>
      <c r="B194" s="31" t="str">
        <f>"'"&amp;装备!B177&amp;"'"</f>
        <v>'IH04'</v>
      </c>
      <c r="C194" s="31">
        <f>装备!J177</f>
        <v>0</v>
      </c>
      <c r="D194" s="31">
        <f>装备!K177</f>
        <v>0</v>
      </c>
      <c r="E194" s="31">
        <f>装备!L177</f>
        <v>0</v>
      </c>
      <c r="F194" s="31">
        <f>装备!M177</f>
        <v>0</v>
      </c>
      <c r="G194" s="31">
        <f>装备!N177</f>
        <v>0</v>
      </c>
      <c r="H194" s="31">
        <f>装备!O177</f>
        <v>0</v>
      </c>
      <c r="I194" s="31">
        <f>IF(装备!J177=0,0,"'"&amp;装备!J177&amp;"'")</f>
        <v>0</v>
      </c>
      <c r="J194" s="31">
        <f>IF(装备!K177=0,0,"'"&amp;装备!K177&amp;"'")</f>
        <v>0</v>
      </c>
      <c r="K194" s="31">
        <f>IF(装备!L177=0,0,"'"&amp;装备!L177&amp;"'")</f>
        <v>0</v>
      </c>
      <c r="L194" s="31">
        <f>IF(装备!M177=0,0,"'"&amp;装备!M177&amp;"'")</f>
        <v>0</v>
      </c>
      <c r="M194" s="31">
        <f>IF(装备!N177=0,0,"'"&amp;装备!N177&amp;"'")</f>
        <v>0</v>
      </c>
      <c r="N194" s="31">
        <f>IF(装备!O177=0,0,"'"&amp;装备!O177&amp;"'")</f>
        <v>0</v>
      </c>
      <c r="O194" s="31" t="str">
        <f t="shared" si="57"/>
        <v/>
      </c>
      <c r="P194" s="31" t="str">
        <f t="shared" si="56"/>
        <v/>
      </c>
      <c r="Q194" s="35" t="str">
        <f>IFERROR(VLOOKUP(C194,装备!$B:$E,3,FALSE),"")</f>
        <v/>
      </c>
      <c r="R194" s="35" t="str">
        <f>IFERROR(VLOOKUP(D194,装备!$B:$E,3,FALSE),"")</f>
        <v/>
      </c>
      <c r="S194" s="35" t="str">
        <f>IFERROR(VLOOKUP(E194,装备!$B:$E,3,FALSE),"")</f>
        <v/>
      </c>
      <c r="T194" s="35" t="str">
        <f>IFERROR(VLOOKUP(F194,装备!$B:$E,3,FALSE),"")</f>
        <v/>
      </c>
      <c r="U194" s="35" t="str">
        <f>IFERROR(VLOOKUP(G194,装备!$B:$E,3,FALSE),"")</f>
        <v/>
      </c>
      <c r="V194" s="35" t="str">
        <f>IFERROR(VLOOKUP(H194,装备!$B:$E,3,FALSE),"")</f>
        <v/>
      </c>
      <c r="W194" s="30" t="str">
        <f t="shared" si="58"/>
        <v/>
      </c>
      <c r="X194" s="30" t="str">
        <f t="shared" si="59"/>
        <v/>
      </c>
      <c r="Y194" s="30" t="str">
        <f t="shared" si="60"/>
        <v/>
      </c>
      <c r="Z194" s="30" t="str">
        <f t="shared" si="61"/>
        <v/>
      </c>
      <c r="AA194" s="30" t="str">
        <f t="shared" si="62"/>
        <v/>
      </c>
      <c r="AB194" s="30" t="str">
        <f t="shared" si="63"/>
        <v>|n=0</v>
      </c>
    </row>
    <row r="195" spans="1:28">
      <c r="A195" s="31">
        <f>装备!A178</f>
        <v>0</v>
      </c>
      <c r="B195" s="31" t="str">
        <f>"'"&amp;装备!B178&amp;"'"</f>
        <v>'IH05'</v>
      </c>
      <c r="C195" s="31">
        <f>装备!J178</f>
        <v>0</v>
      </c>
      <c r="D195" s="31">
        <f>装备!K178</f>
        <v>0</v>
      </c>
      <c r="E195" s="31">
        <f>装备!L178</f>
        <v>0</v>
      </c>
      <c r="F195" s="31">
        <f>装备!M178</f>
        <v>0</v>
      </c>
      <c r="G195" s="31">
        <f>装备!N178</f>
        <v>0</v>
      </c>
      <c r="H195" s="31">
        <f>装备!O178</f>
        <v>0</v>
      </c>
      <c r="I195" s="31">
        <f>IF(装备!J178=0,0,"'"&amp;装备!J178&amp;"'")</f>
        <v>0</v>
      </c>
      <c r="J195" s="31">
        <f>IF(装备!K178=0,0,"'"&amp;装备!K178&amp;"'")</f>
        <v>0</v>
      </c>
      <c r="K195" s="31">
        <f>IF(装备!L178=0,0,"'"&amp;装备!L178&amp;"'")</f>
        <v>0</v>
      </c>
      <c r="L195" s="31">
        <f>IF(装备!M178=0,0,"'"&amp;装备!M178&amp;"'")</f>
        <v>0</v>
      </c>
      <c r="M195" s="31">
        <f>IF(装备!N178=0,0,"'"&amp;装备!N178&amp;"'")</f>
        <v>0</v>
      </c>
      <c r="N195" s="31">
        <f>IF(装备!O178=0,0,"'"&amp;装备!O178&amp;"'")</f>
        <v>0</v>
      </c>
      <c r="O195" s="31" t="str">
        <f t="shared" si="57"/>
        <v/>
      </c>
      <c r="P195" s="31" t="str">
        <f t="shared" si="56"/>
        <v/>
      </c>
      <c r="Q195" s="35" t="str">
        <f>IFERROR(VLOOKUP(C195,装备!$B:$E,3,FALSE),"")</f>
        <v/>
      </c>
      <c r="R195" s="35" t="str">
        <f>IFERROR(VLOOKUP(D195,装备!$B:$E,3,FALSE),"")</f>
        <v/>
      </c>
      <c r="S195" s="35" t="str">
        <f>IFERROR(VLOOKUP(E195,装备!$B:$E,3,FALSE),"")</f>
        <v/>
      </c>
      <c r="T195" s="35" t="str">
        <f>IFERROR(VLOOKUP(F195,装备!$B:$E,3,FALSE),"")</f>
        <v/>
      </c>
      <c r="U195" s="35" t="str">
        <f>IFERROR(VLOOKUP(G195,装备!$B:$E,3,FALSE),"")</f>
        <v/>
      </c>
      <c r="V195" s="35" t="str">
        <f>IFERROR(VLOOKUP(H195,装备!$B:$E,3,FALSE),"")</f>
        <v/>
      </c>
      <c r="W195" s="30" t="str">
        <f t="shared" si="58"/>
        <v/>
      </c>
      <c r="X195" s="30" t="str">
        <f t="shared" si="59"/>
        <v/>
      </c>
      <c r="Y195" s="30" t="str">
        <f t="shared" si="60"/>
        <v/>
      </c>
      <c r="Z195" s="30" t="str">
        <f t="shared" si="61"/>
        <v/>
      </c>
      <c r="AA195" s="30" t="str">
        <f t="shared" si="62"/>
        <v/>
      </c>
      <c r="AB195" s="30" t="str">
        <f t="shared" si="63"/>
        <v>|n=0</v>
      </c>
    </row>
    <row r="196" spans="1:28">
      <c r="A196" s="31">
        <f>装备!A179</f>
        <v>0</v>
      </c>
      <c r="B196" s="31" t="str">
        <f>"'"&amp;装备!B179&amp;"'"</f>
        <v>'IH06'</v>
      </c>
      <c r="C196" s="31">
        <f>装备!J179</f>
        <v>0</v>
      </c>
      <c r="D196" s="31">
        <f>装备!K179</f>
        <v>0</v>
      </c>
      <c r="E196" s="31">
        <f>装备!L179</f>
        <v>0</v>
      </c>
      <c r="F196" s="31">
        <f>装备!M179</f>
        <v>0</v>
      </c>
      <c r="G196" s="31">
        <f>装备!N179</f>
        <v>0</v>
      </c>
      <c r="H196" s="31">
        <f>装备!O179</f>
        <v>0</v>
      </c>
      <c r="I196" s="31">
        <f>IF(装备!J179=0,0,"'"&amp;装备!J179&amp;"'")</f>
        <v>0</v>
      </c>
      <c r="J196" s="31">
        <f>IF(装备!K179=0,0,"'"&amp;装备!K179&amp;"'")</f>
        <v>0</v>
      </c>
      <c r="K196" s="31">
        <f>IF(装备!L179=0,0,"'"&amp;装备!L179&amp;"'")</f>
        <v>0</v>
      </c>
      <c r="L196" s="31">
        <f>IF(装备!M179=0,0,"'"&amp;装备!M179&amp;"'")</f>
        <v>0</v>
      </c>
      <c r="M196" s="31">
        <f>IF(装备!N179=0,0,"'"&amp;装备!N179&amp;"'")</f>
        <v>0</v>
      </c>
      <c r="N196" s="31">
        <f>IF(装备!O179=0,0,"'"&amp;装备!O179&amp;"'")</f>
        <v>0</v>
      </c>
      <c r="O196" s="31" t="str">
        <f t="shared" si="57"/>
        <v/>
      </c>
      <c r="P196" s="31" t="str">
        <f t="shared" si="56"/>
        <v/>
      </c>
      <c r="Q196" s="35" t="str">
        <f>IFERROR(VLOOKUP(C196,装备!$B:$E,3,FALSE),"")</f>
        <v/>
      </c>
      <c r="R196" s="35" t="str">
        <f>IFERROR(VLOOKUP(D196,装备!$B:$E,3,FALSE),"")</f>
        <v/>
      </c>
      <c r="S196" s="35" t="str">
        <f>IFERROR(VLOOKUP(E196,装备!$B:$E,3,FALSE),"")</f>
        <v/>
      </c>
      <c r="T196" s="35" t="str">
        <f>IFERROR(VLOOKUP(F196,装备!$B:$E,3,FALSE),"")</f>
        <v/>
      </c>
      <c r="U196" s="35" t="str">
        <f>IFERROR(VLOOKUP(G196,装备!$B:$E,3,FALSE),"")</f>
        <v/>
      </c>
      <c r="V196" s="35" t="str">
        <f>IFERROR(VLOOKUP(H196,装备!$B:$E,3,FALSE),"")</f>
        <v/>
      </c>
      <c r="W196" s="30" t="str">
        <f t="shared" si="58"/>
        <v/>
      </c>
      <c r="X196" s="30" t="str">
        <f t="shared" si="59"/>
        <v/>
      </c>
      <c r="Y196" s="30" t="str">
        <f t="shared" si="60"/>
        <v/>
      </c>
      <c r="Z196" s="30" t="str">
        <f t="shared" si="61"/>
        <v/>
      </c>
      <c r="AA196" s="30" t="str">
        <f t="shared" si="62"/>
        <v/>
      </c>
      <c r="AB196" s="30" t="str">
        <f t="shared" si="63"/>
        <v>|n=0</v>
      </c>
    </row>
    <row r="197" spans="1:28">
      <c r="A197" s="31">
        <f>装备!A180</f>
        <v>0</v>
      </c>
      <c r="B197" s="31" t="str">
        <f>"'"&amp;装备!B180&amp;"'"</f>
        <v>'IH07'</v>
      </c>
      <c r="C197" s="31">
        <f>装备!J180</f>
        <v>0</v>
      </c>
      <c r="D197" s="31">
        <f>装备!K180</f>
        <v>0</v>
      </c>
      <c r="E197" s="31">
        <f>装备!L180</f>
        <v>0</v>
      </c>
      <c r="F197" s="31">
        <f>装备!M180</f>
        <v>0</v>
      </c>
      <c r="G197" s="31">
        <f>装备!N180</f>
        <v>0</v>
      </c>
      <c r="H197" s="31">
        <f>装备!O180</f>
        <v>0</v>
      </c>
      <c r="I197" s="31">
        <f>IF(装备!J180=0,0,"'"&amp;装备!J180&amp;"'")</f>
        <v>0</v>
      </c>
      <c r="J197" s="31">
        <f>IF(装备!K180=0,0,"'"&amp;装备!K180&amp;"'")</f>
        <v>0</v>
      </c>
      <c r="K197" s="31">
        <f>IF(装备!L180=0,0,"'"&amp;装备!L180&amp;"'")</f>
        <v>0</v>
      </c>
      <c r="L197" s="31">
        <f>IF(装备!M180=0,0,"'"&amp;装备!M180&amp;"'")</f>
        <v>0</v>
      </c>
      <c r="M197" s="31">
        <f>IF(装备!N180=0,0,"'"&amp;装备!N180&amp;"'")</f>
        <v>0</v>
      </c>
      <c r="N197" s="31">
        <f>IF(装备!O180=0,0,"'"&amp;装备!O180&amp;"'")</f>
        <v>0</v>
      </c>
      <c r="O197" s="31" t="str">
        <f t="shared" si="57"/>
        <v/>
      </c>
      <c r="P197" s="31" t="str">
        <f t="shared" si="56"/>
        <v/>
      </c>
      <c r="Q197" s="35" t="str">
        <f>IFERROR(VLOOKUP(C197,装备!$B:$E,3,FALSE),"")</f>
        <v/>
      </c>
      <c r="R197" s="35" t="str">
        <f>IFERROR(VLOOKUP(D197,装备!$B:$E,3,FALSE),"")</f>
        <v/>
      </c>
      <c r="S197" s="35" t="str">
        <f>IFERROR(VLOOKUP(E197,装备!$B:$E,3,FALSE),"")</f>
        <v/>
      </c>
      <c r="T197" s="35" t="str">
        <f>IFERROR(VLOOKUP(F197,装备!$B:$E,3,FALSE),"")</f>
        <v/>
      </c>
      <c r="U197" s="35" t="str">
        <f>IFERROR(VLOOKUP(G197,装备!$B:$E,3,FALSE),"")</f>
        <v/>
      </c>
      <c r="V197" s="35" t="str">
        <f>IFERROR(VLOOKUP(H197,装备!$B:$E,3,FALSE),"")</f>
        <v/>
      </c>
      <c r="W197" s="30" t="str">
        <f t="shared" si="58"/>
        <v/>
      </c>
      <c r="X197" s="30" t="str">
        <f t="shared" si="59"/>
        <v/>
      </c>
      <c r="Y197" s="30" t="str">
        <f t="shared" si="60"/>
        <v/>
      </c>
      <c r="Z197" s="30" t="str">
        <f t="shared" si="61"/>
        <v/>
      </c>
      <c r="AA197" s="30" t="str">
        <f t="shared" si="62"/>
        <v/>
      </c>
      <c r="AB197" s="30" t="str">
        <f t="shared" si="63"/>
        <v>|n=0</v>
      </c>
    </row>
    <row r="198" spans="1:28">
      <c r="A198" s="31">
        <f>装备!A181</f>
        <v>0</v>
      </c>
      <c r="B198" s="31" t="str">
        <f>"'"&amp;装备!B181&amp;"'"</f>
        <v>'IH08'</v>
      </c>
      <c r="C198" s="31">
        <f>装备!J181</f>
        <v>0</v>
      </c>
      <c r="D198" s="31">
        <f>装备!K181</f>
        <v>0</v>
      </c>
      <c r="E198" s="31">
        <f>装备!L181</f>
        <v>0</v>
      </c>
      <c r="F198" s="31">
        <f>装备!M181</f>
        <v>0</v>
      </c>
      <c r="G198" s="31">
        <f>装备!N181</f>
        <v>0</v>
      </c>
      <c r="H198" s="31">
        <f>装备!O181</f>
        <v>0</v>
      </c>
      <c r="I198" s="31">
        <f>IF(装备!J181=0,0,"'"&amp;装备!J181&amp;"'")</f>
        <v>0</v>
      </c>
      <c r="J198" s="31">
        <f>IF(装备!K181=0,0,"'"&amp;装备!K181&amp;"'")</f>
        <v>0</v>
      </c>
      <c r="K198" s="31">
        <f>IF(装备!L181=0,0,"'"&amp;装备!L181&amp;"'")</f>
        <v>0</v>
      </c>
      <c r="L198" s="31">
        <f>IF(装备!M181=0,0,"'"&amp;装备!M181&amp;"'")</f>
        <v>0</v>
      </c>
      <c r="M198" s="31">
        <f>IF(装备!N181=0,0,"'"&amp;装备!N181&amp;"'")</f>
        <v>0</v>
      </c>
      <c r="N198" s="31">
        <f>IF(装备!O181=0,0,"'"&amp;装备!O181&amp;"'")</f>
        <v>0</v>
      </c>
      <c r="O198" s="31" t="str">
        <f t="shared" si="57"/>
        <v/>
      </c>
      <c r="P198" s="31" t="str">
        <f t="shared" si="56"/>
        <v/>
      </c>
      <c r="Q198" s="35" t="str">
        <f>IFERROR(VLOOKUP(C198,装备!$B:$E,3,FALSE),"")</f>
        <v/>
      </c>
      <c r="R198" s="35" t="str">
        <f>IFERROR(VLOOKUP(D198,装备!$B:$E,3,FALSE),"")</f>
        <v/>
      </c>
      <c r="S198" s="35" t="str">
        <f>IFERROR(VLOOKUP(E198,装备!$B:$E,3,FALSE),"")</f>
        <v/>
      </c>
      <c r="T198" s="35" t="str">
        <f>IFERROR(VLOOKUP(F198,装备!$B:$E,3,FALSE),"")</f>
        <v/>
      </c>
      <c r="U198" s="35" t="str">
        <f>IFERROR(VLOOKUP(G198,装备!$B:$E,3,FALSE),"")</f>
        <v/>
      </c>
      <c r="V198" s="35" t="str">
        <f>IFERROR(VLOOKUP(H198,装备!$B:$E,3,FALSE),"")</f>
        <v/>
      </c>
      <c r="W198" s="30" t="str">
        <f t="shared" si="58"/>
        <v/>
      </c>
      <c r="X198" s="30" t="str">
        <f t="shared" si="59"/>
        <v/>
      </c>
      <c r="Y198" s="30" t="str">
        <f t="shared" si="60"/>
        <v/>
      </c>
      <c r="Z198" s="30" t="str">
        <f t="shared" si="61"/>
        <v/>
      </c>
      <c r="AA198" s="30" t="str">
        <f t="shared" si="62"/>
        <v/>
      </c>
      <c r="AB198" s="30" t="str">
        <f t="shared" si="63"/>
        <v>|n=0</v>
      </c>
    </row>
    <row r="199" spans="1:28">
      <c r="A199" s="31">
        <f>装备!A200</f>
        <v>0</v>
      </c>
      <c r="B199" s="31" t="str">
        <f>"'"&amp;装备!B200&amp;"'"</f>
        <v>'IF01'</v>
      </c>
      <c r="C199" s="31">
        <f>装备!J200</f>
        <v>0</v>
      </c>
      <c r="D199" s="31">
        <f>装备!K200</f>
        <v>0</v>
      </c>
      <c r="E199" s="31">
        <f>装备!L200</f>
        <v>0</v>
      </c>
      <c r="F199" s="31">
        <f>装备!M200</f>
        <v>0</v>
      </c>
      <c r="G199" s="31">
        <f>装备!N200</f>
        <v>0</v>
      </c>
      <c r="H199" s="31">
        <f>装备!O200</f>
        <v>0</v>
      </c>
      <c r="I199" s="31">
        <f>IF(装备!J200=0,0,"'"&amp;装备!J200&amp;"'")</f>
        <v>0</v>
      </c>
      <c r="J199" s="31">
        <f>IF(装备!K200=0,0,"'"&amp;装备!K200&amp;"'")</f>
        <v>0</v>
      </c>
      <c r="K199" s="31">
        <f>IF(装备!L200=0,0,"'"&amp;装备!L200&amp;"'")</f>
        <v>0</v>
      </c>
      <c r="L199" s="31">
        <f>IF(装备!M200=0,0,"'"&amp;装备!M200&amp;"'")</f>
        <v>0</v>
      </c>
      <c r="M199" s="31">
        <f>IF(装备!N200=0,0,"'"&amp;装备!N200&amp;"'")</f>
        <v>0</v>
      </c>
      <c r="N199" s="31">
        <f>IF(装备!O200=0,0,"'"&amp;装备!O200&amp;"'")</f>
        <v>0</v>
      </c>
      <c r="O199" s="31" t="str">
        <f t="shared" si="57"/>
        <v/>
      </c>
      <c r="P199" s="31" t="str">
        <f t="shared" si="56"/>
        <v/>
      </c>
      <c r="Q199" s="35" t="str">
        <f>IFERROR(VLOOKUP(C199,装备!$B:$E,3,FALSE),"")</f>
        <v/>
      </c>
      <c r="R199" s="35" t="str">
        <f>IFERROR(VLOOKUP(D199,装备!$B:$E,3,FALSE),"")</f>
        <v/>
      </c>
      <c r="S199" s="35" t="str">
        <f>IFERROR(VLOOKUP(E199,装备!$B:$E,3,FALSE),"")</f>
        <v/>
      </c>
      <c r="T199" s="35" t="str">
        <f>IFERROR(VLOOKUP(F199,装备!$B:$E,3,FALSE),"")</f>
        <v/>
      </c>
      <c r="U199" s="35" t="str">
        <f>IFERROR(VLOOKUP(G199,装备!$B:$E,3,FALSE),"")</f>
        <v/>
      </c>
      <c r="V199" s="35" t="str">
        <f>IFERROR(VLOOKUP(H199,装备!$B:$E,3,FALSE),"")</f>
        <v/>
      </c>
      <c r="W199" s="30" t="str">
        <f t="shared" si="58"/>
        <v/>
      </c>
      <c r="X199" s="30" t="str">
        <f t="shared" si="59"/>
        <v/>
      </c>
      <c r="Y199" s="30" t="str">
        <f t="shared" si="60"/>
        <v/>
      </c>
      <c r="Z199" s="30" t="str">
        <f t="shared" si="61"/>
        <v/>
      </c>
      <c r="AA199" s="30" t="str">
        <f t="shared" si="62"/>
        <v/>
      </c>
      <c r="AB199" s="30" t="str">
        <f t="shared" si="63"/>
        <v>|n=0</v>
      </c>
    </row>
    <row r="200" spans="1:28">
      <c r="A200" s="31">
        <f>装备!A201</f>
        <v>0</v>
      </c>
      <c r="B200" s="31" t="str">
        <f>"'"&amp;装备!B201&amp;"'"</f>
        <v>'IF02'</v>
      </c>
      <c r="C200" s="31">
        <f>装备!J201</f>
        <v>0</v>
      </c>
      <c r="D200" s="31">
        <f>装备!K201</f>
        <v>0</v>
      </c>
      <c r="E200" s="31">
        <f>装备!L201</f>
        <v>0</v>
      </c>
      <c r="F200" s="31">
        <f>装备!M201</f>
        <v>0</v>
      </c>
      <c r="G200" s="31">
        <f>装备!N201</f>
        <v>0</v>
      </c>
      <c r="H200" s="31">
        <f>装备!O201</f>
        <v>0</v>
      </c>
      <c r="I200" s="31">
        <f>IF(装备!J201=0,0,"'"&amp;装备!J201&amp;"'")</f>
        <v>0</v>
      </c>
      <c r="J200" s="31">
        <f>IF(装备!K201=0,0,"'"&amp;装备!K201&amp;"'")</f>
        <v>0</v>
      </c>
      <c r="K200" s="31">
        <f>IF(装备!L201=0,0,"'"&amp;装备!L201&amp;"'")</f>
        <v>0</v>
      </c>
      <c r="L200" s="31">
        <f>IF(装备!M201=0,0,"'"&amp;装备!M201&amp;"'")</f>
        <v>0</v>
      </c>
      <c r="M200" s="31">
        <f>IF(装备!N201=0,0,"'"&amp;装备!N201&amp;"'")</f>
        <v>0</v>
      </c>
      <c r="N200" s="31">
        <f>IF(装备!O201=0,0,"'"&amp;装备!O201&amp;"'")</f>
        <v>0</v>
      </c>
      <c r="O200" s="31" t="str">
        <f t="shared" si="57"/>
        <v/>
      </c>
      <c r="P200" s="31" t="str">
        <f t="shared" si="56"/>
        <v/>
      </c>
      <c r="Q200" s="35" t="str">
        <f>IFERROR(VLOOKUP(C200,装备!$B:$E,3,FALSE),"")</f>
        <v/>
      </c>
      <c r="R200" s="35" t="str">
        <f>IFERROR(VLOOKUP(D200,装备!$B:$E,3,FALSE),"")</f>
        <v/>
      </c>
      <c r="S200" s="35" t="str">
        <f>IFERROR(VLOOKUP(E200,装备!$B:$E,3,FALSE),"")</f>
        <v/>
      </c>
      <c r="T200" s="35" t="str">
        <f>IFERROR(VLOOKUP(F200,装备!$B:$E,3,FALSE),"")</f>
        <v/>
      </c>
      <c r="U200" s="35" t="str">
        <f>IFERROR(VLOOKUP(G200,装备!$B:$E,3,FALSE),"")</f>
        <v/>
      </c>
      <c r="V200" s="35" t="str">
        <f>IFERROR(VLOOKUP(H200,装备!$B:$E,3,FALSE),"")</f>
        <v/>
      </c>
      <c r="W200" s="30" t="str">
        <f t="shared" si="58"/>
        <v/>
      </c>
      <c r="X200" s="30" t="str">
        <f t="shared" si="59"/>
        <v/>
      </c>
      <c r="Y200" s="30" t="str">
        <f t="shared" si="60"/>
        <v/>
      </c>
      <c r="Z200" s="30" t="str">
        <f t="shared" si="61"/>
        <v/>
      </c>
      <c r="AA200" s="30" t="str">
        <f t="shared" si="62"/>
        <v/>
      </c>
      <c r="AB200" s="30" t="str">
        <f t="shared" si="63"/>
        <v>|n=0</v>
      </c>
    </row>
    <row r="201" spans="1:28">
      <c r="A201" s="31">
        <f>装备!A202</f>
        <v>0</v>
      </c>
      <c r="B201" s="31" t="str">
        <f>"'"&amp;装备!B202&amp;"'"</f>
        <v>'IF03'</v>
      </c>
      <c r="C201" s="31">
        <f>装备!J202</f>
        <v>0</v>
      </c>
      <c r="D201" s="31">
        <f>装备!K202</f>
        <v>0</v>
      </c>
      <c r="E201" s="31">
        <f>装备!L202</f>
        <v>0</v>
      </c>
      <c r="F201" s="31">
        <f>装备!M202</f>
        <v>0</v>
      </c>
      <c r="G201" s="31">
        <f>装备!N202</f>
        <v>0</v>
      </c>
      <c r="H201" s="31">
        <f>装备!O202</f>
        <v>0</v>
      </c>
      <c r="I201" s="31">
        <f>IF(装备!J202=0,0,"'"&amp;装备!J202&amp;"'")</f>
        <v>0</v>
      </c>
      <c r="J201" s="31">
        <f>IF(装备!K202=0,0,"'"&amp;装备!K202&amp;"'")</f>
        <v>0</v>
      </c>
      <c r="K201" s="31">
        <f>IF(装备!L202=0,0,"'"&amp;装备!L202&amp;"'")</f>
        <v>0</v>
      </c>
      <c r="L201" s="31">
        <f>IF(装备!M202=0,0,"'"&amp;装备!M202&amp;"'")</f>
        <v>0</v>
      </c>
      <c r="M201" s="31">
        <f>IF(装备!N202=0,0,"'"&amp;装备!N202&amp;"'")</f>
        <v>0</v>
      </c>
      <c r="N201" s="31">
        <f>IF(装备!O202=0,0,"'"&amp;装备!O202&amp;"'")</f>
        <v>0</v>
      </c>
      <c r="O201" s="31" t="str">
        <f t="shared" si="57"/>
        <v/>
      </c>
      <c r="P201" s="31" t="str">
        <f t="shared" si="56"/>
        <v/>
      </c>
      <c r="Q201" s="35" t="str">
        <f>IFERROR(VLOOKUP(C201,装备!$B:$E,3,FALSE),"")</f>
        <v/>
      </c>
      <c r="R201" s="35" t="str">
        <f>IFERROR(VLOOKUP(D201,装备!$B:$E,3,FALSE),"")</f>
        <v/>
      </c>
      <c r="S201" s="35" t="str">
        <f>IFERROR(VLOOKUP(E201,装备!$B:$E,3,FALSE),"")</f>
        <v/>
      </c>
      <c r="T201" s="35" t="str">
        <f>IFERROR(VLOOKUP(F201,装备!$B:$E,3,FALSE),"")</f>
        <v/>
      </c>
      <c r="U201" s="35" t="str">
        <f>IFERROR(VLOOKUP(G201,装备!$B:$E,3,FALSE),"")</f>
        <v/>
      </c>
      <c r="V201" s="35" t="str">
        <f>IFERROR(VLOOKUP(H201,装备!$B:$E,3,FALSE),"")</f>
        <v/>
      </c>
      <c r="W201" s="30" t="str">
        <f t="shared" si="58"/>
        <v/>
      </c>
      <c r="X201" s="30" t="str">
        <f t="shared" si="59"/>
        <v/>
      </c>
      <c r="Y201" s="30" t="str">
        <f t="shared" si="60"/>
        <v/>
      </c>
      <c r="Z201" s="30" t="str">
        <f t="shared" si="61"/>
        <v/>
      </c>
      <c r="AA201" s="30" t="str">
        <f t="shared" si="62"/>
        <v/>
      </c>
      <c r="AB201" s="30" t="str">
        <f t="shared" si="63"/>
        <v>|n=0</v>
      </c>
    </row>
    <row r="202" spans="1:28">
      <c r="A202" s="31">
        <f>装备!A203</f>
        <v>0</v>
      </c>
      <c r="B202" s="31" t="str">
        <f>"'"&amp;装备!B203&amp;"'"</f>
        <v>'IF04'</v>
      </c>
      <c r="C202" s="31">
        <f>装备!J203</f>
        <v>0</v>
      </c>
      <c r="D202" s="31">
        <f>装备!K203</f>
        <v>0</v>
      </c>
      <c r="E202" s="31">
        <f>装备!L203</f>
        <v>0</v>
      </c>
      <c r="F202" s="31">
        <f>装备!M203</f>
        <v>0</v>
      </c>
      <c r="G202" s="31">
        <f>装备!N203</f>
        <v>0</v>
      </c>
      <c r="H202" s="31">
        <f>装备!O203</f>
        <v>0</v>
      </c>
      <c r="I202" s="31">
        <f>IF(装备!J203=0,0,"'"&amp;装备!J203&amp;"'")</f>
        <v>0</v>
      </c>
      <c r="J202" s="31">
        <f>IF(装备!K203=0,0,"'"&amp;装备!K203&amp;"'")</f>
        <v>0</v>
      </c>
      <c r="K202" s="31">
        <f>IF(装备!L203=0,0,"'"&amp;装备!L203&amp;"'")</f>
        <v>0</v>
      </c>
      <c r="L202" s="31">
        <f>IF(装备!M203=0,0,"'"&amp;装备!M203&amp;"'")</f>
        <v>0</v>
      </c>
      <c r="M202" s="31">
        <f>IF(装备!N203=0,0,"'"&amp;装备!N203&amp;"'")</f>
        <v>0</v>
      </c>
      <c r="N202" s="31">
        <f>IF(装备!O203=0,0,"'"&amp;装备!O203&amp;"'")</f>
        <v>0</v>
      </c>
      <c r="O202" s="31" t="str">
        <f t="shared" si="57"/>
        <v/>
      </c>
      <c r="P202" s="31" t="str">
        <f t="shared" si="56"/>
        <v/>
      </c>
      <c r="Q202" s="35" t="str">
        <f>IFERROR(VLOOKUP(C202,装备!$B:$E,3,FALSE),"")</f>
        <v/>
      </c>
      <c r="R202" s="35" t="str">
        <f>IFERROR(VLOOKUP(D202,装备!$B:$E,3,FALSE),"")</f>
        <v/>
      </c>
      <c r="S202" s="35" t="str">
        <f>IFERROR(VLOOKUP(E202,装备!$B:$E,3,FALSE),"")</f>
        <v/>
      </c>
      <c r="T202" s="35" t="str">
        <f>IFERROR(VLOOKUP(F202,装备!$B:$E,3,FALSE),"")</f>
        <v/>
      </c>
      <c r="U202" s="35" t="str">
        <f>IFERROR(VLOOKUP(G202,装备!$B:$E,3,FALSE),"")</f>
        <v/>
      </c>
      <c r="V202" s="35" t="str">
        <f>IFERROR(VLOOKUP(H202,装备!$B:$E,3,FALSE),"")</f>
        <v/>
      </c>
      <c r="W202" s="30" t="str">
        <f t="shared" si="58"/>
        <v/>
      </c>
      <c r="X202" s="30" t="str">
        <f t="shared" si="59"/>
        <v/>
      </c>
      <c r="Y202" s="30" t="str">
        <f t="shared" si="60"/>
        <v/>
      </c>
      <c r="Z202" s="30" t="str">
        <f t="shared" si="61"/>
        <v/>
      </c>
      <c r="AA202" s="30" t="str">
        <f t="shared" si="62"/>
        <v/>
      </c>
      <c r="AB202" s="30" t="str">
        <f t="shared" si="63"/>
        <v>|n=0</v>
      </c>
    </row>
    <row r="203" spans="1:28">
      <c r="A203" s="31">
        <f>装备!A204</f>
        <v>0</v>
      </c>
      <c r="B203" s="31" t="str">
        <f>"'"&amp;装备!B204&amp;"'"</f>
        <v>'IF05'</v>
      </c>
      <c r="C203" s="31">
        <f>装备!J204</f>
        <v>0</v>
      </c>
      <c r="D203" s="31">
        <f>装备!K204</f>
        <v>0</v>
      </c>
      <c r="E203" s="31">
        <f>装备!L204</f>
        <v>0</v>
      </c>
      <c r="F203" s="31">
        <f>装备!M204</f>
        <v>0</v>
      </c>
      <c r="G203" s="31">
        <f>装备!N204</f>
        <v>0</v>
      </c>
      <c r="H203" s="31">
        <f>装备!O204</f>
        <v>0</v>
      </c>
      <c r="I203" s="31">
        <f>IF(装备!J204=0,0,"'"&amp;装备!J204&amp;"'")</f>
        <v>0</v>
      </c>
      <c r="J203" s="31">
        <f>IF(装备!K204=0,0,"'"&amp;装备!K204&amp;"'")</f>
        <v>0</v>
      </c>
      <c r="K203" s="31">
        <f>IF(装备!L204=0,0,"'"&amp;装备!L204&amp;"'")</f>
        <v>0</v>
      </c>
      <c r="L203" s="31">
        <f>IF(装备!M204=0,0,"'"&amp;装备!M204&amp;"'")</f>
        <v>0</v>
      </c>
      <c r="M203" s="31">
        <f>IF(装备!N204=0,0,"'"&amp;装备!N204&amp;"'")</f>
        <v>0</v>
      </c>
      <c r="N203" s="31">
        <f>IF(装备!O204=0,0,"'"&amp;装备!O204&amp;"'")</f>
        <v>0</v>
      </c>
      <c r="O203" s="31" t="str">
        <f t="shared" si="57"/>
        <v/>
      </c>
      <c r="P203" s="31" t="str">
        <f t="shared" si="56"/>
        <v/>
      </c>
      <c r="Q203" s="35" t="str">
        <f>IFERROR(VLOOKUP(C203,装备!$B:$E,3,FALSE),"")</f>
        <v/>
      </c>
      <c r="R203" s="35" t="str">
        <f>IFERROR(VLOOKUP(D203,装备!$B:$E,3,FALSE),"")</f>
        <v/>
      </c>
      <c r="S203" s="35" t="str">
        <f>IFERROR(VLOOKUP(E203,装备!$B:$E,3,FALSE),"")</f>
        <v/>
      </c>
      <c r="T203" s="35" t="str">
        <f>IFERROR(VLOOKUP(F203,装备!$B:$E,3,FALSE),"")</f>
        <v/>
      </c>
      <c r="U203" s="35" t="str">
        <f>IFERROR(VLOOKUP(G203,装备!$B:$E,3,FALSE),"")</f>
        <v/>
      </c>
      <c r="V203" s="35" t="str">
        <f>IFERROR(VLOOKUP(H203,装备!$B:$E,3,FALSE),"")</f>
        <v/>
      </c>
      <c r="W203" s="30" t="str">
        <f t="shared" si="58"/>
        <v/>
      </c>
      <c r="X203" s="30" t="str">
        <f t="shared" si="59"/>
        <v/>
      </c>
      <c r="Y203" s="30" t="str">
        <f t="shared" si="60"/>
        <v/>
      </c>
      <c r="Z203" s="30" t="str">
        <f t="shared" si="61"/>
        <v/>
      </c>
      <c r="AA203" s="30" t="str">
        <f t="shared" si="62"/>
        <v/>
      </c>
      <c r="AB203" s="30" t="str">
        <f t="shared" si="63"/>
        <v>|n=0</v>
      </c>
    </row>
    <row r="204" spans="1:28">
      <c r="A204" s="31">
        <f>装备!A205</f>
        <v>0</v>
      </c>
      <c r="B204" s="31" t="str">
        <f>"'"&amp;装备!B205&amp;"'"</f>
        <v>'IF06'</v>
      </c>
      <c r="C204" s="31">
        <f>装备!J205</f>
        <v>0</v>
      </c>
      <c r="D204" s="31">
        <f>装备!K205</f>
        <v>0</v>
      </c>
      <c r="E204" s="31">
        <f>装备!L205</f>
        <v>0</v>
      </c>
      <c r="F204" s="31">
        <f>装备!M205</f>
        <v>0</v>
      </c>
      <c r="G204" s="31">
        <f>装备!N205</f>
        <v>0</v>
      </c>
      <c r="H204" s="31">
        <f>装备!O205</f>
        <v>0</v>
      </c>
      <c r="I204" s="31">
        <f>IF(装备!J205=0,0,"'"&amp;装备!J205&amp;"'")</f>
        <v>0</v>
      </c>
      <c r="J204" s="31">
        <f>IF(装备!K205=0,0,"'"&amp;装备!K205&amp;"'")</f>
        <v>0</v>
      </c>
      <c r="K204" s="31">
        <f>IF(装备!L205=0,0,"'"&amp;装备!L205&amp;"'")</f>
        <v>0</v>
      </c>
      <c r="L204" s="31">
        <f>IF(装备!M205=0,0,"'"&amp;装备!M205&amp;"'")</f>
        <v>0</v>
      </c>
      <c r="M204" s="31">
        <f>IF(装备!N205=0,0,"'"&amp;装备!N205&amp;"'")</f>
        <v>0</v>
      </c>
      <c r="N204" s="31">
        <f>IF(装备!O205=0,0,"'"&amp;装备!O205&amp;"'")</f>
        <v>0</v>
      </c>
      <c r="O204" s="31" t="str">
        <f t="shared" si="57"/>
        <v/>
      </c>
      <c r="P204" s="31" t="str">
        <f t="shared" si="56"/>
        <v/>
      </c>
      <c r="Q204" s="35" t="str">
        <f>IFERROR(VLOOKUP(C204,装备!$B:$E,3,FALSE),"")</f>
        <v/>
      </c>
      <c r="R204" s="35" t="str">
        <f>IFERROR(VLOOKUP(D204,装备!$B:$E,3,FALSE),"")</f>
        <v/>
      </c>
      <c r="S204" s="35" t="str">
        <f>IFERROR(VLOOKUP(E204,装备!$B:$E,3,FALSE),"")</f>
        <v/>
      </c>
      <c r="T204" s="35" t="str">
        <f>IFERROR(VLOOKUP(F204,装备!$B:$E,3,FALSE),"")</f>
        <v/>
      </c>
      <c r="U204" s="35" t="str">
        <f>IFERROR(VLOOKUP(G204,装备!$B:$E,3,FALSE),"")</f>
        <v/>
      </c>
      <c r="V204" s="35" t="str">
        <f>IFERROR(VLOOKUP(H204,装备!$B:$E,3,FALSE),"")</f>
        <v/>
      </c>
      <c r="W204" s="30" t="str">
        <f t="shared" si="58"/>
        <v/>
      </c>
      <c r="X204" s="30" t="str">
        <f t="shared" si="59"/>
        <v/>
      </c>
      <c r="Y204" s="30" t="str">
        <f t="shared" si="60"/>
        <v/>
      </c>
      <c r="Z204" s="30" t="str">
        <f t="shared" si="61"/>
        <v/>
      </c>
      <c r="AA204" s="30" t="str">
        <f t="shared" si="62"/>
        <v/>
      </c>
      <c r="AB204" s="30" t="str">
        <f t="shared" si="63"/>
        <v>|n=0</v>
      </c>
    </row>
    <row r="205" spans="1:28">
      <c r="A205" s="31">
        <f>装备!A206</f>
        <v>0</v>
      </c>
      <c r="B205" s="31" t="str">
        <f>"'"&amp;装备!B206&amp;"'"</f>
        <v>'IF07'</v>
      </c>
      <c r="C205" s="31">
        <f>装备!J206</f>
        <v>0</v>
      </c>
      <c r="D205" s="31">
        <f>装备!K206</f>
        <v>0</v>
      </c>
      <c r="E205" s="31">
        <f>装备!L206</f>
        <v>0</v>
      </c>
      <c r="F205" s="31">
        <f>装备!M206</f>
        <v>0</v>
      </c>
      <c r="G205" s="31">
        <f>装备!N206</f>
        <v>0</v>
      </c>
      <c r="H205" s="31">
        <f>装备!O206</f>
        <v>0</v>
      </c>
      <c r="I205" s="31">
        <f>IF(装备!J206=0,0,"'"&amp;装备!J206&amp;"'")</f>
        <v>0</v>
      </c>
      <c r="J205" s="31">
        <f>IF(装备!K206=0,0,"'"&amp;装备!K206&amp;"'")</f>
        <v>0</v>
      </c>
      <c r="K205" s="31">
        <f>IF(装备!L206=0,0,"'"&amp;装备!L206&amp;"'")</f>
        <v>0</v>
      </c>
      <c r="L205" s="31">
        <f>IF(装备!M206=0,0,"'"&amp;装备!M206&amp;"'")</f>
        <v>0</v>
      </c>
      <c r="M205" s="31">
        <f>IF(装备!N206=0,0,"'"&amp;装备!N206&amp;"'")</f>
        <v>0</v>
      </c>
      <c r="N205" s="31">
        <f>IF(装备!O206=0,0,"'"&amp;装备!O206&amp;"'")</f>
        <v>0</v>
      </c>
      <c r="O205" s="31" t="str">
        <f t="shared" si="57"/>
        <v/>
      </c>
      <c r="P205" s="31" t="str">
        <f t="shared" si="56"/>
        <v/>
      </c>
      <c r="Q205" s="35" t="str">
        <f>IFERROR(VLOOKUP(C205,装备!$B:$E,3,FALSE),"")</f>
        <v/>
      </c>
      <c r="R205" s="35" t="str">
        <f>IFERROR(VLOOKUP(D205,装备!$B:$E,3,FALSE),"")</f>
        <v/>
      </c>
      <c r="S205" s="35" t="str">
        <f>IFERROR(VLOOKUP(E205,装备!$B:$E,3,FALSE),"")</f>
        <v/>
      </c>
      <c r="T205" s="35" t="str">
        <f>IFERROR(VLOOKUP(F205,装备!$B:$E,3,FALSE),"")</f>
        <v/>
      </c>
      <c r="U205" s="35" t="str">
        <f>IFERROR(VLOOKUP(G205,装备!$B:$E,3,FALSE),"")</f>
        <v/>
      </c>
      <c r="V205" s="35" t="str">
        <f>IFERROR(VLOOKUP(H205,装备!$B:$E,3,FALSE),"")</f>
        <v/>
      </c>
      <c r="W205" s="30" t="str">
        <f t="shared" si="58"/>
        <v/>
      </c>
      <c r="X205" s="30" t="str">
        <f t="shared" si="59"/>
        <v/>
      </c>
      <c r="Y205" s="30" t="str">
        <f t="shared" si="60"/>
        <v/>
      </c>
      <c r="Z205" s="30" t="str">
        <f t="shared" si="61"/>
        <v/>
      </c>
      <c r="AA205" s="30" t="str">
        <f t="shared" si="62"/>
        <v/>
      </c>
      <c r="AB205" s="30" t="str">
        <f t="shared" si="63"/>
        <v>|n=0</v>
      </c>
    </row>
    <row r="206" spans="1:28">
      <c r="A206" s="31">
        <f>装备!A207</f>
        <v>0</v>
      </c>
      <c r="B206" s="31" t="str">
        <f>"'"&amp;装备!B207&amp;"'"</f>
        <v>'IF08'</v>
      </c>
      <c r="C206" s="31">
        <f>装备!J207</f>
        <v>0</v>
      </c>
      <c r="D206" s="31">
        <f>装备!K207</f>
        <v>0</v>
      </c>
      <c r="E206" s="31">
        <f>装备!L207</f>
        <v>0</v>
      </c>
      <c r="F206" s="31">
        <f>装备!M207</f>
        <v>0</v>
      </c>
      <c r="G206" s="31">
        <f>装备!N207</f>
        <v>0</v>
      </c>
      <c r="H206" s="31">
        <f>装备!O207</f>
        <v>0</v>
      </c>
      <c r="I206" s="31">
        <f>IF(装备!J207=0,0,"'"&amp;装备!J207&amp;"'")</f>
        <v>0</v>
      </c>
      <c r="J206" s="31">
        <f>IF(装备!K207=0,0,"'"&amp;装备!K207&amp;"'")</f>
        <v>0</v>
      </c>
      <c r="K206" s="31">
        <f>IF(装备!L207=0,0,"'"&amp;装备!L207&amp;"'")</f>
        <v>0</v>
      </c>
      <c r="L206" s="31">
        <f>IF(装备!M207=0,0,"'"&amp;装备!M207&amp;"'")</f>
        <v>0</v>
      </c>
      <c r="M206" s="31">
        <f>IF(装备!N207=0,0,"'"&amp;装备!N207&amp;"'")</f>
        <v>0</v>
      </c>
      <c r="N206" s="31">
        <f>IF(装备!O207=0,0,"'"&amp;装备!O207&amp;"'")</f>
        <v>0</v>
      </c>
      <c r="O206" s="31" t="str">
        <f t="shared" si="57"/>
        <v/>
      </c>
      <c r="P206" s="31" t="str">
        <f t="shared" si="56"/>
        <v/>
      </c>
      <c r="Q206" s="35" t="str">
        <f>IFERROR(VLOOKUP(C206,装备!$B:$E,3,FALSE),"")</f>
        <v/>
      </c>
      <c r="R206" s="35" t="str">
        <f>IFERROR(VLOOKUP(D206,装备!$B:$E,3,FALSE),"")</f>
        <v/>
      </c>
      <c r="S206" s="35" t="str">
        <f>IFERROR(VLOOKUP(E206,装备!$B:$E,3,FALSE),"")</f>
        <v/>
      </c>
      <c r="T206" s="35" t="str">
        <f>IFERROR(VLOOKUP(F206,装备!$B:$E,3,FALSE),"")</f>
        <v/>
      </c>
      <c r="U206" s="35" t="str">
        <f>IFERROR(VLOOKUP(G206,装备!$B:$E,3,FALSE),"")</f>
        <v/>
      </c>
      <c r="V206" s="35" t="str">
        <f>IFERROR(VLOOKUP(H206,装备!$B:$E,3,FALSE),"")</f>
        <v/>
      </c>
      <c r="W206" s="30" t="str">
        <f t="shared" si="58"/>
        <v/>
      </c>
      <c r="X206" s="30" t="str">
        <f t="shared" si="59"/>
        <v/>
      </c>
      <c r="Y206" s="30" t="str">
        <f t="shared" si="60"/>
        <v/>
      </c>
      <c r="Z206" s="30" t="str">
        <f t="shared" si="61"/>
        <v/>
      </c>
      <c r="AA206" s="30" t="str">
        <f t="shared" si="62"/>
        <v/>
      </c>
      <c r="AB206" s="30" t="str">
        <f t="shared" si="63"/>
        <v>|n=0</v>
      </c>
    </row>
    <row r="207" spans="1:28">
      <c r="A207" s="31">
        <f>装备!A208</f>
        <v>0</v>
      </c>
      <c r="B207" s="31" t="str">
        <f>"'"&amp;装备!B208&amp;"'"</f>
        <v>'IF09'</v>
      </c>
      <c r="C207" s="31">
        <f>装备!J208</f>
        <v>0</v>
      </c>
      <c r="D207" s="31">
        <f>装备!K208</f>
        <v>0</v>
      </c>
      <c r="E207" s="31">
        <f>装备!L208</f>
        <v>0</v>
      </c>
      <c r="F207" s="31">
        <f>装备!M208</f>
        <v>0</v>
      </c>
      <c r="G207" s="31">
        <f>装备!N208</f>
        <v>0</v>
      </c>
      <c r="H207" s="31">
        <f>装备!O208</f>
        <v>0</v>
      </c>
      <c r="I207" s="31">
        <f>IF(装备!J208=0,0,"'"&amp;装备!J208&amp;"'")</f>
        <v>0</v>
      </c>
      <c r="J207" s="31">
        <f>IF(装备!K208=0,0,"'"&amp;装备!K208&amp;"'")</f>
        <v>0</v>
      </c>
      <c r="K207" s="31">
        <f>IF(装备!L208=0,0,"'"&amp;装备!L208&amp;"'")</f>
        <v>0</v>
      </c>
      <c r="L207" s="31">
        <f>IF(装备!M208=0,0,"'"&amp;装备!M208&amp;"'")</f>
        <v>0</v>
      </c>
      <c r="M207" s="31">
        <f>IF(装备!N208=0,0,"'"&amp;装备!N208&amp;"'")</f>
        <v>0</v>
      </c>
      <c r="N207" s="31">
        <f>IF(装备!O208=0,0,"'"&amp;装备!O208&amp;"'")</f>
        <v>0</v>
      </c>
      <c r="O207" s="31" t="str">
        <f t="shared" si="57"/>
        <v/>
      </c>
      <c r="P207" s="31" t="str">
        <f t="shared" si="56"/>
        <v/>
      </c>
      <c r="Q207" s="35" t="str">
        <f>IFERROR(VLOOKUP(C207,装备!$B:$E,3,FALSE),"")</f>
        <v/>
      </c>
      <c r="R207" s="35" t="str">
        <f>IFERROR(VLOOKUP(D207,装备!$B:$E,3,FALSE),"")</f>
        <v/>
      </c>
      <c r="S207" s="35" t="str">
        <f>IFERROR(VLOOKUP(E207,装备!$B:$E,3,FALSE),"")</f>
        <v/>
      </c>
      <c r="T207" s="35" t="str">
        <f>IFERROR(VLOOKUP(F207,装备!$B:$E,3,FALSE),"")</f>
        <v/>
      </c>
      <c r="U207" s="35" t="str">
        <f>IFERROR(VLOOKUP(G207,装备!$B:$E,3,FALSE),"")</f>
        <v/>
      </c>
      <c r="V207" s="35" t="str">
        <f>IFERROR(VLOOKUP(H207,装备!$B:$E,3,FALSE),"")</f>
        <v/>
      </c>
      <c r="W207" s="30" t="str">
        <f t="shared" si="58"/>
        <v/>
      </c>
      <c r="X207" s="30" t="str">
        <f t="shared" si="59"/>
        <v/>
      </c>
      <c r="Y207" s="30" t="str">
        <f t="shared" si="60"/>
        <v/>
      </c>
      <c r="Z207" s="30" t="str">
        <f t="shared" si="61"/>
        <v/>
      </c>
      <c r="AA207" s="30" t="str">
        <f t="shared" si="62"/>
        <v/>
      </c>
      <c r="AB207" s="30" t="str">
        <f t="shared" si="63"/>
        <v>|n=0</v>
      </c>
    </row>
    <row r="208" spans="1:28">
      <c r="A208" s="31">
        <f>装备!A209</f>
        <v>0</v>
      </c>
      <c r="B208" s="31" t="str">
        <f>"'"&amp;装备!B209&amp;"'"</f>
        <v>'IF10'</v>
      </c>
      <c r="C208" s="31">
        <f>装备!J209</f>
        <v>0</v>
      </c>
      <c r="D208" s="31">
        <f>装备!K209</f>
        <v>0</v>
      </c>
      <c r="E208" s="31">
        <f>装备!L209</f>
        <v>0</v>
      </c>
      <c r="F208" s="31">
        <f>装备!M209</f>
        <v>0</v>
      </c>
      <c r="G208" s="31">
        <f>装备!N209</f>
        <v>0</v>
      </c>
      <c r="H208" s="31">
        <f>装备!O209</f>
        <v>0</v>
      </c>
      <c r="I208" s="31">
        <f>IF(装备!J209=0,0,"'"&amp;装备!J209&amp;"'")</f>
        <v>0</v>
      </c>
      <c r="J208" s="31">
        <f>IF(装备!K209=0,0,"'"&amp;装备!K209&amp;"'")</f>
        <v>0</v>
      </c>
      <c r="K208" s="31">
        <f>IF(装备!L209=0,0,"'"&amp;装备!L209&amp;"'")</f>
        <v>0</v>
      </c>
      <c r="L208" s="31">
        <f>IF(装备!M209=0,0,"'"&amp;装备!M209&amp;"'")</f>
        <v>0</v>
      </c>
      <c r="M208" s="31">
        <f>IF(装备!N209=0,0,"'"&amp;装备!N209&amp;"'")</f>
        <v>0</v>
      </c>
      <c r="N208" s="31">
        <f>IF(装备!O209=0,0,"'"&amp;装备!O209&amp;"'")</f>
        <v>0</v>
      </c>
      <c r="O208" s="31" t="str">
        <f t="shared" si="57"/>
        <v/>
      </c>
      <c r="P208" s="31" t="str">
        <f t="shared" si="56"/>
        <v/>
      </c>
      <c r="Q208" s="35" t="str">
        <f>IFERROR(VLOOKUP(C208,装备!$B:$E,3,FALSE),"")</f>
        <v/>
      </c>
      <c r="R208" s="35" t="str">
        <f>IFERROR(VLOOKUP(D208,装备!$B:$E,3,FALSE),"")</f>
        <v/>
      </c>
      <c r="S208" s="35" t="str">
        <f>IFERROR(VLOOKUP(E208,装备!$B:$E,3,FALSE),"")</f>
        <v/>
      </c>
      <c r="T208" s="35" t="str">
        <f>IFERROR(VLOOKUP(F208,装备!$B:$E,3,FALSE),"")</f>
        <v/>
      </c>
      <c r="U208" s="35" t="str">
        <f>IFERROR(VLOOKUP(G208,装备!$B:$E,3,FALSE),"")</f>
        <v/>
      </c>
      <c r="V208" s="35" t="str">
        <f>IFERROR(VLOOKUP(H208,装备!$B:$E,3,FALSE),"")</f>
        <v/>
      </c>
      <c r="W208" s="30" t="str">
        <f t="shared" si="58"/>
        <v/>
      </c>
      <c r="X208" s="30" t="str">
        <f t="shared" si="59"/>
        <v/>
      </c>
      <c r="Y208" s="30" t="str">
        <f t="shared" si="60"/>
        <v/>
      </c>
      <c r="Z208" s="30" t="str">
        <f t="shared" si="61"/>
        <v/>
      </c>
      <c r="AA208" s="30" t="str">
        <f t="shared" si="62"/>
        <v/>
      </c>
      <c r="AB208" s="30" t="str">
        <f t="shared" si="63"/>
        <v>|n=0</v>
      </c>
    </row>
    <row r="209" spans="1:28">
      <c r="A209" s="31">
        <f>装备!A210</f>
        <v>0</v>
      </c>
      <c r="B209" s="31" t="str">
        <f>"'"&amp;装备!B210&amp;"'"</f>
        <v>'IF11'</v>
      </c>
      <c r="C209" s="31">
        <f>装备!J210</f>
        <v>0</v>
      </c>
      <c r="D209" s="31">
        <f>装备!K210</f>
        <v>0</v>
      </c>
      <c r="E209" s="31">
        <f>装备!L210</f>
        <v>0</v>
      </c>
      <c r="F209" s="31">
        <f>装备!M210</f>
        <v>0</v>
      </c>
      <c r="G209" s="31">
        <f>装备!N210</f>
        <v>0</v>
      </c>
      <c r="H209" s="31">
        <f>装备!O210</f>
        <v>0</v>
      </c>
      <c r="I209" s="31">
        <f>IF(装备!J210=0,0,"'"&amp;装备!J210&amp;"'")</f>
        <v>0</v>
      </c>
      <c r="J209" s="31">
        <f>IF(装备!K210=0,0,"'"&amp;装备!K210&amp;"'")</f>
        <v>0</v>
      </c>
      <c r="K209" s="31">
        <f>IF(装备!L210=0,0,"'"&amp;装备!L210&amp;"'")</f>
        <v>0</v>
      </c>
      <c r="L209" s="31">
        <f>IF(装备!M210=0,0,"'"&amp;装备!M210&amp;"'")</f>
        <v>0</v>
      </c>
      <c r="M209" s="31">
        <f>IF(装备!N210=0,0,"'"&amp;装备!N210&amp;"'")</f>
        <v>0</v>
      </c>
      <c r="N209" s="31">
        <f>IF(装备!O210=0,0,"'"&amp;装备!O210&amp;"'")</f>
        <v>0</v>
      </c>
      <c r="O209" s="31" t="str">
        <f t="shared" si="57"/>
        <v/>
      </c>
      <c r="P209" s="31" t="str">
        <f t="shared" si="56"/>
        <v/>
      </c>
      <c r="Q209" s="35" t="str">
        <f>IFERROR(VLOOKUP(C209,装备!$B:$E,3,FALSE),"")</f>
        <v/>
      </c>
      <c r="R209" s="35" t="str">
        <f>IFERROR(VLOOKUP(D209,装备!$B:$E,3,FALSE),"")</f>
        <v/>
      </c>
      <c r="S209" s="35" t="str">
        <f>IFERROR(VLOOKUP(E209,装备!$B:$E,3,FALSE),"")</f>
        <v/>
      </c>
      <c r="T209" s="35" t="str">
        <f>IFERROR(VLOOKUP(F209,装备!$B:$E,3,FALSE),"")</f>
        <v/>
      </c>
      <c r="U209" s="35" t="str">
        <f>IFERROR(VLOOKUP(G209,装备!$B:$E,3,FALSE),"")</f>
        <v/>
      </c>
      <c r="V209" s="35" t="str">
        <f>IFERROR(VLOOKUP(H209,装备!$B:$E,3,FALSE),"")</f>
        <v/>
      </c>
      <c r="W209" s="30" t="str">
        <f t="shared" si="58"/>
        <v/>
      </c>
      <c r="X209" s="30" t="str">
        <f t="shared" si="59"/>
        <v/>
      </c>
      <c r="Y209" s="30" t="str">
        <f t="shared" si="60"/>
        <v/>
      </c>
      <c r="Z209" s="30" t="str">
        <f t="shared" si="61"/>
        <v/>
      </c>
      <c r="AA209" s="30" t="str">
        <f t="shared" si="62"/>
        <v/>
      </c>
      <c r="AB209" s="30" t="str">
        <f t="shared" si="63"/>
        <v>|n=0</v>
      </c>
    </row>
    <row r="210" spans="1:28">
      <c r="A210" s="31">
        <f>装备!A211</f>
        <v>0</v>
      </c>
      <c r="B210" s="31" t="str">
        <f>"'"&amp;装备!B211&amp;"'"</f>
        <v>'IF12'</v>
      </c>
      <c r="C210" s="31">
        <f>装备!J211</f>
        <v>0</v>
      </c>
      <c r="D210" s="31">
        <f>装备!K211</f>
        <v>0</v>
      </c>
      <c r="E210" s="31">
        <f>装备!L211</f>
        <v>0</v>
      </c>
      <c r="F210" s="31">
        <f>装备!M211</f>
        <v>0</v>
      </c>
      <c r="G210" s="31">
        <f>装备!N211</f>
        <v>0</v>
      </c>
      <c r="H210" s="31">
        <f>装备!O211</f>
        <v>0</v>
      </c>
      <c r="I210" s="31">
        <f>IF(装备!J211=0,0,"'"&amp;装备!J211&amp;"'")</f>
        <v>0</v>
      </c>
      <c r="J210" s="31">
        <f>IF(装备!K211=0,0,"'"&amp;装备!K211&amp;"'")</f>
        <v>0</v>
      </c>
      <c r="K210" s="31">
        <f>IF(装备!L211=0,0,"'"&amp;装备!L211&amp;"'")</f>
        <v>0</v>
      </c>
      <c r="L210" s="31">
        <f>IF(装备!M211=0,0,"'"&amp;装备!M211&amp;"'")</f>
        <v>0</v>
      </c>
      <c r="M210" s="31">
        <f>IF(装备!N211=0,0,"'"&amp;装备!N211&amp;"'")</f>
        <v>0</v>
      </c>
      <c r="N210" s="31">
        <f>IF(装备!O211=0,0,"'"&amp;装备!O211&amp;"'")</f>
        <v>0</v>
      </c>
      <c r="O210" s="31" t="str">
        <f t="shared" si="57"/>
        <v/>
      </c>
      <c r="P210" s="31" t="str">
        <f t="shared" si="56"/>
        <v/>
      </c>
      <c r="Q210" s="35" t="str">
        <f>IFERROR(VLOOKUP(C210,装备!$B:$E,3,FALSE),"")</f>
        <v/>
      </c>
      <c r="R210" s="35" t="str">
        <f>IFERROR(VLOOKUP(D210,装备!$B:$E,3,FALSE),"")</f>
        <v/>
      </c>
      <c r="S210" s="35" t="str">
        <f>IFERROR(VLOOKUP(E210,装备!$B:$E,3,FALSE),"")</f>
        <v/>
      </c>
      <c r="T210" s="35" t="str">
        <f>IFERROR(VLOOKUP(F210,装备!$B:$E,3,FALSE),"")</f>
        <v/>
      </c>
      <c r="U210" s="35" t="str">
        <f>IFERROR(VLOOKUP(G210,装备!$B:$E,3,FALSE),"")</f>
        <v/>
      </c>
      <c r="V210" s="35" t="str">
        <f>IFERROR(VLOOKUP(H210,装备!$B:$E,3,FALSE),"")</f>
        <v/>
      </c>
      <c r="W210" s="30" t="str">
        <f t="shared" si="58"/>
        <v/>
      </c>
      <c r="X210" s="30" t="str">
        <f t="shared" si="59"/>
        <v/>
      </c>
      <c r="Y210" s="30" t="str">
        <f t="shared" si="60"/>
        <v/>
      </c>
      <c r="Z210" s="30" t="str">
        <f t="shared" si="61"/>
        <v/>
      </c>
      <c r="AA210" s="30" t="str">
        <f t="shared" si="62"/>
        <v/>
      </c>
      <c r="AB210" s="30" t="str">
        <f t="shared" si="63"/>
        <v>|n=0</v>
      </c>
    </row>
    <row r="211" spans="1:28">
      <c r="A211" s="31">
        <f>装备!A212</f>
        <v>0</v>
      </c>
      <c r="B211" s="31" t="str">
        <f>"'"&amp;装备!B212&amp;"'"</f>
        <v>'IF13'</v>
      </c>
      <c r="C211" s="31">
        <f>装备!J212</f>
        <v>0</v>
      </c>
      <c r="D211" s="31">
        <f>装备!K212</f>
        <v>0</v>
      </c>
      <c r="E211" s="31">
        <f>装备!L212</f>
        <v>0</v>
      </c>
      <c r="F211" s="31">
        <f>装备!M212</f>
        <v>0</v>
      </c>
      <c r="G211" s="31">
        <f>装备!N212</f>
        <v>0</v>
      </c>
      <c r="H211" s="31">
        <f>装备!O212</f>
        <v>0</v>
      </c>
      <c r="I211" s="31">
        <f>IF(装备!J212=0,0,"'"&amp;装备!J212&amp;"'")</f>
        <v>0</v>
      </c>
      <c r="J211" s="31">
        <f>IF(装备!K212=0,0,"'"&amp;装备!K212&amp;"'")</f>
        <v>0</v>
      </c>
      <c r="K211" s="31">
        <f>IF(装备!L212=0,0,"'"&amp;装备!L212&amp;"'")</f>
        <v>0</v>
      </c>
      <c r="L211" s="31">
        <f>IF(装备!M212=0,0,"'"&amp;装备!M212&amp;"'")</f>
        <v>0</v>
      </c>
      <c r="M211" s="31">
        <f>IF(装备!N212=0,0,"'"&amp;装备!N212&amp;"'")</f>
        <v>0</v>
      </c>
      <c r="N211" s="31">
        <f>IF(装备!O212=0,0,"'"&amp;装备!O212&amp;"'")</f>
        <v>0</v>
      </c>
      <c r="O211" s="31" t="str">
        <f t="shared" si="57"/>
        <v/>
      </c>
      <c r="P211" s="31" t="str">
        <f t="shared" si="56"/>
        <v/>
      </c>
      <c r="Q211" s="35" t="str">
        <f>IFERROR(VLOOKUP(C211,装备!$B:$E,3,FALSE),"")</f>
        <v/>
      </c>
      <c r="R211" s="35" t="str">
        <f>IFERROR(VLOOKUP(D211,装备!$B:$E,3,FALSE),"")</f>
        <v/>
      </c>
      <c r="S211" s="35" t="str">
        <f>IFERROR(VLOOKUP(E211,装备!$B:$E,3,FALSE),"")</f>
        <v/>
      </c>
      <c r="T211" s="35" t="str">
        <f>IFERROR(VLOOKUP(F211,装备!$B:$E,3,FALSE),"")</f>
        <v/>
      </c>
      <c r="U211" s="35" t="str">
        <f>IFERROR(VLOOKUP(G211,装备!$B:$E,3,FALSE),"")</f>
        <v/>
      </c>
      <c r="V211" s="35" t="str">
        <f>IFERROR(VLOOKUP(H211,装备!$B:$E,3,FALSE),"")</f>
        <v/>
      </c>
      <c r="W211" s="30" t="str">
        <f t="shared" si="58"/>
        <v/>
      </c>
      <c r="X211" s="30" t="str">
        <f t="shared" si="59"/>
        <v/>
      </c>
      <c r="Y211" s="30" t="str">
        <f t="shared" si="60"/>
        <v/>
      </c>
      <c r="Z211" s="30" t="str">
        <f t="shared" si="61"/>
        <v/>
      </c>
      <c r="AA211" s="30" t="str">
        <f t="shared" si="62"/>
        <v/>
      </c>
      <c r="AB211" s="30" t="str">
        <f t="shared" si="63"/>
        <v>|n=0</v>
      </c>
    </row>
    <row r="212" spans="1:28">
      <c r="A212" s="31">
        <f>装备!A213</f>
        <v>0</v>
      </c>
      <c r="B212" s="31" t="str">
        <f>"'"&amp;装备!B213&amp;"'"</f>
        <v>'IF14'</v>
      </c>
      <c r="C212" s="31">
        <f>装备!J213</f>
        <v>0</v>
      </c>
      <c r="D212" s="31">
        <f>装备!K213</f>
        <v>0</v>
      </c>
      <c r="E212" s="31">
        <f>装备!L213</f>
        <v>0</v>
      </c>
      <c r="F212" s="31">
        <f>装备!M213</f>
        <v>0</v>
      </c>
      <c r="G212" s="31">
        <f>装备!N213</f>
        <v>0</v>
      </c>
      <c r="H212" s="31">
        <f>装备!O213</f>
        <v>0</v>
      </c>
      <c r="I212" s="31">
        <f>IF(装备!J213=0,0,"'"&amp;装备!J213&amp;"'")</f>
        <v>0</v>
      </c>
      <c r="J212" s="31">
        <f>IF(装备!K213=0,0,"'"&amp;装备!K213&amp;"'")</f>
        <v>0</v>
      </c>
      <c r="K212" s="31">
        <f>IF(装备!L213=0,0,"'"&amp;装备!L213&amp;"'")</f>
        <v>0</v>
      </c>
      <c r="L212" s="31">
        <f>IF(装备!M213=0,0,"'"&amp;装备!M213&amp;"'")</f>
        <v>0</v>
      </c>
      <c r="M212" s="31">
        <f>IF(装备!N213=0,0,"'"&amp;装备!N213&amp;"'")</f>
        <v>0</v>
      </c>
      <c r="N212" s="31">
        <f>IF(装备!O213=0,0,"'"&amp;装备!O213&amp;"'")</f>
        <v>0</v>
      </c>
      <c r="O212" s="31" t="str">
        <f t="shared" si="57"/>
        <v/>
      </c>
      <c r="P212" s="31" t="str">
        <f t="shared" si="56"/>
        <v/>
      </c>
      <c r="Q212" s="35" t="str">
        <f>IFERROR(VLOOKUP(C212,装备!$B:$E,3,FALSE),"")</f>
        <v/>
      </c>
      <c r="R212" s="35" t="str">
        <f>IFERROR(VLOOKUP(D212,装备!$B:$E,3,FALSE),"")</f>
        <v/>
      </c>
      <c r="S212" s="35" t="str">
        <f>IFERROR(VLOOKUP(E212,装备!$B:$E,3,FALSE),"")</f>
        <v/>
      </c>
      <c r="T212" s="35" t="str">
        <f>IFERROR(VLOOKUP(F212,装备!$B:$E,3,FALSE),"")</f>
        <v/>
      </c>
      <c r="U212" s="35" t="str">
        <f>IFERROR(VLOOKUP(G212,装备!$B:$E,3,FALSE),"")</f>
        <v/>
      </c>
      <c r="V212" s="35" t="str">
        <f>IFERROR(VLOOKUP(H212,装备!$B:$E,3,FALSE),"")</f>
        <v/>
      </c>
      <c r="W212" s="30" t="str">
        <f t="shared" si="58"/>
        <v/>
      </c>
      <c r="X212" s="30" t="str">
        <f t="shared" si="59"/>
        <v/>
      </c>
      <c r="Y212" s="30" t="str">
        <f t="shared" si="60"/>
        <v/>
      </c>
      <c r="Z212" s="30" t="str">
        <f t="shared" si="61"/>
        <v/>
      </c>
      <c r="AA212" s="30" t="str">
        <f t="shared" si="62"/>
        <v/>
      </c>
      <c r="AB212" s="30" t="str">
        <f t="shared" si="63"/>
        <v>|n=0</v>
      </c>
    </row>
    <row r="213" spans="1:28">
      <c r="A213" s="31">
        <f>装备!A214</f>
        <v>0</v>
      </c>
      <c r="B213" s="31" t="str">
        <f>"'"&amp;装备!B214&amp;"'"</f>
        <v>'IF15'</v>
      </c>
      <c r="C213" s="31">
        <f>装备!J214</f>
        <v>0</v>
      </c>
      <c r="D213" s="31">
        <f>装备!K214</f>
        <v>0</v>
      </c>
      <c r="E213" s="31">
        <f>装备!L214</f>
        <v>0</v>
      </c>
      <c r="F213" s="31">
        <f>装备!M214</f>
        <v>0</v>
      </c>
      <c r="G213" s="31">
        <f>装备!N214</f>
        <v>0</v>
      </c>
      <c r="H213" s="31">
        <f>装备!O214</f>
        <v>0</v>
      </c>
      <c r="I213" s="31">
        <f>IF(装备!J214=0,0,"'"&amp;装备!J214&amp;"'")</f>
        <v>0</v>
      </c>
      <c r="J213" s="31">
        <f>IF(装备!K214=0,0,"'"&amp;装备!K214&amp;"'")</f>
        <v>0</v>
      </c>
      <c r="K213" s="31">
        <f>IF(装备!L214=0,0,"'"&amp;装备!L214&amp;"'")</f>
        <v>0</v>
      </c>
      <c r="L213" s="31">
        <f>IF(装备!M214=0,0,"'"&amp;装备!M214&amp;"'")</f>
        <v>0</v>
      </c>
      <c r="M213" s="31">
        <f>IF(装备!N214=0,0,"'"&amp;装备!N214&amp;"'")</f>
        <v>0</v>
      </c>
      <c r="N213" s="31">
        <f>IF(装备!O214=0,0,"'"&amp;装备!O214&amp;"'")</f>
        <v>0</v>
      </c>
      <c r="O213" s="31" t="str">
        <f t="shared" si="57"/>
        <v/>
      </c>
      <c r="P213" s="31" t="str">
        <f t="shared" si="56"/>
        <v/>
      </c>
      <c r="Q213" s="35" t="str">
        <f>IFERROR(VLOOKUP(C213,装备!$B:$E,3,FALSE),"")</f>
        <v/>
      </c>
      <c r="R213" s="35" t="str">
        <f>IFERROR(VLOOKUP(D213,装备!$B:$E,3,FALSE),"")</f>
        <v/>
      </c>
      <c r="S213" s="35" t="str">
        <f>IFERROR(VLOOKUP(E213,装备!$B:$E,3,FALSE),"")</f>
        <v/>
      </c>
      <c r="T213" s="35" t="str">
        <f>IFERROR(VLOOKUP(F213,装备!$B:$E,3,FALSE),"")</f>
        <v/>
      </c>
      <c r="U213" s="35" t="str">
        <f>IFERROR(VLOOKUP(G213,装备!$B:$E,3,FALSE),"")</f>
        <v/>
      </c>
      <c r="V213" s="35" t="str">
        <f>IFERROR(VLOOKUP(H213,装备!$B:$E,3,FALSE),"")</f>
        <v/>
      </c>
      <c r="W213" s="30" t="str">
        <f t="shared" si="58"/>
        <v/>
      </c>
      <c r="X213" s="30" t="str">
        <f t="shared" si="59"/>
        <v/>
      </c>
      <c r="Y213" s="30" t="str">
        <f t="shared" si="60"/>
        <v/>
      </c>
      <c r="Z213" s="30" t="str">
        <f t="shared" si="61"/>
        <v/>
      </c>
      <c r="AA213" s="30" t="str">
        <f t="shared" si="62"/>
        <v/>
      </c>
      <c r="AB213" s="30" t="str">
        <f t="shared" si="63"/>
        <v>|n=0</v>
      </c>
    </row>
    <row r="214" spans="1:28">
      <c r="A214" s="31">
        <f>装备!A215</f>
        <v>0</v>
      </c>
      <c r="B214" s="31" t="str">
        <f>"'"&amp;装备!B215&amp;"'"</f>
        <v>'IF16'</v>
      </c>
      <c r="C214" s="31">
        <f>装备!J215</f>
        <v>0</v>
      </c>
      <c r="D214" s="31">
        <f>装备!K215</f>
        <v>0</v>
      </c>
      <c r="E214" s="31">
        <f>装备!L215</f>
        <v>0</v>
      </c>
      <c r="F214" s="31">
        <f>装备!M215</f>
        <v>0</v>
      </c>
      <c r="G214" s="31">
        <f>装备!N215</f>
        <v>0</v>
      </c>
      <c r="H214" s="31">
        <f>装备!O215</f>
        <v>0</v>
      </c>
      <c r="I214" s="31">
        <f>IF(装备!J215=0,0,"'"&amp;装备!J215&amp;"'")</f>
        <v>0</v>
      </c>
      <c r="J214" s="31">
        <f>IF(装备!K215=0,0,"'"&amp;装备!K215&amp;"'")</f>
        <v>0</v>
      </c>
      <c r="K214" s="31">
        <f>IF(装备!L215=0,0,"'"&amp;装备!L215&amp;"'")</f>
        <v>0</v>
      </c>
      <c r="L214" s="31">
        <f>IF(装备!M215=0,0,"'"&amp;装备!M215&amp;"'")</f>
        <v>0</v>
      </c>
      <c r="M214" s="31">
        <f>IF(装备!N215=0,0,"'"&amp;装备!N215&amp;"'")</f>
        <v>0</v>
      </c>
      <c r="N214" s="31">
        <f>IF(装备!O215=0,0,"'"&amp;装备!O215&amp;"'")</f>
        <v>0</v>
      </c>
      <c r="O214" s="31" t="str">
        <f t="shared" si="57"/>
        <v/>
      </c>
      <c r="P214" s="31" t="str">
        <f t="shared" si="56"/>
        <v/>
      </c>
      <c r="Q214" s="35" t="str">
        <f>IFERROR(VLOOKUP(C214,装备!$B:$E,3,FALSE),"")</f>
        <v/>
      </c>
      <c r="R214" s="35" t="str">
        <f>IFERROR(VLOOKUP(D214,装备!$B:$E,3,FALSE),"")</f>
        <v/>
      </c>
      <c r="S214" s="35" t="str">
        <f>IFERROR(VLOOKUP(E214,装备!$B:$E,3,FALSE),"")</f>
        <v/>
      </c>
      <c r="T214" s="35" t="str">
        <f>IFERROR(VLOOKUP(F214,装备!$B:$E,3,FALSE),"")</f>
        <v/>
      </c>
      <c r="U214" s="35" t="str">
        <f>IFERROR(VLOOKUP(G214,装备!$B:$E,3,FALSE),"")</f>
        <v/>
      </c>
      <c r="V214" s="35" t="str">
        <f>IFERROR(VLOOKUP(H214,装备!$B:$E,3,FALSE),"")</f>
        <v/>
      </c>
      <c r="W214" s="30" t="str">
        <f t="shared" si="58"/>
        <v/>
      </c>
      <c r="X214" s="30" t="str">
        <f t="shared" si="59"/>
        <v/>
      </c>
      <c r="Y214" s="30" t="str">
        <f t="shared" si="60"/>
        <v/>
      </c>
      <c r="Z214" s="30" t="str">
        <f t="shared" si="61"/>
        <v/>
      </c>
      <c r="AA214" s="30" t="str">
        <f t="shared" si="62"/>
        <v/>
      </c>
      <c r="AB214" s="30" t="str">
        <f t="shared" si="63"/>
        <v>|n=0</v>
      </c>
    </row>
    <row r="215" spans="1:28">
      <c r="A215" s="31">
        <f>装备!A216</f>
        <v>0</v>
      </c>
      <c r="B215" s="31" t="str">
        <f>"'"&amp;装备!B216&amp;"'"</f>
        <v>'IF17'</v>
      </c>
      <c r="C215" s="31">
        <f>装备!J216</f>
        <v>0</v>
      </c>
      <c r="D215" s="31">
        <f>装备!K216</f>
        <v>0</v>
      </c>
      <c r="E215" s="31">
        <f>装备!L216</f>
        <v>0</v>
      </c>
      <c r="F215" s="31">
        <f>装备!M216</f>
        <v>0</v>
      </c>
      <c r="G215" s="31">
        <f>装备!N216</f>
        <v>0</v>
      </c>
      <c r="H215" s="31">
        <f>装备!O216</f>
        <v>0</v>
      </c>
      <c r="I215" s="31">
        <f>IF(装备!J216=0,0,"'"&amp;装备!J216&amp;"'")</f>
        <v>0</v>
      </c>
      <c r="J215" s="31">
        <f>IF(装备!K216=0,0,"'"&amp;装备!K216&amp;"'")</f>
        <v>0</v>
      </c>
      <c r="K215" s="31">
        <f>IF(装备!L216=0,0,"'"&amp;装备!L216&amp;"'")</f>
        <v>0</v>
      </c>
      <c r="L215" s="31">
        <f>IF(装备!M216=0,0,"'"&amp;装备!M216&amp;"'")</f>
        <v>0</v>
      </c>
      <c r="M215" s="31">
        <f>IF(装备!N216=0,0,"'"&amp;装备!N216&amp;"'")</f>
        <v>0</v>
      </c>
      <c r="N215" s="31">
        <f>IF(装备!O216=0,0,"'"&amp;装备!O216&amp;"'")</f>
        <v>0</v>
      </c>
      <c r="O215" s="31" t="str">
        <f t="shared" ref="O215:O226" si="64">IF(I215=0,"","AddItemFormula("&amp;I215&amp;","&amp;J215&amp;","&amp;K215&amp;","&amp;L215&amp;","&amp;M215&amp;","&amp;N215&amp;","&amp;B215&amp;")")</f>
        <v/>
      </c>
      <c r="P215" s="31" t="str">
        <f t="shared" si="56"/>
        <v/>
      </c>
      <c r="Q215" s="35" t="str">
        <f>IFERROR(VLOOKUP(C215,装备!$B:$E,3,FALSE),"")</f>
        <v/>
      </c>
      <c r="R215" s="35" t="str">
        <f>IFERROR(VLOOKUP(D215,装备!$B:$E,3,FALSE),"")</f>
        <v/>
      </c>
      <c r="S215" s="35" t="str">
        <f>IFERROR(VLOOKUP(E215,装备!$B:$E,3,FALSE),"")</f>
        <v/>
      </c>
      <c r="T215" s="35" t="str">
        <f>IFERROR(VLOOKUP(F215,装备!$B:$E,3,FALSE),"")</f>
        <v/>
      </c>
      <c r="U215" s="35" t="str">
        <f>IFERROR(VLOOKUP(G215,装备!$B:$E,3,FALSE),"")</f>
        <v/>
      </c>
      <c r="V215" s="35" t="str">
        <f>IFERROR(VLOOKUP(H215,装备!$B:$E,3,FALSE),"")</f>
        <v/>
      </c>
      <c r="W215" s="30" t="str">
        <f t="shared" ref="W215:W226" si="65">IF(R215="","","+"&amp;R215)</f>
        <v/>
      </c>
      <c r="X215" s="30" t="str">
        <f t="shared" ref="X215:X226" si="66">IF(S215="","","+"&amp;S215)</f>
        <v/>
      </c>
      <c r="Y215" s="30" t="str">
        <f t="shared" ref="Y215:Y226" si="67">IF(T215="","","+"&amp;T215)</f>
        <v/>
      </c>
      <c r="Z215" s="30" t="str">
        <f t="shared" ref="Z215:Z226" si="68">IF(U215="","","+"&amp;U215)</f>
        <v/>
      </c>
      <c r="AA215" s="30" t="str">
        <f t="shared" ref="AA215:AA226" si="69">IF(V215="","","+"&amp;V215)</f>
        <v/>
      </c>
      <c r="AB215" s="30" t="str">
        <f t="shared" ref="AB215:AB226" si="70">"|n"&amp;Q215&amp;W215&amp;X215&amp;Y215&amp;Z215&amp;AA215&amp;"="&amp;A215</f>
        <v>|n=0</v>
      </c>
    </row>
    <row r="216" spans="1:28">
      <c r="A216" s="31">
        <f>装备!A217</f>
        <v>0</v>
      </c>
      <c r="B216" s="31" t="str">
        <f>"'"&amp;装备!B217&amp;"'"</f>
        <v>'IF18'</v>
      </c>
      <c r="C216" s="31">
        <f>装备!J217</f>
        <v>0</v>
      </c>
      <c r="D216" s="31">
        <f>装备!K217</f>
        <v>0</v>
      </c>
      <c r="E216" s="31">
        <f>装备!L217</f>
        <v>0</v>
      </c>
      <c r="F216" s="31">
        <f>装备!M217</f>
        <v>0</v>
      </c>
      <c r="G216" s="31">
        <f>装备!N217</f>
        <v>0</v>
      </c>
      <c r="H216" s="31">
        <f>装备!O217</f>
        <v>0</v>
      </c>
      <c r="I216" s="31">
        <f>IF(装备!J217=0,0,"'"&amp;装备!J217&amp;"'")</f>
        <v>0</v>
      </c>
      <c r="J216" s="31">
        <f>IF(装备!K217=0,0,"'"&amp;装备!K217&amp;"'")</f>
        <v>0</v>
      </c>
      <c r="K216" s="31">
        <f>IF(装备!L217=0,0,"'"&amp;装备!L217&amp;"'")</f>
        <v>0</v>
      </c>
      <c r="L216" s="31">
        <f>IF(装备!M217=0,0,"'"&amp;装备!M217&amp;"'")</f>
        <v>0</v>
      </c>
      <c r="M216" s="31">
        <f>IF(装备!N217=0,0,"'"&amp;装备!N217&amp;"'")</f>
        <v>0</v>
      </c>
      <c r="N216" s="31">
        <f>IF(装备!O217=0,0,"'"&amp;装备!O217&amp;"'")</f>
        <v>0</v>
      </c>
      <c r="O216" s="31" t="str">
        <f t="shared" si="64"/>
        <v/>
      </c>
      <c r="P216" s="31" t="str">
        <f t="shared" ref="P216:P247" si="71">IFERROR(VLOOKUP(A216,Q:AB,12,FALSE),IFERROR(VLOOKUP(A216,R:AB,11,FALSE),IFERROR(VLOOKUP(A216,S:AB,10,FALSE),"")))</f>
        <v/>
      </c>
      <c r="Q216" s="35" t="str">
        <f>IFERROR(VLOOKUP(C216,装备!$B:$E,3,FALSE),"")</f>
        <v/>
      </c>
      <c r="R216" s="35" t="str">
        <f>IFERROR(VLOOKUP(D216,装备!$B:$E,3,FALSE),"")</f>
        <v/>
      </c>
      <c r="S216" s="35" t="str">
        <f>IFERROR(VLOOKUP(E216,装备!$B:$E,3,FALSE),"")</f>
        <v/>
      </c>
      <c r="T216" s="35" t="str">
        <f>IFERROR(VLOOKUP(F216,装备!$B:$E,3,FALSE),"")</f>
        <v/>
      </c>
      <c r="U216" s="35" t="str">
        <f>IFERROR(VLOOKUP(G216,装备!$B:$E,3,FALSE),"")</f>
        <v/>
      </c>
      <c r="V216" s="35" t="str">
        <f>IFERROR(VLOOKUP(H216,装备!$B:$E,3,FALSE),"")</f>
        <v/>
      </c>
      <c r="W216" s="30" t="str">
        <f t="shared" si="65"/>
        <v/>
      </c>
      <c r="X216" s="30" t="str">
        <f t="shared" si="66"/>
        <v/>
      </c>
      <c r="Y216" s="30" t="str">
        <f t="shared" si="67"/>
        <v/>
      </c>
      <c r="Z216" s="30" t="str">
        <f t="shared" si="68"/>
        <v/>
      </c>
      <c r="AA216" s="30" t="str">
        <f t="shared" si="69"/>
        <v/>
      </c>
      <c r="AB216" s="30" t="str">
        <f t="shared" si="70"/>
        <v>|n=0</v>
      </c>
    </row>
    <row r="217" spans="1:28">
      <c r="A217" s="31">
        <f>装备!A218</f>
        <v>0</v>
      </c>
      <c r="B217" s="31" t="str">
        <f>"'"&amp;装备!B218&amp;"'"</f>
        <v>'IF19'</v>
      </c>
      <c r="C217" s="31">
        <f>装备!J218</f>
        <v>0</v>
      </c>
      <c r="D217" s="31">
        <f>装备!K218</f>
        <v>0</v>
      </c>
      <c r="E217" s="31">
        <f>装备!L218</f>
        <v>0</v>
      </c>
      <c r="F217" s="31">
        <f>装备!M218</f>
        <v>0</v>
      </c>
      <c r="G217" s="31">
        <f>装备!N218</f>
        <v>0</v>
      </c>
      <c r="H217" s="31">
        <f>装备!O218</f>
        <v>0</v>
      </c>
      <c r="I217" s="31">
        <f>IF(装备!J218=0,0,"'"&amp;装备!J218&amp;"'")</f>
        <v>0</v>
      </c>
      <c r="J217" s="31">
        <f>IF(装备!K218=0,0,"'"&amp;装备!K218&amp;"'")</f>
        <v>0</v>
      </c>
      <c r="K217" s="31">
        <f>IF(装备!L218=0,0,"'"&amp;装备!L218&amp;"'")</f>
        <v>0</v>
      </c>
      <c r="L217" s="31">
        <f>IF(装备!M218=0,0,"'"&amp;装备!M218&amp;"'")</f>
        <v>0</v>
      </c>
      <c r="M217" s="31">
        <f>IF(装备!N218=0,0,"'"&amp;装备!N218&amp;"'")</f>
        <v>0</v>
      </c>
      <c r="N217" s="31">
        <f>IF(装备!O218=0,0,"'"&amp;装备!O218&amp;"'")</f>
        <v>0</v>
      </c>
      <c r="O217" s="31" t="str">
        <f t="shared" si="64"/>
        <v/>
      </c>
      <c r="P217" s="31" t="str">
        <f t="shared" si="71"/>
        <v/>
      </c>
      <c r="Q217" s="35" t="str">
        <f>IFERROR(VLOOKUP(C217,装备!$B:$E,3,FALSE),"")</f>
        <v/>
      </c>
      <c r="R217" s="35" t="str">
        <f>IFERROR(VLOOKUP(D217,装备!$B:$E,3,FALSE),"")</f>
        <v/>
      </c>
      <c r="S217" s="35" t="str">
        <f>IFERROR(VLOOKUP(E217,装备!$B:$E,3,FALSE),"")</f>
        <v/>
      </c>
      <c r="T217" s="35" t="str">
        <f>IFERROR(VLOOKUP(F217,装备!$B:$E,3,FALSE),"")</f>
        <v/>
      </c>
      <c r="U217" s="35" t="str">
        <f>IFERROR(VLOOKUP(G217,装备!$B:$E,3,FALSE),"")</f>
        <v/>
      </c>
      <c r="V217" s="35" t="str">
        <f>IFERROR(VLOOKUP(H217,装备!$B:$E,3,FALSE),"")</f>
        <v/>
      </c>
      <c r="W217" s="30" t="str">
        <f t="shared" si="65"/>
        <v/>
      </c>
      <c r="X217" s="30" t="str">
        <f t="shared" si="66"/>
        <v/>
      </c>
      <c r="Y217" s="30" t="str">
        <f t="shared" si="67"/>
        <v/>
      </c>
      <c r="Z217" s="30" t="str">
        <f t="shared" si="68"/>
        <v/>
      </c>
      <c r="AA217" s="30" t="str">
        <f t="shared" si="69"/>
        <v/>
      </c>
      <c r="AB217" s="30" t="str">
        <f t="shared" si="70"/>
        <v>|n=0</v>
      </c>
    </row>
    <row r="218" spans="1:28">
      <c r="A218" s="31">
        <f>装备!A219</f>
        <v>0</v>
      </c>
      <c r="B218" s="31" t="str">
        <f>"'"&amp;装备!B219&amp;"'"</f>
        <v>'IF20'</v>
      </c>
      <c r="C218" s="31">
        <f>装备!J219</f>
        <v>0</v>
      </c>
      <c r="D218" s="31">
        <f>装备!K219</f>
        <v>0</v>
      </c>
      <c r="E218" s="31">
        <f>装备!L219</f>
        <v>0</v>
      </c>
      <c r="F218" s="31">
        <f>装备!M219</f>
        <v>0</v>
      </c>
      <c r="G218" s="31">
        <f>装备!N219</f>
        <v>0</v>
      </c>
      <c r="H218" s="31">
        <f>装备!O219</f>
        <v>0</v>
      </c>
      <c r="I218" s="31">
        <f>IF(装备!J219=0,0,"'"&amp;装备!J219&amp;"'")</f>
        <v>0</v>
      </c>
      <c r="J218" s="31">
        <f>IF(装备!K219=0,0,"'"&amp;装备!K219&amp;"'")</f>
        <v>0</v>
      </c>
      <c r="K218" s="31">
        <f>IF(装备!L219=0,0,"'"&amp;装备!L219&amp;"'")</f>
        <v>0</v>
      </c>
      <c r="L218" s="31">
        <f>IF(装备!M219=0,0,"'"&amp;装备!M219&amp;"'")</f>
        <v>0</v>
      </c>
      <c r="M218" s="31">
        <f>IF(装备!N219=0,0,"'"&amp;装备!N219&amp;"'")</f>
        <v>0</v>
      </c>
      <c r="N218" s="31">
        <f>IF(装备!O219=0,0,"'"&amp;装备!O219&amp;"'")</f>
        <v>0</v>
      </c>
      <c r="O218" s="31" t="str">
        <f t="shared" si="64"/>
        <v/>
      </c>
      <c r="P218" s="31" t="str">
        <f t="shared" si="71"/>
        <v/>
      </c>
      <c r="Q218" s="35" t="str">
        <f>IFERROR(VLOOKUP(C218,装备!$B:$E,3,FALSE),"")</f>
        <v/>
      </c>
      <c r="R218" s="35" t="str">
        <f>IFERROR(VLOOKUP(D218,装备!$B:$E,3,FALSE),"")</f>
        <v/>
      </c>
      <c r="S218" s="35" t="str">
        <f>IFERROR(VLOOKUP(E218,装备!$B:$E,3,FALSE),"")</f>
        <v/>
      </c>
      <c r="T218" s="35" t="str">
        <f>IFERROR(VLOOKUP(F218,装备!$B:$E,3,FALSE),"")</f>
        <v/>
      </c>
      <c r="U218" s="35" t="str">
        <f>IFERROR(VLOOKUP(G218,装备!$B:$E,3,FALSE),"")</f>
        <v/>
      </c>
      <c r="V218" s="35" t="str">
        <f>IFERROR(VLOOKUP(H218,装备!$B:$E,3,FALSE),"")</f>
        <v/>
      </c>
      <c r="W218" s="30" t="str">
        <f t="shared" si="65"/>
        <v/>
      </c>
      <c r="X218" s="30" t="str">
        <f t="shared" si="66"/>
        <v/>
      </c>
      <c r="Y218" s="30" t="str">
        <f t="shared" si="67"/>
        <v/>
      </c>
      <c r="Z218" s="30" t="str">
        <f t="shared" si="68"/>
        <v/>
      </c>
      <c r="AA218" s="30" t="str">
        <f t="shared" si="69"/>
        <v/>
      </c>
      <c r="AB218" s="30" t="str">
        <f t="shared" si="70"/>
        <v>|n=0</v>
      </c>
    </row>
    <row r="219" spans="1:28">
      <c r="A219" s="31">
        <f>装备!A220</f>
        <v>0</v>
      </c>
      <c r="B219" s="31" t="str">
        <f>"'"&amp;装备!B220&amp;"'"</f>
        <v>'IF21'</v>
      </c>
      <c r="C219" s="31">
        <f>装备!J220</f>
        <v>0</v>
      </c>
      <c r="D219" s="31">
        <f>装备!K220</f>
        <v>0</v>
      </c>
      <c r="E219" s="31">
        <f>装备!L220</f>
        <v>0</v>
      </c>
      <c r="F219" s="31">
        <f>装备!M220</f>
        <v>0</v>
      </c>
      <c r="G219" s="31">
        <f>装备!N220</f>
        <v>0</v>
      </c>
      <c r="H219" s="31">
        <f>装备!O220</f>
        <v>0</v>
      </c>
      <c r="I219" s="31">
        <f>IF(装备!J220=0,0,"'"&amp;装备!J220&amp;"'")</f>
        <v>0</v>
      </c>
      <c r="J219" s="31">
        <f>IF(装备!K220=0,0,"'"&amp;装备!K220&amp;"'")</f>
        <v>0</v>
      </c>
      <c r="K219" s="31">
        <f>IF(装备!L220=0,0,"'"&amp;装备!L220&amp;"'")</f>
        <v>0</v>
      </c>
      <c r="L219" s="31">
        <f>IF(装备!M220=0,0,"'"&amp;装备!M220&amp;"'")</f>
        <v>0</v>
      </c>
      <c r="M219" s="31">
        <f>IF(装备!N220=0,0,"'"&amp;装备!N220&amp;"'")</f>
        <v>0</v>
      </c>
      <c r="N219" s="31">
        <f>IF(装备!O220=0,0,"'"&amp;装备!O220&amp;"'")</f>
        <v>0</v>
      </c>
      <c r="O219" s="31" t="str">
        <f t="shared" si="64"/>
        <v/>
      </c>
      <c r="P219" s="31" t="str">
        <f t="shared" si="71"/>
        <v/>
      </c>
      <c r="Q219" s="35" t="str">
        <f>IFERROR(VLOOKUP(C219,装备!$B:$E,3,FALSE),"")</f>
        <v/>
      </c>
      <c r="R219" s="35" t="str">
        <f>IFERROR(VLOOKUP(D219,装备!$B:$E,3,FALSE),"")</f>
        <v/>
      </c>
      <c r="S219" s="35" t="str">
        <f>IFERROR(VLOOKUP(E219,装备!$B:$E,3,FALSE),"")</f>
        <v/>
      </c>
      <c r="T219" s="35" t="str">
        <f>IFERROR(VLOOKUP(F219,装备!$B:$E,3,FALSE),"")</f>
        <v/>
      </c>
      <c r="U219" s="35" t="str">
        <f>IFERROR(VLOOKUP(G219,装备!$B:$E,3,FALSE),"")</f>
        <v/>
      </c>
      <c r="V219" s="35" t="str">
        <f>IFERROR(VLOOKUP(H219,装备!$B:$E,3,FALSE),"")</f>
        <v/>
      </c>
      <c r="W219" s="30" t="str">
        <f t="shared" si="65"/>
        <v/>
      </c>
      <c r="X219" s="30" t="str">
        <f t="shared" si="66"/>
        <v/>
      </c>
      <c r="Y219" s="30" t="str">
        <f t="shared" si="67"/>
        <v/>
      </c>
      <c r="Z219" s="30" t="str">
        <f t="shared" si="68"/>
        <v/>
      </c>
      <c r="AA219" s="30" t="str">
        <f t="shared" si="69"/>
        <v/>
      </c>
      <c r="AB219" s="30" t="str">
        <f t="shared" si="70"/>
        <v>|n=0</v>
      </c>
    </row>
    <row r="220" spans="1:28">
      <c r="A220" s="31">
        <f>装备!A221</f>
        <v>0</v>
      </c>
      <c r="B220" s="31" t="str">
        <f>"'"&amp;装备!B221&amp;"'"</f>
        <v>'IF22'</v>
      </c>
      <c r="C220" s="31">
        <f>装备!J221</f>
        <v>0</v>
      </c>
      <c r="D220" s="31">
        <f>装备!K221</f>
        <v>0</v>
      </c>
      <c r="E220" s="31">
        <f>装备!L221</f>
        <v>0</v>
      </c>
      <c r="F220" s="31">
        <f>装备!M221</f>
        <v>0</v>
      </c>
      <c r="G220" s="31">
        <f>装备!N221</f>
        <v>0</v>
      </c>
      <c r="H220" s="31">
        <f>装备!O221</f>
        <v>0</v>
      </c>
      <c r="I220" s="31">
        <f>IF(装备!J221=0,0,"'"&amp;装备!J221&amp;"'")</f>
        <v>0</v>
      </c>
      <c r="J220" s="31">
        <f>IF(装备!K221=0,0,"'"&amp;装备!K221&amp;"'")</f>
        <v>0</v>
      </c>
      <c r="K220" s="31">
        <f>IF(装备!L221=0,0,"'"&amp;装备!L221&amp;"'")</f>
        <v>0</v>
      </c>
      <c r="L220" s="31">
        <f>IF(装备!M221=0,0,"'"&amp;装备!M221&amp;"'")</f>
        <v>0</v>
      </c>
      <c r="M220" s="31">
        <f>IF(装备!N221=0,0,"'"&amp;装备!N221&amp;"'")</f>
        <v>0</v>
      </c>
      <c r="N220" s="31">
        <f>IF(装备!O221=0,0,"'"&amp;装备!O221&amp;"'")</f>
        <v>0</v>
      </c>
      <c r="O220" s="31" t="str">
        <f t="shared" si="64"/>
        <v/>
      </c>
      <c r="P220" s="31" t="str">
        <f t="shared" si="71"/>
        <v/>
      </c>
      <c r="Q220" s="35" t="str">
        <f>IFERROR(VLOOKUP(C220,装备!$B:$E,3,FALSE),"")</f>
        <v/>
      </c>
      <c r="R220" s="35" t="str">
        <f>IFERROR(VLOOKUP(D220,装备!$B:$E,3,FALSE),"")</f>
        <v/>
      </c>
      <c r="S220" s="35" t="str">
        <f>IFERROR(VLOOKUP(E220,装备!$B:$E,3,FALSE),"")</f>
        <v/>
      </c>
      <c r="T220" s="35" t="str">
        <f>IFERROR(VLOOKUP(F220,装备!$B:$E,3,FALSE),"")</f>
        <v/>
      </c>
      <c r="U220" s="35" t="str">
        <f>IFERROR(VLOOKUP(G220,装备!$B:$E,3,FALSE),"")</f>
        <v/>
      </c>
      <c r="V220" s="35" t="str">
        <f>IFERROR(VLOOKUP(H220,装备!$B:$E,3,FALSE),"")</f>
        <v/>
      </c>
      <c r="W220" s="30" t="str">
        <f t="shared" si="65"/>
        <v/>
      </c>
      <c r="X220" s="30" t="str">
        <f t="shared" si="66"/>
        <v/>
      </c>
      <c r="Y220" s="30" t="str">
        <f t="shared" si="67"/>
        <v/>
      </c>
      <c r="Z220" s="30" t="str">
        <f t="shared" si="68"/>
        <v/>
      </c>
      <c r="AA220" s="30" t="str">
        <f t="shared" si="69"/>
        <v/>
      </c>
      <c r="AB220" s="30" t="str">
        <f t="shared" si="70"/>
        <v>|n=0</v>
      </c>
    </row>
    <row r="221" spans="1:28">
      <c r="A221" s="31">
        <f>装备!A222</f>
        <v>0</v>
      </c>
      <c r="B221" s="31" t="str">
        <f>"'"&amp;装备!B222&amp;"'"</f>
        <v>'IF23'</v>
      </c>
      <c r="C221" s="31">
        <f>装备!J222</f>
        <v>0</v>
      </c>
      <c r="D221" s="31">
        <f>装备!K222</f>
        <v>0</v>
      </c>
      <c r="E221" s="31">
        <f>装备!L222</f>
        <v>0</v>
      </c>
      <c r="F221" s="31">
        <f>装备!M222</f>
        <v>0</v>
      </c>
      <c r="G221" s="31">
        <f>装备!N222</f>
        <v>0</v>
      </c>
      <c r="H221" s="31">
        <f>装备!O222</f>
        <v>0</v>
      </c>
      <c r="I221" s="31">
        <f>IF(装备!J222=0,0,"'"&amp;装备!J222&amp;"'")</f>
        <v>0</v>
      </c>
      <c r="J221" s="31">
        <f>IF(装备!K222=0,0,"'"&amp;装备!K222&amp;"'")</f>
        <v>0</v>
      </c>
      <c r="K221" s="31">
        <f>IF(装备!L222=0,0,"'"&amp;装备!L222&amp;"'")</f>
        <v>0</v>
      </c>
      <c r="L221" s="31">
        <f>IF(装备!M222=0,0,"'"&amp;装备!M222&amp;"'")</f>
        <v>0</v>
      </c>
      <c r="M221" s="31">
        <f>IF(装备!N222=0,0,"'"&amp;装备!N222&amp;"'")</f>
        <v>0</v>
      </c>
      <c r="N221" s="31">
        <f>IF(装备!O222=0,0,"'"&amp;装备!O222&amp;"'")</f>
        <v>0</v>
      </c>
      <c r="O221" s="31" t="str">
        <f t="shared" si="64"/>
        <v/>
      </c>
      <c r="P221" s="31" t="str">
        <f t="shared" si="71"/>
        <v/>
      </c>
      <c r="Q221" s="35" t="str">
        <f>IFERROR(VLOOKUP(C221,装备!$B:$E,3,FALSE),"")</f>
        <v/>
      </c>
      <c r="R221" s="35" t="str">
        <f>IFERROR(VLOOKUP(D221,装备!$B:$E,3,FALSE),"")</f>
        <v/>
      </c>
      <c r="S221" s="35" t="str">
        <f>IFERROR(VLOOKUP(E221,装备!$B:$E,3,FALSE),"")</f>
        <v/>
      </c>
      <c r="T221" s="35" t="str">
        <f>IFERROR(VLOOKUP(F221,装备!$B:$E,3,FALSE),"")</f>
        <v/>
      </c>
      <c r="U221" s="35" t="str">
        <f>IFERROR(VLOOKUP(G221,装备!$B:$E,3,FALSE),"")</f>
        <v/>
      </c>
      <c r="V221" s="35" t="str">
        <f>IFERROR(VLOOKUP(H221,装备!$B:$E,3,FALSE),"")</f>
        <v/>
      </c>
      <c r="W221" s="30" t="str">
        <f t="shared" si="65"/>
        <v/>
      </c>
      <c r="X221" s="30" t="str">
        <f t="shared" si="66"/>
        <v/>
      </c>
      <c r="Y221" s="30" t="str">
        <f t="shared" si="67"/>
        <v/>
      </c>
      <c r="Z221" s="30" t="str">
        <f t="shared" si="68"/>
        <v/>
      </c>
      <c r="AA221" s="30" t="str">
        <f t="shared" si="69"/>
        <v/>
      </c>
      <c r="AB221" s="30" t="str">
        <f t="shared" si="70"/>
        <v>|n=0</v>
      </c>
    </row>
    <row r="222" spans="1:28">
      <c r="A222" s="31">
        <f>装备!A223</f>
        <v>0</v>
      </c>
      <c r="B222" s="31" t="str">
        <f>"'"&amp;装备!B223&amp;"'"</f>
        <v>'IF24'</v>
      </c>
      <c r="C222" s="31">
        <f>装备!J223</f>
        <v>0</v>
      </c>
      <c r="D222" s="31">
        <f>装备!K223</f>
        <v>0</v>
      </c>
      <c r="E222" s="31">
        <f>装备!L223</f>
        <v>0</v>
      </c>
      <c r="F222" s="31">
        <f>装备!M223</f>
        <v>0</v>
      </c>
      <c r="G222" s="31">
        <f>装备!N223</f>
        <v>0</v>
      </c>
      <c r="H222" s="31">
        <f>装备!O223</f>
        <v>0</v>
      </c>
      <c r="I222" s="31">
        <f>IF(装备!J223=0,0,"'"&amp;装备!J223&amp;"'")</f>
        <v>0</v>
      </c>
      <c r="J222" s="31">
        <f>IF(装备!K223=0,0,"'"&amp;装备!K223&amp;"'")</f>
        <v>0</v>
      </c>
      <c r="K222" s="31">
        <f>IF(装备!L223=0,0,"'"&amp;装备!L223&amp;"'")</f>
        <v>0</v>
      </c>
      <c r="L222" s="31">
        <f>IF(装备!M223=0,0,"'"&amp;装备!M223&amp;"'")</f>
        <v>0</v>
      </c>
      <c r="M222" s="31">
        <f>IF(装备!N223=0,0,"'"&amp;装备!N223&amp;"'")</f>
        <v>0</v>
      </c>
      <c r="N222" s="31">
        <f>IF(装备!O223=0,0,"'"&amp;装备!O223&amp;"'")</f>
        <v>0</v>
      </c>
      <c r="O222" s="31" t="str">
        <f t="shared" si="64"/>
        <v/>
      </c>
      <c r="P222" s="31" t="str">
        <f t="shared" si="71"/>
        <v/>
      </c>
      <c r="Q222" s="35" t="str">
        <f>IFERROR(VLOOKUP(C222,装备!$B:$E,3,FALSE),"")</f>
        <v/>
      </c>
      <c r="R222" s="35" t="str">
        <f>IFERROR(VLOOKUP(D222,装备!$B:$E,3,FALSE),"")</f>
        <v/>
      </c>
      <c r="S222" s="35" t="str">
        <f>IFERROR(VLOOKUP(E222,装备!$B:$E,3,FALSE),"")</f>
        <v/>
      </c>
      <c r="T222" s="35" t="str">
        <f>IFERROR(VLOOKUP(F222,装备!$B:$E,3,FALSE),"")</f>
        <v/>
      </c>
      <c r="U222" s="35" t="str">
        <f>IFERROR(VLOOKUP(G222,装备!$B:$E,3,FALSE),"")</f>
        <v/>
      </c>
      <c r="V222" s="35" t="str">
        <f>IFERROR(VLOOKUP(H222,装备!$B:$E,3,FALSE),"")</f>
        <v/>
      </c>
      <c r="W222" s="30" t="str">
        <f t="shared" si="65"/>
        <v/>
      </c>
      <c r="X222" s="30" t="str">
        <f t="shared" si="66"/>
        <v/>
      </c>
      <c r="Y222" s="30" t="str">
        <f t="shared" si="67"/>
        <v/>
      </c>
      <c r="Z222" s="30" t="str">
        <f t="shared" si="68"/>
        <v/>
      </c>
      <c r="AA222" s="30" t="str">
        <f t="shared" si="69"/>
        <v/>
      </c>
      <c r="AB222" s="30" t="str">
        <f t="shared" si="70"/>
        <v>|n=0</v>
      </c>
    </row>
    <row r="223" spans="1:28">
      <c r="A223" s="31">
        <f>装备!A224</f>
        <v>0</v>
      </c>
      <c r="B223" s="31" t="str">
        <f>"'"&amp;装备!B224&amp;"'"</f>
        <v>'IF25'</v>
      </c>
      <c r="C223" s="31">
        <f>装备!J224</f>
        <v>0</v>
      </c>
      <c r="D223" s="31">
        <f>装备!K224</f>
        <v>0</v>
      </c>
      <c r="E223" s="31">
        <f>装备!L224</f>
        <v>0</v>
      </c>
      <c r="F223" s="31">
        <f>装备!M224</f>
        <v>0</v>
      </c>
      <c r="G223" s="31">
        <f>装备!N224</f>
        <v>0</v>
      </c>
      <c r="H223" s="31">
        <f>装备!O224</f>
        <v>0</v>
      </c>
      <c r="I223" s="31">
        <f>IF(装备!J224=0,0,"'"&amp;装备!J224&amp;"'")</f>
        <v>0</v>
      </c>
      <c r="J223" s="31">
        <f>IF(装备!K224=0,0,"'"&amp;装备!K224&amp;"'")</f>
        <v>0</v>
      </c>
      <c r="K223" s="31">
        <f>IF(装备!L224=0,0,"'"&amp;装备!L224&amp;"'")</f>
        <v>0</v>
      </c>
      <c r="L223" s="31">
        <f>IF(装备!M224=0,0,"'"&amp;装备!M224&amp;"'")</f>
        <v>0</v>
      </c>
      <c r="M223" s="31">
        <f>IF(装备!N224=0,0,"'"&amp;装备!N224&amp;"'")</f>
        <v>0</v>
      </c>
      <c r="N223" s="31">
        <f>IF(装备!O224=0,0,"'"&amp;装备!O224&amp;"'")</f>
        <v>0</v>
      </c>
      <c r="O223" s="31" t="str">
        <f t="shared" si="64"/>
        <v/>
      </c>
      <c r="P223" s="31" t="str">
        <f t="shared" si="71"/>
        <v/>
      </c>
      <c r="Q223" s="35" t="str">
        <f>IFERROR(VLOOKUP(C223,装备!$B:$E,3,FALSE),"")</f>
        <v/>
      </c>
      <c r="R223" s="35" t="str">
        <f>IFERROR(VLOOKUP(D223,装备!$B:$E,3,FALSE),"")</f>
        <v/>
      </c>
      <c r="S223" s="35" t="str">
        <f>IFERROR(VLOOKUP(E223,装备!$B:$E,3,FALSE),"")</f>
        <v/>
      </c>
      <c r="T223" s="35" t="str">
        <f>IFERROR(VLOOKUP(F223,装备!$B:$E,3,FALSE),"")</f>
        <v/>
      </c>
      <c r="U223" s="35" t="str">
        <f>IFERROR(VLOOKUP(G223,装备!$B:$E,3,FALSE),"")</f>
        <v/>
      </c>
      <c r="V223" s="35" t="str">
        <f>IFERROR(VLOOKUP(H223,装备!$B:$E,3,FALSE),"")</f>
        <v/>
      </c>
      <c r="W223" s="30" t="str">
        <f t="shared" si="65"/>
        <v/>
      </c>
      <c r="X223" s="30" t="str">
        <f t="shared" si="66"/>
        <v/>
      </c>
      <c r="Y223" s="30" t="str">
        <f t="shared" si="67"/>
        <v/>
      </c>
      <c r="Z223" s="30" t="str">
        <f t="shared" si="68"/>
        <v/>
      </c>
      <c r="AA223" s="30" t="str">
        <f t="shared" si="69"/>
        <v/>
      </c>
      <c r="AB223" s="30" t="str">
        <f t="shared" si="70"/>
        <v>|n=0</v>
      </c>
    </row>
    <row r="224" spans="1:28">
      <c r="A224" s="31">
        <f>装备!A225</f>
        <v>0</v>
      </c>
      <c r="B224" s="31" t="str">
        <f>"'"&amp;装备!B225&amp;"'"</f>
        <v>'IF26'</v>
      </c>
      <c r="C224" s="31">
        <f>装备!J225</f>
        <v>0</v>
      </c>
      <c r="D224" s="31">
        <f>装备!K225</f>
        <v>0</v>
      </c>
      <c r="E224" s="31">
        <f>装备!L225</f>
        <v>0</v>
      </c>
      <c r="F224" s="31">
        <f>装备!M225</f>
        <v>0</v>
      </c>
      <c r="G224" s="31">
        <f>装备!N225</f>
        <v>0</v>
      </c>
      <c r="H224" s="31">
        <f>装备!O225</f>
        <v>0</v>
      </c>
      <c r="I224" s="31">
        <f>IF(装备!J225=0,0,"'"&amp;装备!J225&amp;"'")</f>
        <v>0</v>
      </c>
      <c r="J224" s="31">
        <f>IF(装备!K225=0,0,"'"&amp;装备!K225&amp;"'")</f>
        <v>0</v>
      </c>
      <c r="K224" s="31">
        <f>IF(装备!L225=0,0,"'"&amp;装备!L225&amp;"'")</f>
        <v>0</v>
      </c>
      <c r="L224" s="31">
        <f>IF(装备!M225=0,0,"'"&amp;装备!M225&amp;"'")</f>
        <v>0</v>
      </c>
      <c r="M224" s="31">
        <f>IF(装备!N225=0,0,"'"&amp;装备!N225&amp;"'")</f>
        <v>0</v>
      </c>
      <c r="N224" s="31">
        <f>IF(装备!O225=0,0,"'"&amp;装备!O225&amp;"'")</f>
        <v>0</v>
      </c>
      <c r="O224" s="31" t="str">
        <f t="shared" si="64"/>
        <v/>
      </c>
      <c r="P224" s="31" t="str">
        <f t="shared" si="71"/>
        <v/>
      </c>
      <c r="Q224" s="35" t="str">
        <f>IFERROR(VLOOKUP(C224,装备!$B:$E,3,FALSE),"")</f>
        <v/>
      </c>
      <c r="R224" s="35" t="str">
        <f>IFERROR(VLOOKUP(D224,装备!$B:$E,3,FALSE),"")</f>
        <v/>
      </c>
      <c r="S224" s="35" t="str">
        <f>IFERROR(VLOOKUP(E224,装备!$B:$E,3,FALSE),"")</f>
        <v/>
      </c>
      <c r="T224" s="35" t="str">
        <f>IFERROR(VLOOKUP(F224,装备!$B:$E,3,FALSE),"")</f>
        <v/>
      </c>
      <c r="U224" s="35" t="str">
        <f>IFERROR(VLOOKUP(G224,装备!$B:$E,3,FALSE),"")</f>
        <v/>
      </c>
      <c r="V224" s="35" t="str">
        <f>IFERROR(VLOOKUP(H224,装备!$B:$E,3,FALSE),"")</f>
        <v/>
      </c>
      <c r="W224" s="30" t="str">
        <f t="shared" si="65"/>
        <v/>
      </c>
      <c r="X224" s="30" t="str">
        <f t="shared" si="66"/>
        <v/>
      </c>
      <c r="Y224" s="30" t="str">
        <f t="shared" si="67"/>
        <v/>
      </c>
      <c r="Z224" s="30" t="str">
        <f t="shared" si="68"/>
        <v/>
      </c>
      <c r="AA224" s="30" t="str">
        <f t="shared" si="69"/>
        <v/>
      </c>
      <c r="AB224" s="30" t="str">
        <f t="shared" si="70"/>
        <v>|n=0</v>
      </c>
    </row>
    <row r="225" spans="1:28">
      <c r="A225" s="31">
        <f>装备!A226</f>
        <v>0</v>
      </c>
      <c r="B225" s="31" t="str">
        <f>"'"&amp;装备!B226&amp;"'"</f>
        <v>'IF27'</v>
      </c>
      <c r="C225" s="31">
        <f>装备!J226</f>
        <v>0</v>
      </c>
      <c r="D225" s="31">
        <f>装备!K226</f>
        <v>0</v>
      </c>
      <c r="E225" s="31">
        <f>装备!L226</f>
        <v>0</v>
      </c>
      <c r="F225" s="31">
        <f>装备!M226</f>
        <v>0</v>
      </c>
      <c r="G225" s="31">
        <f>装备!N226</f>
        <v>0</v>
      </c>
      <c r="H225" s="31">
        <f>装备!O226</f>
        <v>0</v>
      </c>
      <c r="I225" s="31">
        <f>IF(装备!J226=0,0,"'"&amp;装备!J226&amp;"'")</f>
        <v>0</v>
      </c>
      <c r="J225" s="31">
        <f>IF(装备!K226=0,0,"'"&amp;装备!K226&amp;"'")</f>
        <v>0</v>
      </c>
      <c r="K225" s="31">
        <f>IF(装备!L226=0,0,"'"&amp;装备!L226&amp;"'")</f>
        <v>0</v>
      </c>
      <c r="L225" s="31">
        <f>IF(装备!M226=0,0,"'"&amp;装备!M226&amp;"'")</f>
        <v>0</v>
      </c>
      <c r="M225" s="31">
        <f>IF(装备!N226=0,0,"'"&amp;装备!N226&amp;"'")</f>
        <v>0</v>
      </c>
      <c r="N225" s="31">
        <f>IF(装备!O226=0,0,"'"&amp;装备!O226&amp;"'")</f>
        <v>0</v>
      </c>
      <c r="O225" s="31" t="str">
        <f t="shared" si="64"/>
        <v/>
      </c>
      <c r="P225" s="31" t="str">
        <f t="shared" si="71"/>
        <v/>
      </c>
      <c r="Q225" s="35" t="str">
        <f>IFERROR(VLOOKUP(C225,装备!$B:$E,3,FALSE),"")</f>
        <v/>
      </c>
      <c r="R225" s="35" t="str">
        <f>IFERROR(VLOOKUP(D225,装备!$B:$E,3,FALSE),"")</f>
        <v/>
      </c>
      <c r="S225" s="35" t="str">
        <f>IFERROR(VLOOKUP(E225,装备!$B:$E,3,FALSE),"")</f>
        <v/>
      </c>
      <c r="T225" s="35" t="str">
        <f>IFERROR(VLOOKUP(F225,装备!$B:$E,3,FALSE),"")</f>
        <v/>
      </c>
      <c r="U225" s="35" t="str">
        <f>IFERROR(VLOOKUP(G225,装备!$B:$E,3,FALSE),"")</f>
        <v/>
      </c>
      <c r="V225" s="35" t="str">
        <f>IFERROR(VLOOKUP(H225,装备!$B:$E,3,FALSE),"")</f>
        <v/>
      </c>
      <c r="W225" s="30" t="str">
        <f t="shared" si="65"/>
        <v/>
      </c>
      <c r="X225" s="30" t="str">
        <f t="shared" si="66"/>
        <v/>
      </c>
      <c r="Y225" s="30" t="str">
        <f t="shared" si="67"/>
        <v/>
      </c>
      <c r="Z225" s="30" t="str">
        <f t="shared" si="68"/>
        <v/>
      </c>
      <c r="AA225" s="30" t="str">
        <f t="shared" si="69"/>
        <v/>
      </c>
      <c r="AB225" s="30" t="str">
        <f t="shared" si="70"/>
        <v>|n=0</v>
      </c>
    </row>
    <row r="226" spans="1:28">
      <c r="A226" s="31">
        <f>装备!A227</f>
        <v>0</v>
      </c>
      <c r="B226" s="31" t="str">
        <f>"'"&amp;装备!B227&amp;"'"</f>
        <v>''</v>
      </c>
      <c r="C226" s="31">
        <f>装备!J227</f>
        <v>0</v>
      </c>
      <c r="D226" s="31">
        <f>装备!K227</f>
        <v>0</v>
      </c>
      <c r="E226" s="31">
        <f>装备!L227</f>
        <v>0</v>
      </c>
      <c r="F226" s="31">
        <f>装备!M227</f>
        <v>0</v>
      </c>
      <c r="G226" s="31">
        <f>装备!N227</f>
        <v>0</v>
      </c>
      <c r="H226" s="31">
        <f>装备!O227</f>
        <v>0</v>
      </c>
      <c r="I226" s="31">
        <f>IF(装备!J227=0,0,"'"&amp;装备!J227&amp;"'")</f>
        <v>0</v>
      </c>
      <c r="J226" s="31">
        <f>IF(装备!K227=0,0,"'"&amp;装备!K227&amp;"'")</f>
        <v>0</v>
      </c>
      <c r="K226" s="31">
        <f>IF(装备!L227=0,0,"'"&amp;装备!L227&amp;"'")</f>
        <v>0</v>
      </c>
      <c r="L226" s="31">
        <f>IF(装备!M227=0,0,"'"&amp;装备!M227&amp;"'")</f>
        <v>0</v>
      </c>
      <c r="M226" s="31">
        <f>IF(装备!N227=0,0,"'"&amp;装备!N227&amp;"'")</f>
        <v>0</v>
      </c>
      <c r="N226" s="31">
        <f>IF(装备!O227=0,0,"'"&amp;装备!O227&amp;"'")</f>
        <v>0</v>
      </c>
      <c r="O226" s="31" t="str">
        <f t="shared" si="64"/>
        <v/>
      </c>
      <c r="P226" s="31" t="str">
        <f t="shared" si="71"/>
        <v/>
      </c>
      <c r="Q226" s="35" t="str">
        <f>IFERROR(VLOOKUP(C226,装备!$B:$E,3,FALSE),"")</f>
        <v/>
      </c>
      <c r="R226" s="35" t="str">
        <f>IFERROR(VLOOKUP(D226,装备!$B:$E,3,FALSE),"")</f>
        <v/>
      </c>
      <c r="S226" s="35" t="str">
        <f>IFERROR(VLOOKUP(E226,装备!$B:$E,3,FALSE),"")</f>
        <v/>
      </c>
      <c r="T226" s="35" t="str">
        <f>IFERROR(VLOOKUP(F226,装备!$B:$E,3,FALSE),"")</f>
        <v/>
      </c>
      <c r="U226" s="35" t="str">
        <f>IFERROR(VLOOKUP(G226,装备!$B:$E,3,FALSE),"")</f>
        <v/>
      </c>
      <c r="V226" s="35" t="str">
        <f>IFERROR(VLOOKUP(H226,装备!$B:$E,3,FALSE),"")</f>
        <v/>
      </c>
      <c r="W226" s="30" t="str">
        <f t="shared" si="65"/>
        <v/>
      </c>
      <c r="X226" s="30" t="str">
        <f t="shared" si="66"/>
        <v/>
      </c>
      <c r="Y226" s="30" t="str">
        <f t="shared" si="67"/>
        <v/>
      </c>
      <c r="Z226" s="30" t="str">
        <f t="shared" si="68"/>
        <v/>
      </c>
      <c r="AA226" s="30" t="str">
        <f t="shared" si="69"/>
        <v/>
      </c>
      <c r="AB226" s="30" t="str">
        <f t="shared" si="70"/>
        <v>|n=0</v>
      </c>
    </row>
    <row r="227" spans="1:28">
      <c r="A227" s="31">
        <f>装备!A228</f>
        <v>0</v>
      </c>
      <c r="B227" s="31" t="str">
        <f>"'"&amp;装备!B228&amp;"'"</f>
        <v>''</v>
      </c>
      <c r="C227" s="31">
        <f>装备!J228</f>
        <v>0</v>
      </c>
      <c r="D227" s="31">
        <f>装备!K228</f>
        <v>0</v>
      </c>
      <c r="E227" s="31">
        <f>装备!L228</f>
        <v>0</v>
      </c>
      <c r="F227" s="31">
        <f>装备!M228</f>
        <v>0</v>
      </c>
      <c r="G227" s="31">
        <f>装备!N228</f>
        <v>0</v>
      </c>
      <c r="H227" s="31">
        <f>装备!O228</f>
        <v>0</v>
      </c>
      <c r="I227" s="31">
        <f>IF(装备!J228=0,0,"'"&amp;装备!J228&amp;"'")</f>
        <v>0</v>
      </c>
      <c r="J227" s="31">
        <f>IF(装备!K228=0,0,"'"&amp;装备!K228&amp;"'")</f>
        <v>0</v>
      </c>
      <c r="K227" s="31">
        <f>IF(装备!L228=0,0,"'"&amp;装备!L228&amp;"'")</f>
        <v>0</v>
      </c>
      <c r="L227" s="31">
        <f>IF(装备!M228=0,0,"'"&amp;装备!M228&amp;"'")</f>
        <v>0</v>
      </c>
      <c r="M227" s="31">
        <f>IF(装备!N228=0,0,"'"&amp;装备!N228&amp;"'")</f>
        <v>0</v>
      </c>
      <c r="N227" s="31">
        <f>IF(装备!O228=0,0,"'"&amp;装备!O228&amp;"'")</f>
        <v>0</v>
      </c>
      <c r="O227" s="31" t="str">
        <f t="shared" ref="O227:O244" si="72">IF(I227=0,"","AddItemFormula("&amp;I227&amp;","&amp;J227&amp;","&amp;K227&amp;","&amp;L227&amp;","&amp;M227&amp;","&amp;N227&amp;","&amp;B227&amp;")")</f>
        <v/>
      </c>
      <c r="P227" s="31" t="str">
        <f t="shared" si="71"/>
        <v/>
      </c>
      <c r="Q227" s="35" t="str">
        <f>IFERROR(VLOOKUP(C227,装备!$B:$E,3,FALSE),"")</f>
        <v/>
      </c>
      <c r="R227" s="35" t="str">
        <f>IFERROR(VLOOKUP(D227,装备!$B:$E,3,FALSE),"")</f>
        <v/>
      </c>
      <c r="S227" s="35" t="str">
        <f>IFERROR(VLOOKUP(E227,装备!$B:$E,3,FALSE),"")</f>
        <v/>
      </c>
      <c r="T227" s="35" t="str">
        <f>IFERROR(VLOOKUP(F227,装备!$B:$E,3,FALSE),"")</f>
        <v/>
      </c>
      <c r="U227" s="35" t="str">
        <f>IFERROR(VLOOKUP(G227,装备!$B:$E,3,FALSE),"")</f>
        <v/>
      </c>
      <c r="V227" s="35" t="str">
        <f>IFERROR(VLOOKUP(H227,装备!$B:$E,3,FALSE),"")</f>
        <v/>
      </c>
      <c r="W227" s="30" t="str">
        <f t="shared" ref="W227:W244" si="73">IF(R227="","","+"&amp;R227)</f>
        <v/>
      </c>
      <c r="X227" s="30" t="str">
        <f t="shared" ref="X227:X244" si="74">IF(S227="","","+"&amp;S227)</f>
        <v/>
      </c>
      <c r="Y227" s="30" t="str">
        <f t="shared" ref="Y227:Y244" si="75">IF(T227="","","+"&amp;T227)</f>
        <v/>
      </c>
      <c r="Z227" s="30" t="str">
        <f t="shared" ref="Z227:Z244" si="76">IF(U227="","","+"&amp;U227)</f>
        <v/>
      </c>
      <c r="AA227" s="30" t="str">
        <f t="shared" ref="AA227:AA244" si="77">IF(V227="","","+"&amp;V227)</f>
        <v/>
      </c>
      <c r="AB227" s="30" t="str">
        <f t="shared" ref="AB227:AB244" si="78">"|n"&amp;Q227&amp;W227&amp;X227&amp;Y227&amp;Z227&amp;AA227&amp;"="&amp;A227</f>
        <v>|n=0</v>
      </c>
    </row>
    <row r="228" spans="1:28">
      <c r="A228" s="31">
        <f>装备!A229</f>
        <v>0</v>
      </c>
      <c r="B228" s="31" t="str">
        <f>"'"&amp;装备!B229&amp;"'"</f>
        <v>''</v>
      </c>
      <c r="C228" s="31">
        <f>装备!J229</f>
        <v>0</v>
      </c>
      <c r="D228" s="31">
        <f>装备!K229</f>
        <v>0</v>
      </c>
      <c r="E228" s="31">
        <f>装备!L229</f>
        <v>0</v>
      </c>
      <c r="F228" s="31">
        <f>装备!M229</f>
        <v>0</v>
      </c>
      <c r="G228" s="31">
        <f>装备!N229</f>
        <v>0</v>
      </c>
      <c r="H228" s="31">
        <f>装备!O229</f>
        <v>0</v>
      </c>
      <c r="I228" s="31">
        <f>IF(装备!J229=0,0,"'"&amp;装备!J229&amp;"'")</f>
        <v>0</v>
      </c>
      <c r="J228" s="31">
        <f>IF(装备!K229=0,0,"'"&amp;装备!K229&amp;"'")</f>
        <v>0</v>
      </c>
      <c r="K228" s="31">
        <f>IF(装备!L229=0,0,"'"&amp;装备!L229&amp;"'")</f>
        <v>0</v>
      </c>
      <c r="L228" s="31">
        <f>IF(装备!M229=0,0,"'"&amp;装备!M229&amp;"'")</f>
        <v>0</v>
      </c>
      <c r="M228" s="31">
        <f>IF(装备!N229=0,0,"'"&amp;装备!N229&amp;"'")</f>
        <v>0</v>
      </c>
      <c r="N228" s="31">
        <f>IF(装备!O229=0,0,"'"&amp;装备!O229&amp;"'")</f>
        <v>0</v>
      </c>
      <c r="O228" s="31" t="str">
        <f t="shared" si="72"/>
        <v/>
      </c>
      <c r="P228" s="31" t="str">
        <f t="shared" si="71"/>
        <v/>
      </c>
      <c r="Q228" s="35" t="str">
        <f>IFERROR(VLOOKUP(C228,装备!$B:$E,3,FALSE),"")</f>
        <v/>
      </c>
      <c r="R228" s="35" t="str">
        <f>IFERROR(VLOOKUP(D228,装备!$B:$E,3,FALSE),"")</f>
        <v/>
      </c>
      <c r="S228" s="35" t="str">
        <f>IFERROR(VLOOKUP(E228,装备!$B:$E,3,FALSE),"")</f>
        <v/>
      </c>
      <c r="T228" s="35" t="str">
        <f>IFERROR(VLOOKUP(F228,装备!$B:$E,3,FALSE),"")</f>
        <v/>
      </c>
      <c r="U228" s="35" t="str">
        <f>IFERROR(VLOOKUP(G228,装备!$B:$E,3,FALSE),"")</f>
        <v/>
      </c>
      <c r="V228" s="35" t="str">
        <f>IFERROR(VLOOKUP(H228,装备!$B:$E,3,FALSE),"")</f>
        <v/>
      </c>
      <c r="W228" s="30" t="str">
        <f t="shared" si="73"/>
        <v/>
      </c>
      <c r="X228" s="30" t="str">
        <f t="shared" si="74"/>
        <v/>
      </c>
      <c r="Y228" s="30" t="str">
        <f t="shared" si="75"/>
        <v/>
      </c>
      <c r="Z228" s="30" t="str">
        <f t="shared" si="76"/>
        <v/>
      </c>
      <c r="AA228" s="30" t="str">
        <f t="shared" si="77"/>
        <v/>
      </c>
      <c r="AB228" s="30" t="str">
        <f t="shared" si="78"/>
        <v>|n=0</v>
      </c>
    </row>
    <row r="229" spans="1:28">
      <c r="A229" s="31">
        <f>装备!A230</f>
        <v>0</v>
      </c>
      <c r="B229" s="31" t="str">
        <f>"'"&amp;装备!B230&amp;"'"</f>
        <v>''</v>
      </c>
      <c r="C229" s="31">
        <f>装备!J230</f>
        <v>0</v>
      </c>
      <c r="D229" s="31">
        <f>装备!K230</f>
        <v>0</v>
      </c>
      <c r="E229" s="31">
        <f>装备!L230</f>
        <v>0</v>
      </c>
      <c r="F229" s="31">
        <f>装备!M230</f>
        <v>0</v>
      </c>
      <c r="G229" s="31">
        <f>装备!N230</f>
        <v>0</v>
      </c>
      <c r="H229" s="31">
        <f>装备!O230</f>
        <v>0</v>
      </c>
      <c r="I229" s="31">
        <f>IF(装备!J230=0,0,"'"&amp;装备!J230&amp;"'")</f>
        <v>0</v>
      </c>
      <c r="J229" s="31">
        <f>IF(装备!K230=0,0,"'"&amp;装备!K230&amp;"'")</f>
        <v>0</v>
      </c>
      <c r="K229" s="31">
        <f>IF(装备!L230=0,0,"'"&amp;装备!L230&amp;"'")</f>
        <v>0</v>
      </c>
      <c r="L229" s="31">
        <f>IF(装备!M230=0,0,"'"&amp;装备!M230&amp;"'")</f>
        <v>0</v>
      </c>
      <c r="M229" s="31">
        <f>IF(装备!N230=0,0,"'"&amp;装备!N230&amp;"'")</f>
        <v>0</v>
      </c>
      <c r="N229" s="31">
        <f>IF(装备!O230=0,0,"'"&amp;装备!O230&amp;"'")</f>
        <v>0</v>
      </c>
      <c r="O229" s="31" t="str">
        <f t="shared" si="72"/>
        <v/>
      </c>
      <c r="P229" s="31" t="str">
        <f t="shared" si="71"/>
        <v/>
      </c>
      <c r="Q229" s="35" t="str">
        <f>IFERROR(VLOOKUP(C229,装备!$B:$E,3,FALSE),"")</f>
        <v/>
      </c>
      <c r="R229" s="35" t="str">
        <f>IFERROR(VLOOKUP(D229,装备!$B:$E,3,FALSE),"")</f>
        <v/>
      </c>
      <c r="S229" s="35" t="str">
        <f>IFERROR(VLOOKUP(E229,装备!$B:$E,3,FALSE),"")</f>
        <v/>
      </c>
      <c r="T229" s="35" t="str">
        <f>IFERROR(VLOOKUP(F229,装备!$B:$E,3,FALSE),"")</f>
        <v/>
      </c>
      <c r="U229" s="35" t="str">
        <f>IFERROR(VLOOKUP(G229,装备!$B:$E,3,FALSE),"")</f>
        <v/>
      </c>
      <c r="V229" s="35" t="str">
        <f>IFERROR(VLOOKUP(H229,装备!$B:$E,3,FALSE),"")</f>
        <v/>
      </c>
      <c r="W229" s="30" t="str">
        <f t="shared" si="73"/>
        <v/>
      </c>
      <c r="X229" s="30" t="str">
        <f t="shared" si="74"/>
        <v/>
      </c>
      <c r="Y229" s="30" t="str">
        <f t="shared" si="75"/>
        <v/>
      </c>
      <c r="Z229" s="30" t="str">
        <f t="shared" si="76"/>
        <v/>
      </c>
      <c r="AA229" s="30" t="str">
        <f t="shared" si="77"/>
        <v/>
      </c>
      <c r="AB229" s="30" t="str">
        <f t="shared" si="78"/>
        <v>|n=0</v>
      </c>
    </row>
    <row r="230" spans="1:28">
      <c r="A230" s="31">
        <f>装备!A231</f>
        <v>0</v>
      </c>
      <c r="B230" s="31" t="str">
        <f>"'"&amp;装备!B231&amp;"'"</f>
        <v>''</v>
      </c>
      <c r="C230" s="31">
        <f>装备!J231</f>
        <v>0</v>
      </c>
      <c r="D230" s="31">
        <f>装备!K231</f>
        <v>0</v>
      </c>
      <c r="E230" s="31">
        <f>装备!L231</f>
        <v>0</v>
      </c>
      <c r="F230" s="31">
        <f>装备!M231</f>
        <v>0</v>
      </c>
      <c r="G230" s="31">
        <f>装备!N231</f>
        <v>0</v>
      </c>
      <c r="H230" s="31">
        <f>装备!O231</f>
        <v>0</v>
      </c>
      <c r="I230" s="31">
        <f>IF(装备!J231=0,0,"'"&amp;装备!J231&amp;"'")</f>
        <v>0</v>
      </c>
      <c r="J230" s="31">
        <f>IF(装备!K231=0,0,"'"&amp;装备!K231&amp;"'")</f>
        <v>0</v>
      </c>
      <c r="K230" s="31">
        <f>IF(装备!L231=0,0,"'"&amp;装备!L231&amp;"'")</f>
        <v>0</v>
      </c>
      <c r="L230" s="31">
        <f>IF(装备!M231=0,0,"'"&amp;装备!M231&amp;"'")</f>
        <v>0</v>
      </c>
      <c r="M230" s="31">
        <f>IF(装备!N231=0,0,"'"&amp;装备!N231&amp;"'")</f>
        <v>0</v>
      </c>
      <c r="N230" s="31">
        <f>IF(装备!O231=0,0,"'"&amp;装备!O231&amp;"'")</f>
        <v>0</v>
      </c>
      <c r="O230" s="31" t="str">
        <f t="shared" si="72"/>
        <v/>
      </c>
      <c r="P230" s="31" t="str">
        <f t="shared" si="71"/>
        <v/>
      </c>
      <c r="Q230" s="35" t="str">
        <f>IFERROR(VLOOKUP(C230,装备!$B:$E,3,FALSE),"")</f>
        <v/>
      </c>
      <c r="R230" s="35" t="str">
        <f>IFERROR(VLOOKUP(D230,装备!$B:$E,3,FALSE),"")</f>
        <v/>
      </c>
      <c r="S230" s="35" t="str">
        <f>IFERROR(VLOOKUP(E230,装备!$B:$E,3,FALSE),"")</f>
        <v/>
      </c>
      <c r="T230" s="35" t="str">
        <f>IFERROR(VLOOKUP(F230,装备!$B:$E,3,FALSE),"")</f>
        <v/>
      </c>
      <c r="U230" s="35" t="str">
        <f>IFERROR(VLOOKUP(G230,装备!$B:$E,3,FALSE),"")</f>
        <v/>
      </c>
      <c r="V230" s="35" t="str">
        <f>IFERROR(VLOOKUP(H230,装备!$B:$E,3,FALSE),"")</f>
        <v/>
      </c>
      <c r="W230" s="30" t="str">
        <f t="shared" si="73"/>
        <v/>
      </c>
      <c r="X230" s="30" t="str">
        <f t="shared" si="74"/>
        <v/>
      </c>
      <c r="Y230" s="30" t="str">
        <f t="shared" si="75"/>
        <v/>
      </c>
      <c r="Z230" s="30" t="str">
        <f t="shared" si="76"/>
        <v/>
      </c>
      <c r="AA230" s="30" t="str">
        <f t="shared" si="77"/>
        <v/>
      </c>
      <c r="AB230" s="30" t="str">
        <f t="shared" si="78"/>
        <v>|n=0</v>
      </c>
    </row>
    <row r="231" spans="1:28">
      <c r="A231" s="31">
        <f>装备!A232</f>
        <v>0</v>
      </c>
      <c r="B231" s="31" t="str">
        <f>"'"&amp;装备!B232&amp;"'"</f>
        <v>''</v>
      </c>
      <c r="C231" s="31">
        <f>装备!J232</f>
        <v>0</v>
      </c>
      <c r="D231" s="31">
        <f>装备!K232</f>
        <v>0</v>
      </c>
      <c r="E231" s="31">
        <f>装备!L232</f>
        <v>0</v>
      </c>
      <c r="F231" s="31">
        <f>装备!M232</f>
        <v>0</v>
      </c>
      <c r="G231" s="31">
        <f>装备!N232</f>
        <v>0</v>
      </c>
      <c r="H231" s="31">
        <f>装备!O232</f>
        <v>0</v>
      </c>
      <c r="I231" s="31">
        <f>IF(装备!J232=0,0,"'"&amp;装备!J232&amp;"'")</f>
        <v>0</v>
      </c>
      <c r="J231" s="31">
        <f>IF(装备!K232=0,0,"'"&amp;装备!K232&amp;"'")</f>
        <v>0</v>
      </c>
      <c r="K231" s="31">
        <f>IF(装备!L232=0,0,"'"&amp;装备!L232&amp;"'")</f>
        <v>0</v>
      </c>
      <c r="L231" s="31">
        <f>IF(装备!M232=0,0,"'"&amp;装备!M232&amp;"'")</f>
        <v>0</v>
      </c>
      <c r="M231" s="31">
        <f>IF(装备!N232=0,0,"'"&amp;装备!N232&amp;"'")</f>
        <v>0</v>
      </c>
      <c r="N231" s="31">
        <f>IF(装备!O232=0,0,"'"&amp;装备!O232&amp;"'")</f>
        <v>0</v>
      </c>
      <c r="O231" s="31" t="str">
        <f t="shared" si="72"/>
        <v/>
      </c>
      <c r="P231" s="31" t="str">
        <f t="shared" si="71"/>
        <v/>
      </c>
      <c r="Q231" s="35" t="str">
        <f>IFERROR(VLOOKUP(C231,装备!$B:$E,3,FALSE),"")</f>
        <v/>
      </c>
      <c r="R231" s="35" t="str">
        <f>IFERROR(VLOOKUP(D231,装备!$B:$E,3,FALSE),"")</f>
        <v/>
      </c>
      <c r="S231" s="35" t="str">
        <f>IFERROR(VLOOKUP(E231,装备!$B:$E,3,FALSE),"")</f>
        <v/>
      </c>
      <c r="T231" s="35" t="str">
        <f>IFERROR(VLOOKUP(F231,装备!$B:$E,3,FALSE),"")</f>
        <v/>
      </c>
      <c r="U231" s="35" t="str">
        <f>IFERROR(VLOOKUP(G231,装备!$B:$E,3,FALSE),"")</f>
        <v/>
      </c>
      <c r="V231" s="35" t="str">
        <f>IFERROR(VLOOKUP(H231,装备!$B:$E,3,FALSE),"")</f>
        <v/>
      </c>
      <c r="W231" s="30" t="str">
        <f t="shared" si="73"/>
        <v/>
      </c>
      <c r="X231" s="30" t="str">
        <f t="shared" si="74"/>
        <v/>
      </c>
      <c r="Y231" s="30" t="str">
        <f t="shared" si="75"/>
        <v/>
      </c>
      <c r="Z231" s="30" t="str">
        <f t="shared" si="76"/>
        <v/>
      </c>
      <c r="AA231" s="30" t="str">
        <f t="shared" si="77"/>
        <v/>
      </c>
      <c r="AB231" s="30" t="str">
        <f t="shared" si="78"/>
        <v>|n=0</v>
      </c>
    </row>
    <row r="232" spans="1:28">
      <c r="A232" s="31">
        <f>装备!A233</f>
        <v>0</v>
      </c>
      <c r="B232" s="31" t="str">
        <f>"'"&amp;装备!B233&amp;"'"</f>
        <v>''</v>
      </c>
      <c r="C232" s="31">
        <f>装备!J233</f>
        <v>0</v>
      </c>
      <c r="D232" s="31">
        <f>装备!K233</f>
        <v>0</v>
      </c>
      <c r="E232" s="31">
        <f>装备!L233</f>
        <v>0</v>
      </c>
      <c r="F232" s="31">
        <f>装备!M233</f>
        <v>0</v>
      </c>
      <c r="G232" s="31">
        <f>装备!N233</f>
        <v>0</v>
      </c>
      <c r="H232" s="31">
        <f>装备!O233</f>
        <v>0</v>
      </c>
      <c r="I232" s="31">
        <f>IF(装备!J233=0,0,"'"&amp;装备!J233&amp;"'")</f>
        <v>0</v>
      </c>
      <c r="J232" s="31">
        <f>IF(装备!K233=0,0,"'"&amp;装备!K233&amp;"'")</f>
        <v>0</v>
      </c>
      <c r="K232" s="31">
        <f>IF(装备!L233=0,0,"'"&amp;装备!L233&amp;"'")</f>
        <v>0</v>
      </c>
      <c r="L232" s="31">
        <f>IF(装备!M233=0,0,"'"&amp;装备!M233&amp;"'")</f>
        <v>0</v>
      </c>
      <c r="M232" s="31">
        <f>IF(装备!N233=0,0,"'"&amp;装备!N233&amp;"'")</f>
        <v>0</v>
      </c>
      <c r="N232" s="31">
        <f>IF(装备!O233=0,0,"'"&amp;装备!O233&amp;"'")</f>
        <v>0</v>
      </c>
      <c r="O232" s="31" t="str">
        <f t="shared" si="72"/>
        <v/>
      </c>
      <c r="P232" s="31" t="str">
        <f t="shared" si="71"/>
        <v/>
      </c>
      <c r="Q232" s="35" t="str">
        <f>IFERROR(VLOOKUP(C232,装备!$B:$E,3,FALSE),"")</f>
        <v/>
      </c>
      <c r="R232" s="35" t="str">
        <f>IFERROR(VLOOKUP(D232,装备!$B:$E,3,FALSE),"")</f>
        <v/>
      </c>
      <c r="S232" s="35" t="str">
        <f>IFERROR(VLOOKUP(E232,装备!$B:$E,3,FALSE),"")</f>
        <v/>
      </c>
      <c r="T232" s="35" t="str">
        <f>IFERROR(VLOOKUP(F232,装备!$B:$E,3,FALSE),"")</f>
        <v/>
      </c>
      <c r="U232" s="35" t="str">
        <f>IFERROR(VLOOKUP(G232,装备!$B:$E,3,FALSE),"")</f>
        <v/>
      </c>
      <c r="V232" s="35" t="str">
        <f>IFERROR(VLOOKUP(H232,装备!$B:$E,3,FALSE),"")</f>
        <v/>
      </c>
      <c r="W232" s="30" t="str">
        <f t="shared" si="73"/>
        <v/>
      </c>
      <c r="X232" s="30" t="str">
        <f t="shared" si="74"/>
        <v/>
      </c>
      <c r="Y232" s="30" t="str">
        <f t="shared" si="75"/>
        <v/>
      </c>
      <c r="Z232" s="30" t="str">
        <f t="shared" si="76"/>
        <v/>
      </c>
      <c r="AA232" s="30" t="str">
        <f t="shared" si="77"/>
        <v/>
      </c>
      <c r="AB232" s="30" t="str">
        <f t="shared" si="78"/>
        <v>|n=0</v>
      </c>
    </row>
    <row r="233" spans="1:28">
      <c r="A233" s="31">
        <f>装备!A234</f>
        <v>0</v>
      </c>
      <c r="B233" s="31" t="str">
        <f>"'"&amp;装备!B234&amp;"'"</f>
        <v>''</v>
      </c>
      <c r="C233" s="31">
        <f>装备!J234</f>
        <v>0</v>
      </c>
      <c r="D233" s="31">
        <f>装备!K234</f>
        <v>0</v>
      </c>
      <c r="E233" s="31">
        <f>装备!L234</f>
        <v>0</v>
      </c>
      <c r="F233" s="31">
        <f>装备!M234</f>
        <v>0</v>
      </c>
      <c r="G233" s="31">
        <f>装备!N234</f>
        <v>0</v>
      </c>
      <c r="H233" s="31">
        <f>装备!O234</f>
        <v>0</v>
      </c>
      <c r="I233" s="31">
        <f>IF(装备!J234=0,0,"'"&amp;装备!J234&amp;"'")</f>
        <v>0</v>
      </c>
      <c r="J233" s="31">
        <f>IF(装备!K234=0,0,"'"&amp;装备!K234&amp;"'")</f>
        <v>0</v>
      </c>
      <c r="K233" s="31">
        <f>IF(装备!L234=0,0,"'"&amp;装备!L234&amp;"'")</f>
        <v>0</v>
      </c>
      <c r="L233" s="31">
        <f>IF(装备!M234=0,0,"'"&amp;装备!M234&amp;"'")</f>
        <v>0</v>
      </c>
      <c r="M233" s="31">
        <f>IF(装备!N234=0,0,"'"&amp;装备!N234&amp;"'")</f>
        <v>0</v>
      </c>
      <c r="N233" s="31">
        <f>IF(装备!O234=0,0,"'"&amp;装备!O234&amp;"'")</f>
        <v>0</v>
      </c>
      <c r="O233" s="31" t="str">
        <f t="shared" si="72"/>
        <v/>
      </c>
      <c r="P233" s="31" t="str">
        <f t="shared" si="71"/>
        <v/>
      </c>
      <c r="Q233" s="35" t="str">
        <f>IFERROR(VLOOKUP(C233,装备!$B:$E,3,FALSE),"")</f>
        <v/>
      </c>
      <c r="R233" s="35" t="str">
        <f>IFERROR(VLOOKUP(D233,装备!$B:$E,3,FALSE),"")</f>
        <v/>
      </c>
      <c r="S233" s="35" t="str">
        <f>IFERROR(VLOOKUP(E233,装备!$B:$E,3,FALSE),"")</f>
        <v/>
      </c>
      <c r="T233" s="35" t="str">
        <f>IFERROR(VLOOKUP(F233,装备!$B:$E,3,FALSE),"")</f>
        <v/>
      </c>
      <c r="U233" s="35" t="str">
        <f>IFERROR(VLOOKUP(G233,装备!$B:$E,3,FALSE),"")</f>
        <v/>
      </c>
      <c r="V233" s="35" t="str">
        <f>IFERROR(VLOOKUP(H233,装备!$B:$E,3,FALSE),"")</f>
        <v/>
      </c>
      <c r="W233" s="30" t="str">
        <f t="shared" si="73"/>
        <v/>
      </c>
      <c r="X233" s="30" t="str">
        <f t="shared" si="74"/>
        <v/>
      </c>
      <c r="Y233" s="30" t="str">
        <f t="shared" si="75"/>
        <v/>
      </c>
      <c r="Z233" s="30" t="str">
        <f t="shared" si="76"/>
        <v/>
      </c>
      <c r="AA233" s="30" t="str">
        <f t="shared" si="77"/>
        <v/>
      </c>
      <c r="AB233" s="30" t="str">
        <f t="shared" si="78"/>
        <v>|n=0</v>
      </c>
    </row>
    <row r="234" spans="1:28">
      <c r="A234" s="31">
        <f>装备!A235</f>
        <v>0</v>
      </c>
      <c r="B234" s="31" t="str">
        <f>"'"&amp;装备!B235&amp;"'"</f>
        <v>''</v>
      </c>
      <c r="C234" s="31">
        <f>装备!J235</f>
        <v>0</v>
      </c>
      <c r="D234" s="31">
        <f>装备!K235</f>
        <v>0</v>
      </c>
      <c r="E234" s="31">
        <f>装备!L235</f>
        <v>0</v>
      </c>
      <c r="F234" s="31">
        <f>装备!M235</f>
        <v>0</v>
      </c>
      <c r="G234" s="31">
        <f>装备!N235</f>
        <v>0</v>
      </c>
      <c r="H234" s="31">
        <f>装备!O235</f>
        <v>0</v>
      </c>
      <c r="I234" s="31">
        <f>IF(装备!J235=0,0,"'"&amp;装备!J235&amp;"'")</f>
        <v>0</v>
      </c>
      <c r="J234" s="31">
        <f>IF(装备!K235=0,0,"'"&amp;装备!K235&amp;"'")</f>
        <v>0</v>
      </c>
      <c r="K234" s="31">
        <f>IF(装备!L235=0,0,"'"&amp;装备!L235&amp;"'")</f>
        <v>0</v>
      </c>
      <c r="L234" s="31">
        <f>IF(装备!M235=0,0,"'"&amp;装备!M235&amp;"'")</f>
        <v>0</v>
      </c>
      <c r="M234" s="31">
        <f>IF(装备!N235=0,0,"'"&amp;装备!N235&amp;"'")</f>
        <v>0</v>
      </c>
      <c r="N234" s="31">
        <f>IF(装备!O235=0,0,"'"&amp;装备!O235&amp;"'")</f>
        <v>0</v>
      </c>
      <c r="O234" s="31" t="str">
        <f t="shared" si="72"/>
        <v/>
      </c>
      <c r="P234" s="31" t="str">
        <f t="shared" si="71"/>
        <v/>
      </c>
      <c r="Q234" s="35" t="str">
        <f>IFERROR(VLOOKUP(C234,装备!$B:$E,3,FALSE),"")</f>
        <v/>
      </c>
      <c r="R234" s="35" t="str">
        <f>IFERROR(VLOOKUP(D234,装备!$B:$E,3,FALSE),"")</f>
        <v/>
      </c>
      <c r="S234" s="35" t="str">
        <f>IFERROR(VLOOKUP(E234,装备!$B:$E,3,FALSE),"")</f>
        <v/>
      </c>
      <c r="T234" s="35" t="str">
        <f>IFERROR(VLOOKUP(F234,装备!$B:$E,3,FALSE),"")</f>
        <v/>
      </c>
      <c r="U234" s="35" t="str">
        <f>IFERROR(VLOOKUP(G234,装备!$B:$E,3,FALSE),"")</f>
        <v/>
      </c>
      <c r="V234" s="35" t="str">
        <f>IFERROR(VLOOKUP(H234,装备!$B:$E,3,FALSE),"")</f>
        <v/>
      </c>
      <c r="W234" s="30" t="str">
        <f t="shared" si="73"/>
        <v/>
      </c>
      <c r="X234" s="30" t="str">
        <f t="shared" si="74"/>
        <v/>
      </c>
      <c r="Y234" s="30" t="str">
        <f t="shared" si="75"/>
        <v/>
      </c>
      <c r="Z234" s="30" t="str">
        <f t="shared" si="76"/>
        <v/>
      </c>
      <c r="AA234" s="30" t="str">
        <f t="shared" si="77"/>
        <v/>
      </c>
      <c r="AB234" s="30" t="str">
        <f t="shared" si="78"/>
        <v>|n=0</v>
      </c>
    </row>
    <row r="235" spans="1:28">
      <c r="A235" s="31">
        <f>装备!A236</f>
        <v>0</v>
      </c>
      <c r="B235" s="31" t="str">
        <f>"'"&amp;装备!B236&amp;"'"</f>
        <v>''</v>
      </c>
      <c r="C235" s="31">
        <f>装备!J236</f>
        <v>0</v>
      </c>
      <c r="D235" s="31">
        <f>装备!K236</f>
        <v>0</v>
      </c>
      <c r="E235" s="31">
        <f>装备!L236</f>
        <v>0</v>
      </c>
      <c r="F235" s="31">
        <f>装备!M236</f>
        <v>0</v>
      </c>
      <c r="G235" s="31">
        <f>装备!N236</f>
        <v>0</v>
      </c>
      <c r="H235" s="31">
        <f>装备!O236</f>
        <v>0</v>
      </c>
      <c r="I235" s="31">
        <f>IF(装备!J236=0,0,"'"&amp;装备!J236&amp;"'")</f>
        <v>0</v>
      </c>
      <c r="J235" s="31">
        <f>IF(装备!K236=0,0,"'"&amp;装备!K236&amp;"'")</f>
        <v>0</v>
      </c>
      <c r="K235" s="31">
        <f>IF(装备!L236=0,0,"'"&amp;装备!L236&amp;"'")</f>
        <v>0</v>
      </c>
      <c r="L235" s="31">
        <f>IF(装备!M236=0,0,"'"&amp;装备!M236&amp;"'")</f>
        <v>0</v>
      </c>
      <c r="M235" s="31">
        <f>IF(装备!N236=0,0,"'"&amp;装备!N236&amp;"'")</f>
        <v>0</v>
      </c>
      <c r="N235" s="31">
        <f>IF(装备!O236=0,0,"'"&amp;装备!O236&amp;"'")</f>
        <v>0</v>
      </c>
      <c r="O235" s="31" t="str">
        <f t="shared" si="72"/>
        <v/>
      </c>
      <c r="P235" s="31" t="str">
        <f t="shared" si="71"/>
        <v/>
      </c>
      <c r="Q235" s="35" t="str">
        <f>IFERROR(VLOOKUP(C235,装备!$B:$E,3,FALSE),"")</f>
        <v/>
      </c>
      <c r="R235" s="35" t="str">
        <f>IFERROR(VLOOKUP(D235,装备!$B:$E,3,FALSE),"")</f>
        <v/>
      </c>
      <c r="S235" s="35" t="str">
        <f>IFERROR(VLOOKUP(E235,装备!$B:$E,3,FALSE),"")</f>
        <v/>
      </c>
      <c r="T235" s="35" t="str">
        <f>IFERROR(VLOOKUP(F235,装备!$B:$E,3,FALSE),"")</f>
        <v/>
      </c>
      <c r="U235" s="35" t="str">
        <f>IFERROR(VLOOKUP(G235,装备!$B:$E,3,FALSE),"")</f>
        <v/>
      </c>
      <c r="V235" s="35" t="str">
        <f>IFERROR(VLOOKUP(H235,装备!$B:$E,3,FALSE),"")</f>
        <v/>
      </c>
      <c r="W235" s="30" t="str">
        <f t="shared" si="73"/>
        <v/>
      </c>
      <c r="X235" s="30" t="str">
        <f t="shared" si="74"/>
        <v/>
      </c>
      <c r="Y235" s="30" t="str">
        <f t="shared" si="75"/>
        <v/>
      </c>
      <c r="Z235" s="30" t="str">
        <f t="shared" si="76"/>
        <v/>
      </c>
      <c r="AA235" s="30" t="str">
        <f t="shared" si="77"/>
        <v/>
      </c>
      <c r="AB235" s="30" t="str">
        <f t="shared" si="78"/>
        <v>|n=0</v>
      </c>
    </row>
    <row r="236" spans="1:28">
      <c r="A236" s="31">
        <f>装备!A237</f>
        <v>0</v>
      </c>
      <c r="B236" s="31" t="str">
        <f>"'"&amp;装备!B237&amp;"'"</f>
        <v>''</v>
      </c>
      <c r="C236" s="31">
        <f>装备!J237</f>
        <v>0</v>
      </c>
      <c r="D236" s="31">
        <f>装备!K237</f>
        <v>0</v>
      </c>
      <c r="E236" s="31">
        <f>装备!L237</f>
        <v>0</v>
      </c>
      <c r="F236" s="31">
        <f>装备!M237</f>
        <v>0</v>
      </c>
      <c r="G236" s="31">
        <f>装备!N237</f>
        <v>0</v>
      </c>
      <c r="H236" s="31">
        <f>装备!O237</f>
        <v>0</v>
      </c>
      <c r="I236" s="31">
        <f>IF(装备!J237=0,0,"'"&amp;装备!J237&amp;"'")</f>
        <v>0</v>
      </c>
      <c r="J236" s="31">
        <f>IF(装备!K237=0,0,"'"&amp;装备!K237&amp;"'")</f>
        <v>0</v>
      </c>
      <c r="K236" s="31">
        <f>IF(装备!L237=0,0,"'"&amp;装备!L237&amp;"'")</f>
        <v>0</v>
      </c>
      <c r="L236" s="31">
        <f>IF(装备!M237=0,0,"'"&amp;装备!M237&amp;"'")</f>
        <v>0</v>
      </c>
      <c r="M236" s="31">
        <f>IF(装备!N237=0,0,"'"&amp;装备!N237&amp;"'")</f>
        <v>0</v>
      </c>
      <c r="N236" s="31">
        <f>IF(装备!O237=0,0,"'"&amp;装备!O237&amp;"'")</f>
        <v>0</v>
      </c>
      <c r="O236" s="31" t="str">
        <f t="shared" si="72"/>
        <v/>
      </c>
      <c r="P236" s="31" t="str">
        <f t="shared" si="71"/>
        <v/>
      </c>
      <c r="Q236" s="35" t="str">
        <f>IFERROR(VLOOKUP(C236,装备!$B:$E,3,FALSE),"")</f>
        <v/>
      </c>
      <c r="R236" s="35" t="str">
        <f>IFERROR(VLOOKUP(D236,装备!$B:$E,3,FALSE),"")</f>
        <v/>
      </c>
      <c r="S236" s="35" t="str">
        <f>IFERROR(VLOOKUP(E236,装备!$B:$E,3,FALSE),"")</f>
        <v/>
      </c>
      <c r="T236" s="35" t="str">
        <f>IFERROR(VLOOKUP(F236,装备!$B:$E,3,FALSE),"")</f>
        <v/>
      </c>
      <c r="U236" s="35" t="str">
        <f>IFERROR(VLOOKUP(G236,装备!$B:$E,3,FALSE),"")</f>
        <v/>
      </c>
      <c r="V236" s="35" t="str">
        <f>IFERROR(VLOOKUP(H236,装备!$B:$E,3,FALSE),"")</f>
        <v/>
      </c>
      <c r="W236" s="30" t="str">
        <f t="shared" si="73"/>
        <v/>
      </c>
      <c r="X236" s="30" t="str">
        <f t="shared" si="74"/>
        <v/>
      </c>
      <c r="Y236" s="30" t="str">
        <f t="shared" si="75"/>
        <v/>
      </c>
      <c r="Z236" s="30" t="str">
        <f t="shared" si="76"/>
        <v/>
      </c>
      <c r="AA236" s="30" t="str">
        <f t="shared" si="77"/>
        <v/>
      </c>
      <c r="AB236" s="30" t="str">
        <f t="shared" si="78"/>
        <v>|n=0</v>
      </c>
    </row>
    <row r="237" spans="1:28">
      <c r="A237" s="31">
        <f>装备!A238</f>
        <v>0</v>
      </c>
      <c r="B237" s="31" t="str">
        <f>"'"&amp;装备!B238&amp;"'"</f>
        <v>''</v>
      </c>
      <c r="C237" s="31">
        <f>装备!J238</f>
        <v>0</v>
      </c>
      <c r="D237" s="31">
        <f>装备!K238</f>
        <v>0</v>
      </c>
      <c r="E237" s="31">
        <f>装备!L238</f>
        <v>0</v>
      </c>
      <c r="F237" s="31">
        <f>装备!M238</f>
        <v>0</v>
      </c>
      <c r="G237" s="31">
        <f>装备!N238</f>
        <v>0</v>
      </c>
      <c r="H237" s="31">
        <f>装备!O238</f>
        <v>0</v>
      </c>
      <c r="I237" s="31">
        <f>IF(装备!J238=0,0,"'"&amp;装备!J238&amp;"'")</f>
        <v>0</v>
      </c>
      <c r="J237" s="31">
        <f>IF(装备!K238=0,0,"'"&amp;装备!K238&amp;"'")</f>
        <v>0</v>
      </c>
      <c r="K237" s="31">
        <f>IF(装备!L238=0,0,"'"&amp;装备!L238&amp;"'")</f>
        <v>0</v>
      </c>
      <c r="L237" s="31">
        <f>IF(装备!M238=0,0,"'"&amp;装备!M238&amp;"'")</f>
        <v>0</v>
      </c>
      <c r="M237" s="31">
        <f>IF(装备!N238=0,0,"'"&amp;装备!N238&amp;"'")</f>
        <v>0</v>
      </c>
      <c r="N237" s="31">
        <f>IF(装备!O238=0,0,"'"&amp;装备!O238&amp;"'")</f>
        <v>0</v>
      </c>
      <c r="O237" s="31" t="str">
        <f t="shared" si="72"/>
        <v/>
      </c>
      <c r="P237" s="31" t="str">
        <f t="shared" si="71"/>
        <v/>
      </c>
      <c r="Q237" s="35" t="str">
        <f>IFERROR(VLOOKUP(C237,装备!$B:$E,3,FALSE),"")</f>
        <v/>
      </c>
      <c r="R237" s="35" t="str">
        <f>IFERROR(VLOOKUP(D237,装备!$B:$E,3,FALSE),"")</f>
        <v/>
      </c>
      <c r="S237" s="35" t="str">
        <f>IFERROR(VLOOKUP(E237,装备!$B:$E,3,FALSE),"")</f>
        <v/>
      </c>
      <c r="T237" s="35" t="str">
        <f>IFERROR(VLOOKUP(F237,装备!$B:$E,3,FALSE),"")</f>
        <v/>
      </c>
      <c r="U237" s="35" t="str">
        <f>IFERROR(VLOOKUP(G237,装备!$B:$E,3,FALSE),"")</f>
        <v/>
      </c>
      <c r="V237" s="35" t="str">
        <f>IFERROR(VLOOKUP(H237,装备!$B:$E,3,FALSE),"")</f>
        <v/>
      </c>
      <c r="W237" s="30" t="str">
        <f t="shared" si="73"/>
        <v/>
      </c>
      <c r="X237" s="30" t="str">
        <f t="shared" si="74"/>
        <v/>
      </c>
      <c r="Y237" s="30" t="str">
        <f t="shared" si="75"/>
        <v/>
      </c>
      <c r="Z237" s="30" t="str">
        <f t="shared" si="76"/>
        <v/>
      </c>
      <c r="AA237" s="30" t="str">
        <f t="shared" si="77"/>
        <v/>
      </c>
      <c r="AB237" s="30" t="str">
        <f t="shared" si="78"/>
        <v>|n=0</v>
      </c>
    </row>
    <row r="238" spans="1:28">
      <c r="A238" s="31">
        <f>装备!A239</f>
        <v>0</v>
      </c>
      <c r="B238" s="31" t="str">
        <f>"'"&amp;装备!B239&amp;"'"</f>
        <v>''</v>
      </c>
      <c r="C238" s="31">
        <f>装备!J239</f>
        <v>0</v>
      </c>
      <c r="D238" s="31">
        <f>装备!K239</f>
        <v>0</v>
      </c>
      <c r="E238" s="31">
        <f>装备!L239</f>
        <v>0</v>
      </c>
      <c r="F238" s="31">
        <f>装备!M239</f>
        <v>0</v>
      </c>
      <c r="G238" s="31">
        <f>装备!N239</f>
        <v>0</v>
      </c>
      <c r="H238" s="31">
        <f>装备!O239</f>
        <v>0</v>
      </c>
      <c r="I238" s="31">
        <f>IF(装备!J239=0,0,"'"&amp;装备!J239&amp;"'")</f>
        <v>0</v>
      </c>
      <c r="J238" s="31">
        <f>IF(装备!K239=0,0,"'"&amp;装备!K239&amp;"'")</f>
        <v>0</v>
      </c>
      <c r="K238" s="31">
        <f>IF(装备!L239=0,0,"'"&amp;装备!L239&amp;"'")</f>
        <v>0</v>
      </c>
      <c r="L238" s="31">
        <f>IF(装备!M239=0,0,"'"&amp;装备!M239&amp;"'")</f>
        <v>0</v>
      </c>
      <c r="M238" s="31">
        <f>IF(装备!N239=0,0,"'"&amp;装备!N239&amp;"'")</f>
        <v>0</v>
      </c>
      <c r="N238" s="31">
        <f>IF(装备!O239=0,0,"'"&amp;装备!O239&amp;"'")</f>
        <v>0</v>
      </c>
      <c r="O238" s="31" t="str">
        <f t="shared" si="72"/>
        <v/>
      </c>
      <c r="P238" s="31" t="str">
        <f t="shared" si="71"/>
        <v/>
      </c>
      <c r="Q238" s="35" t="str">
        <f>IFERROR(VLOOKUP(C238,装备!$B:$E,3,FALSE),"")</f>
        <v/>
      </c>
      <c r="R238" s="35" t="str">
        <f>IFERROR(VLOOKUP(D238,装备!$B:$E,3,FALSE),"")</f>
        <v/>
      </c>
      <c r="S238" s="35" t="str">
        <f>IFERROR(VLOOKUP(E238,装备!$B:$E,3,FALSE),"")</f>
        <v/>
      </c>
      <c r="T238" s="35" t="str">
        <f>IFERROR(VLOOKUP(F238,装备!$B:$E,3,FALSE),"")</f>
        <v/>
      </c>
      <c r="U238" s="35" t="str">
        <f>IFERROR(VLOOKUP(G238,装备!$B:$E,3,FALSE),"")</f>
        <v/>
      </c>
      <c r="V238" s="35" t="str">
        <f>IFERROR(VLOOKUP(H238,装备!$B:$E,3,FALSE),"")</f>
        <v/>
      </c>
      <c r="W238" s="30" t="str">
        <f t="shared" si="73"/>
        <v/>
      </c>
      <c r="X238" s="30" t="str">
        <f t="shared" si="74"/>
        <v/>
      </c>
      <c r="Y238" s="30" t="str">
        <f t="shared" si="75"/>
        <v/>
      </c>
      <c r="Z238" s="30" t="str">
        <f t="shared" si="76"/>
        <v/>
      </c>
      <c r="AA238" s="30" t="str">
        <f t="shared" si="77"/>
        <v/>
      </c>
      <c r="AB238" s="30" t="str">
        <f t="shared" si="78"/>
        <v>|n=0</v>
      </c>
    </row>
    <row r="239" spans="1:28">
      <c r="A239" s="31">
        <f>装备!A240</f>
        <v>0</v>
      </c>
      <c r="B239" s="31" t="str">
        <f>"'"&amp;装备!B240&amp;"'"</f>
        <v>''</v>
      </c>
      <c r="C239" s="31">
        <f>装备!J240</f>
        <v>0</v>
      </c>
      <c r="D239" s="31">
        <f>装备!K240</f>
        <v>0</v>
      </c>
      <c r="E239" s="31">
        <f>装备!L240</f>
        <v>0</v>
      </c>
      <c r="F239" s="31">
        <f>装备!M240</f>
        <v>0</v>
      </c>
      <c r="G239" s="31">
        <f>装备!N240</f>
        <v>0</v>
      </c>
      <c r="H239" s="31">
        <f>装备!O240</f>
        <v>0</v>
      </c>
      <c r="I239" s="31">
        <f>IF(装备!J240=0,0,"'"&amp;装备!J240&amp;"'")</f>
        <v>0</v>
      </c>
      <c r="J239" s="31">
        <f>IF(装备!K240=0,0,"'"&amp;装备!K240&amp;"'")</f>
        <v>0</v>
      </c>
      <c r="K239" s="31">
        <f>IF(装备!L240=0,0,"'"&amp;装备!L240&amp;"'")</f>
        <v>0</v>
      </c>
      <c r="L239" s="31">
        <f>IF(装备!M240=0,0,"'"&amp;装备!M240&amp;"'")</f>
        <v>0</v>
      </c>
      <c r="M239" s="31">
        <f>IF(装备!N240=0,0,"'"&amp;装备!N240&amp;"'")</f>
        <v>0</v>
      </c>
      <c r="N239" s="31">
        <f>IF(装备!O240=0,0,"'"&amp;装备!O240&amp;"'")</f>
        <v>0</v>
      </c>
      <c r="O239" s="31" t="str">
        <f t="shared" si="72"/>
        <v/>
      </c>
      <c r="P239" s="31" t="str">
        <f t="shared" si="71"/>
        <v/>
      </c>
      <c r="Q239" s="35" t="str">
        <f>IFERROR(VLOOKUP(C239,装备!$B:$E,3,FALSE),"")</f>
        <v/>
      </c>
      <c r="R239" s="35" t="str">
        <f>IFERROR(VLOOKUP(D239,装备!$B:$E,3,FALSE),"")</f>
        <v/>
      </c>
      <c r="S239" s="35" t="str">
        <f>IFERROR(VLOOKUP(E239,装备!$B:$E,3,FALSE),"")</f>
        <v/>
      </c>
      <c r="T239" s="35" t="str">
        <f>IFERROR(VLOOKUP(F239,装备!$B:$E,3,FALSE),"")</f>
        <v/>
      </c>
      <c r="U239" s="35" t="str">
        <f>IFERROR(VLOOKUP(G239,装备!$B:$E,3,FALSE),"")</f>
        <v/>
      </c>
      <c r="V239" s="35" t="str">
        <f>IFERROR(VLOOKUP(H239,装备!$B:$E,3,FALSE),"")</f>
        <v/>
      </c>
      <c r="W239" s="30" t="str">
        <f t="shared" si="73"/>
        <v/>
      </c>
      <c r="X239" s="30" t="str">
        <f t="shared" si="74"/>
        <v/>
      </c>
      <c r="Y239" s="30" t="str">
        <f t="shared" si="75"/>
        <v/>
      </c>
      <c r="Z239" s="30" t="str">
        <f t="shared" si="76"/>
        <v/>
      </c>
      <c r="AA239" s="30" t="str">
        <f t="shared" si="77"/>
        <v/>
      </c>
      <c r="AB239" s="30" t="str">
        <f t="shared" si="78"/>
        <v>|n=0</v>
      </c>
    </row>
    <row r="240" spans="1:28">
      <c r="A240" s="31">
        <f>装备!A241</f>
        <v>0</v>
      </c>
      <c r="B240" s="31" t="str">
        <f>"'"&amp;装备!B241&amp;"'"</f>
        <v>''</v>
      </c>
      <c r="C240" s="31">
        <f>装备!J241</f>
        <v>0</v>
      </c>
      <c r="D240" s="31">
        <f>装备!K241</f>
        <v>0</v>
      </c>
      <c r="E240" s="31">
        <f>装备!L241</f>
        <v>0</v>
      </c>
      <c r="F240" s="31">
        <f>装备!M241</f>
        <v>0</v>
      </c>
      <c r="G240" s="31">
        <f>装备!N241</f>
        <v>0</v>
      </c>
      <c r="H240" s="31">
        <f>装备!O241</f>
        <v>0</v>
      </c>
      <c r="I240" s="31">
        <f>IF(装备!J241=0,0,"'"&amp;装备!J241&amp;"'")</f>
        <v>0</v>
      </c>
      <c r="J240" s="31">
        <f>IF(装备!K241=0,0,"'"&amp;装备!K241&amp;"'")</f>
        <v>0</v>
      </c>
      <c r="K240" s="31">
        <f>IF(装备!L241=0,0,"'"&amp;装备!L241&amp;"'")</f>
        <v>0</v>
      </c>
      <c r="L240" s="31">
        <f>IF(装备!M241=0,0,"'"&amp;装备!M241&amp;"'")</f>
        <v>0</v>
      </c>
      <c r="M240" s="31">
        <f>IF(装备!N241=0,0,"'"&amp;装备!N241&amp;"'")</f>
        <v>0</v>
      </c>
      <c r="N240" s="31">
        <f>IF(装备!O241=0,0,"'"&amp;装备!O241&amp;"'")</f>
        <v>0</v>
      </c>
      <c r="O240" s="31" t="str">
        <f t="shared" si="72"/>
        <v/>
      </c>
      <c r="P240" s="31" t="str">
        <f t="shared" si="71"/>
        <v/>
      </c>
      <c r="Q240" s="35" t="str">
        <f>IFERROR(VLOOKUP(C240,装备!$B:$E,3,FALSE),"")</f>
        <v/>
      </c>
      <c r="R240" s="35" t="str">
        <f>IFERROR(VLOOKUP(D240,装备!$B:$E,3,FALSE),"")</f>
        <v/>
      </c>
      <c r="S240" s="35" t="str">
        <f>IFERROR(VLOOKUP(E240,装备!$B:$E,3,FALSE),"")</f>
        <v/>
      </c>
      <c r="T240" s="35" t="str">
        <f>IFERROR(VLOOKUP(F240,装备!$B:$E,3,FALSE),"")</f>
        <v/>
      </c>
      <c r="U240" s="35" t="str">
        <f>IFERROR(VLOOKUP(G240,装备!$B:$E,3,FALSE),"")</f>
        <v/>
      </c>
      <c r="V240" s="35" t="str">
        <f>IFERROR(VLOOKUP(H240,装备!$B:$E,3,FALSE),"")</f>
        <v/>
      </c>
      <c r="W240" s="30" t="str">
        <f t="shared" si="73"/>
        <v/>
      </c>
      <c r="X240" s="30" t="str">
        <f t="shared" si="74"/>
        <v/>
      </c>
      <c r="Y240" s="30" t="str">
        <f t="shared" si="75"/>
        <v/>
      </c>
      <c r="Z240" s="30" t="str">
        <f t="shared" si="76"/>
        <v/>
      </c>
      <c r="AA240" s="30" t="str">
        <f t="shared" si="77"/>
        <v/>
      </c>
      <c r="AB240" s="30" t="str">
        <f t="shared" si="78"/>
        <v>|n=0</v>
      </c>
    </row>
    <row r="241" spans="1:28">
      <c r="A241" s="31">
        <f>装备!A242</f>
        <v>0</v>
      </c>
      <c r="B241" s="31" t="str">
        <f>"'"&amp;装备!B242&amp;"'"</f>
        <v>''</v>
      </c>
      <c r="C241" s="31">
        <f>装备!J242</f>
        <v>0</v>
      </c>
      <c r="D241" s="31">
        <f>装备!K242</f>
        <v>0</v>
      </c>
      <c r="E241" s="31">
        <f>装备!L242</f>
        <v>0</v>
      </c>
      <c r="F241" s="31">
        <f>装备!M242</f>
        <v>0</v>
      </c>
      <c r="G241" s="31">
        <f>装备!N242</f>
        <v>0</v>
      </c>
      <c r="H241" s="31">
        <f>装备!O242</f>
        <v>0</v>
      </c>
      <c r="I241" s="31">
        <f>IF(装备!J242=0,0,"'"&amp;装备!J242&amp;"'")</f>
        <v>0</v>
      </c>
      <c r="J241" s="31">
        <f>IF(装备!K242=0,0,"'"&amp;装备!K242&amp;"'")</f>
        <v>0</v>
      </c>
      <c r="K241" s="31">
        <f>IF(装备!L242=0,0,"'"&amp;装备!L242&amp;"'")</f>
        <v>0</v>
      </c>
      <c r="L241" s="31">
        <f>IF(装备!M242=0,0,"'"&amp;装备!M242&amp;"'")</f>
        <v>0</v>
      </c>
      <c r="M241" s="31">
        <f>IF(装备!N242=0,0,"'"&amp;装备!N242&amp;"'")</f>
        <v>0</v>
      </c>
      <c r="N241" s="31">
        <f>IF(装备!O242=0,0,"'"&amp;装备!O242&amp;"'")</f>
        <v>0</v>
      </c>
      <c r="O241" s="31" t="str">
        <f t="shared" si="72"/>
        <v/>
      </c>
      <c r="P241" s="31" t="str">
        <f t="shared" si="71"/>
        <v/>
      </c>
      <c r="Q241" s="35" t="str">
        <f>IFERROR(VLOOKUP(C241,装备!$B:$E,3,FALSE),"")</f>
        <v/>
      </c>
      <c r="R241" s="35" t="str">
        <f>IFERROR(VLOOKUP(D241,装备!$B:$E,3,FALSE),"")</f>
        <v/>
      </c>
      <c r="S241" s="35" t="str">
        <f>IFERROR(VLOOKUP(E241,装备!$B:$E,3,FALSE),"")</f>
        <v/>
      </c>
      <c r="T241" s="35" t="str">
        <f>IFERROR(VLOOKUP(F241,装备!$B:$E,3,FALSE),"")</f>
        <v/>
      </c>
      <c r="U241" s="35" t="str">
        <f>IFERROR(VLOOKUP(G241,装备!$B:$E,3,FALSE),"")</f>
        <v/>
      </c>
      <c r="V241" s="35" t="str">
        <f>IFERROR(VLOOKUP(H241,装备!$B:$E,3,FALSE),"")</f>
        <v/>
      </c>
      <c r="W241" s="30" t="str">
        <f t="shared" si="73"/>
        <v/>
      </c>
      <c r="X241" s="30" t="str">
        <f t="shared" si="74"/>
        <v/>
      </c>
      <c r="Y241" s="30" t="str">
        <f t="shared" si="75"/>
        <v/>
      </c>
      <c r="Z241" s="30" t="str">
        <f t="shared" si="76"/>
        <v/>
      </c>
      <c r="AA241" s="30" t="str">
        <f t="shared" si="77"/>
        <v/>
      </c>
      <c r="AB241" s="30" t="str">
        <f t="shared" si="78"/>
        <v>|n=0</v>
      </c>
    </row>
    <row r="242" spans="1:28">
      <c r="A242" s="31">
        <f>装备!A243</f>
        <v>0</v>
      </c>
      <c r="B242" s="31" t="str">
        <f>"'"&amp;装备!B243&amp;"'"</f>
        <v>''</v>
      </c>
      <c r="C242" s="31">
        <f>装备!J243</f>
        <v>0</v>
      </c>
      <c r="D242" s="31">
        <f>装备!K243</f>
        <v>0</v>
      </c>
      <c r="E242" s="31">
        <f>装备!L243</f>
        <v>0</v>
      </c>
      <c r="F242" s="31">
        <f>装备!M243</f>
        <v>0</v>
      </c>
      <c r="G242" s="31">
        <f>装备!N243</f>
        <v>0</v>
      </c>
      <c r="H242" s="31">
        <f>装备!O243</f>
        <v>0</v>
      </c>
      <c r="I242" s="31">
        <f>IF(装备!J243=0,0,"'"&amp;装备!J243&amp;"'")</f>
        <v>0</v>
      </c>
      <c r="J242" s="31">
        <f>IF(装备!K243=0,0,"'"&amp;装备!K243&amp;"'")</f>
        <v>0</v>
      </c>
      <c r="K242" s="31">
        <f>IF(装备!L243=0,0,"'"&amp;装备!L243&amp;"'")</f>
        <v>0</v>
      </c>
      <c r="L242" s="31">
        <f>IF(装备!M243=0,0,"'"&amp;装备!M243&amp;"'")</f>
        <v>0</v>
      </c>
      <c r="M242" s="31">
        <f>IF(装备!N243=0,0,"'"&amp;装备!N243&amp;"'")</f>
        <v>0</v>
      </c>
      <c r="N242" s="31">
        <f>IF(装备!O243=0,0,"'"&amp;装备!O243&amp;"'")</f>
        <v>0</v>
      </c>
      <c r="O242" s="31" t="str">
        <f t="shared" si="72"/>
        <v/>
      </c>
      <c r="P242" s="31" t="str">
        <f t="shared" si="71"/>
        <v/>
      </c>
      <c r="Q242" s="35" t="str">
        <f>IFERROR(VLOOKUP(C242,装备!$B:$E,3,FALSE),"")</f>
        <v/>
      </c>
      <c r="R242" s="35" t="str">
        <f>IFERROR(VLOOKUP(D242,装备!$B:$E,3,FALSE),"")</f>
        <v/>
      </c>
      <c r="S242" s="35" t="str">
        <f>IFERROR(VLOOKUP(E242,装备!$B:$E,3,FALSE),"")</f>
        <v/>
      </c>
      <c r="T242" s="35" t="str">
        <f>IFERROR(VLOOKUP(F242,装备!$B:$E,3,FALSE),"")</f>
        <v/>
      </c>
      <c r="U242" s="35" t="str">
        <f>IFERROR(VLOOKUP(G242,装备!$B:$E,3,FALSE),"")</f>
        <v/>
      </c>
      <c r="V242" s="35" t="str">
        <f>IFERROR(VLOOKUP(H242,装备!$B:$E,3,FALSE),"")</f>
        <v/>
      </c>
      <c r="W242" s="30" t="str">
        <f t="shared" si="73"/>
        <v/>
      </c>
      <c r="X242" s="30" t="str">
        <f t="shared" si="74"/>
        <v/>
      </c>
      <c r="Y242" s="30" t="str">
        <f t="shared" si="75"/>
        <v/>
      </c>
      <c r="Z242" s="30" t="str">
        <f t="shared" si="76"/>
        <v/>
      </c>
      <c r="AA242" s="30" t="str">
        <f t="shared" si="77"/>
        <v/>
      </c>
      <c r="AB242" s="30" t="str">
        <f t="shared" si="78"/>
        <v>|n=0</v>
      </c>
    </row>
    <row r="243" spans="1:28">
      <c r="A243" s="31">
        <f>装备!A244</f>
        <v>0</v>
      </c>
      <c r="B243" s="31" t="str">
        <f>"'"&amp;装备!B244&amp;"'"</f>
        <v>''</v>
      </c>
      <c r="C243" s="31">
        <f>装备!J244</f>
        <v>0</v>
      </c>
      <c r="D243" s="31">
        <f>装备!K244</f>
        <v>0</v>
      </c>
      <c r="E243" s="31">
        <f>装备!L244</f>
        <v>0</v>
      </c>
      <c r="F243" s="31">
        <f>装备!M244</f>
        <v>0</v>
      </c>
      <c r="G243" s="31">
        <f>装备!N244</f>
        <v>0</v>
      </c>
      <c r="H243" s="31">
        <f>装备!O244</f>
        <v>0</v>
      </c>
      <c r="I243" s="31">
        <f>IF(装备!J244=0,0,"'"&amp;装备!J244&amp;"'")</f>
        <v>0</v>
      </c>
      <c r="J243" s="31">
        <f>IF(装备!K244=0,0,"'"&amp;装备!K244&amp;"'")</f>
        <v>0</v>
      </c>
      <c r="K243" s="31">
        <f>IF(装备!L244=0,0,"'"&amp;装备!L244&amp;"'")</f>
        <v>0</v>
      </c>
      <c r="L243" s="31">
        <f>IF(装备!M244=0,0,"'"&amp;装备!M244&amp;"'")</f>
        <v>0</v>
      </c>
      <c r="M243" s="31">
        <f>IF(装备!N244=0,0,"'"&amp;装备!N244&amp;"'")</f>
        <v>0</v>
      </c>
      <c r="N243" s="31">
        <f>IF(装备!O244=0,0,"'"&amp;装备!O244&amp;"'")</f>
        <v>0</v>
      </c>
      <c r="O243" s="31" t="str">
        <f t="shared" si="72"/>
        <v/>
      </c>
      <c r="P243" s="31" t="str">
        <f t="shared" si="71"/>
        <v/>
      </c>
      <c r="Q243" s="35" t="str">
        <f>IFERROR(VLOOKUP(C243,装备!$B:$E,3,FALSE),"")</f>
        <v/>
      </c>
      <c r="R243" s="35" t="str">
        <f>IFERROR(VLOOKUP(D243,装备!$B:$E,3,FALSE),"")</f>
        <v/>
      </c>
      <c r="S243" s="35" t="str">
        <f>IFERROR(VLOOKUP(E243,装备!$B:$E,3,FALSE),"")</f>
        <v/>
      </c>
      <c r="T243" s="35" t="str">
        <f>IFERROR(VLOOKUP(F243,装备!$B:$E,3,FALSE),"")</f>
        <v/>
      </c>
      <c r="U243" s="35" t="str">
        <f>IFERROR(VLOOKUP(G243,装备!$B:$E,3,FALSE),"")</f>
        <v/>
      </c>
      <c r="V243" s="35" t="str">
        <f>IFERROR(VLOOKUP(H243,装备!$B:$E,3,FALSE),"")</f>
        <v/>
      </c>
      <c r="W243" s="30" t="str">
        <f t="shared" si="73"/>
        <v/>
      </c>
      <c r="X243" s="30" t="str">
        <f t="shared" si="74"/>
        <v/>
      </c>
      <c r="Y243" s="30" t="str">
        <f t="shared" si="75"/>
        <v/>
      </c>
      <c r="Z243" s="30" t="str">
        <f t="shared" si="76"/>
        <v/>
      </c>
      <c r="AA243" s="30" t="str">
        <f t="shared" si="77"/>
        <v/>
      </c>
      <c r="AB243" s="30" t="str">
        <f t="shared" si="78"/>
        <v>|n=0</v>
      </c>
    </row>
    <row r="244" spans="1:28">
      <c r="A244" s="31">
        <f>装备!A245</f>
        <v>0</v>
      </c>
      <c r="B244" s="31" t="str">
        <f>"'"&amp;装备!B245&amp;"'"</f>
        <v>''</v>
      </c>
      <c r="C244" s="31">
        <f>装备!J245</f>
        <v>0</v>
      </c>
      <c r="D244" s="31">
        <f>装备!K245</f>
        <v>0</v>
      </c>
      <c r="E244" s="31">
        <f>装备!L245</f>
        <v>0</v>
      </c>
      <c r="F244" s="31">
        <f>装备!M245</f>
        <v>0</v>
      </c>
      <c r="G244" s="31">
        <f>装备!N245</f>
        <v>0</v>
      </c>
      <c r="H244" s="31">
        <f>装备!O245</f>
        <v>0</v>
      </c>
      <c r="I244" s="31">
        <f>IF(装备!J245=0,0,"'"&amp;装备!J245&amp;"'")</f>
        <v>0</v>
      </c>
      <c r="J244" s="31">
        <f>IF(装备!K245=0,0,"'"&amp;装备!K245&amp;"'")</f>
        <v>0</v>
      </c>
      <c r="K244" s="31">
        <f>IF(装备!L245=0,0,"'"&amp;装备!L245&amp;"'")</f>
        <v>0</v>
      </c>
      <c r="L244" s="31">
        <f>IF(装备!M245=0,0,"'"&amp;装备!M245&amp;"'")</f>
        <v>0</v>
      </c>
      <c r="M244" s="31">
        <f>IF(装备!N245=0,0,"'"&amp;装备!N245&amp;"'")</f>
        <v>0</v>
      </c>
      <c r="N244" s="31">
        <f>IF(装备!O245=0,0,"'"&amp;装备!O245&amp;"'")</f>
        <v>0</v>
      </c>
      <c r="O244" s="31" t="str">
        <f t="shared" si="72"/>
        <v/>
      </c>
      <c r="P244" s="31" t="str">
        <f t="shared" si="71"/>
        <v/>
      </c>
      <c r="Q244" s="35" t="str">
        <f>IFERROR(VLOOKUP(C244,装备!$B:$E,3,FALSE),"")</f>
        <v/>
      </c>
      <c r="R244" s="35" t="str">
        <f>IFERROR(VLOOKUP(D244,装备!$B:$E,3,FALSE),"")</f>
        <v/>
      </c>
      <c r="S244" s="35" t="str">
        <f>IFERROR(VLOOKUP(E244,装备!$B:$E,3,FALSE),"")</f>
        <v/>
      </c>
      <c r="T244" s="35" t="str">
        <f>IFERROR(VLOOKUP(F244,装备!$B:$E,3,FALSE),"")</f>
        <v/>
      </c>
      <c r="U244" s="35" t="str">
        <f>IFERROR(VLOOKUP(G244,装备!$B:$E,3,FALSE),"")</f>
        <v/>
      </c>
      <c r="V244" s="35" t="str">
        <f>IFERROR(VLOOKUP(H244,装备!$B:$E,3,FALSE),"")</f>
        <v/>
      </c>
      <c r="W244" s="30" t="str">
        <f t="shared" si="73"/>
        <v/>
      </c>
      <c r="X244" s="30" t="str">
        <f t="shared" si="74"/>
        <v/>
      </c>
      <c r="Y244" s="30" t="str">
        <f t="shared" si="75"/>
        <v/>
      </c>
      <c r="Z244" s="30" t="str">
        <f t="shared" si="76"/>
        <v/>
      </c>
      <c r="AA244" s="30" t="str">
        <f t="shared" si="77"/>
        <v/>
      </c>
      <c r="AB244" s="30" t="str">
        <f t="shared" si="78"/>
        <v>|n=0</v>
      </c>
    </row>
    <row r="245" spans="1:28">
      <c r="A245" s="31">
        <f>装备!A246</f>
        <v>0</v>
      </c>
      <c r="B245" s="31" t="str">
        <f>"'"&amp;装备!B246&amp;"'"</f>
        <v>''</v>
      </c>
      <c r="C245" s="31">
        <f>装备!J246</f>
        <v>0</v>
      </c>
      <c r="D245" s="31">
        <f>装备!K246</f>
        <v>0</v>
      </c>
      <c r="E245" s="31">
        <f>装备!L246</f>
        <v>0</v>
      </c>
      <c r="F245" s="31">
        <f>装备!M246</f>
        <v>0</v>
      </c>
      <c r="G245" s="31">
        <f>装备!N246</f>
        <v>0</v>
      </c>
      <c r="H245" s="31">
        <f>装备!O246</f>
        <v>0</v>
      </c>
      <c r="I245" s="31">
        <f>IF(装备!J246=0,0,"'"&amp;装备!J246&amp;"'")</f>
        <v>0</v>
      </c>
      <c r="J245" s="31">
        <f>IF(装备!K246=0,0,"'"&amp;装备!K246&amp;"'")</f>
        <v>0</v>
      </c>
      <c r="K245" s="31">
        <f>IF(装备!L246=0,0,"'"&amp;装备!L246&amp;"'")</f>
        <v>0</v>
      </c>
      <c r="L245" s="31">
        <f>IF(装备!M246=0,0,"'"&amp;装备!M246&amp;"'")</f>
        <v>0</v>
      </c>
      <c r="M245" s="31">
        <f>IF(装备!N246=0,0,"'"&amp;装备!N246&amp;"'")</f>
        <v>0</v>
      </c>
      <c r="N245" s="31">
        <f>IF(装备!O246=0,0,"'"&amp;装备!O246&amp;"'")</f>
        <v>0</v>
      </c>
      <c r="O245" s="31" t="str">
        <f t="shared" ref="O245:O263" si="79">IF(I245=0,"","AddItemFormula("&amp;I245&amp;","&amp;J245&amp;","&amp;K245&amp;","&amp;L245&amp;","&amp;M245&amp;","&amp;N245&amp;","&amp;B245&amp;")")</f>
        <v/>
      </c>
      <c r="P245" s="31" t="str">
        <f t="shared" si="71"/>
        <v/>
      </c>
      <c r="Q245" s="35" t="str">
        <f>IFERROR(VLOOKUP(C245,装备!$B:$E,3,FALSE),"")</f>
        <v/>
      </c>
      <c r="R245" s="35" t="str">
        <f>IFERROR(VLOOKUP(D245,装备!$B:$E,3,FALSE),"")</f>
        <v/>
      </c>
      <c r="S245" s="35" t="str">
        <f>IFERROR(VLOOKUP(E245,装备!$B:$E,3,FALSE),"")</f>
        <v/>
      </c>
      <c r="T245" s="35" t="str">
        <f>IFERROR(VLOOKUP(F245,装备!$B:$E,3,FALSE),"")</f>
        <v/>
      </c>
      <c r="U245" s="35" t="str">
        <f>IFERROR(VLOOKUP(G245,装备!$B:$E,3,FALSE),"")</f>
        <v/>
      </c>
      <c r="V245" s="35" t="str">
        <f>IFERROR(VLOOKUP(H245,装备!$B:$E,3,FALSE),"")</f>
        <v/>
      </c>
      <c r="W245" s="30" t="str">
        <f t="shared" ref="W245:W258" si="80">IF(R245="","","+"&amp;R245)</f>
        <v/>
      </c>
      <c r="X245" s="30" t="str">
        <f t="shared" ref="X245:X258" si="81">IF(S245="","","+"&amp;S245)</f>
        <v/>
      </c>
      <c r="Y245" s="30" t="str">
        <f t="shared" ref="Y245:Y258" si="82">IF(T245="","","+"&amp;T245)</f>
        <v/>
      </c>
      <c r="Z245" s="30" t="str">
        <f t="shared" ref="Z245:Z258" si="83">IF(U245="","","+"&amp;U245)</f>
        <v/>
      </c>
      <c r="AA245" s="30" t="str">
        <f t="shared" ref="AA245:AA258" si="84">IF(V245="","","+"&amp;V245)</f>
        <v/>
      </c>
      <c r="AB245" s="30" t="str">
        <f t="shared" ref="AB245:AB263" si="85">"|n"&amp;Q245&amp;W245&amp;X245&amp;Y245&amp;Z245&amp;AA245&amp;"="&amp;A245</f>
        <v>|n=0</v>
      </c>
    </row>
    <row r="246" spans="1:28">
      <c r="A246" s="31">
        <f>装备!A247</f>
        <v>0</v>
      </c>
      <c r="B246" s="31" t="str">
        <f>"'"&amp;装备!B247&amp;"'"</f>
        <v>''</v>
      </c>
      <c r="C246" s="31">
        <f>装备!J247</f>
        <v>0</v>
      </c>
      <c r="D246" s="31">
        <f>装备!K247</f>
        <v>0</v>
      </c>
      <c r="E246" s="31">
        <f>装备!L247</f>
        <v>0</v>
      </c>
      <c r="F246" s="31">
        <f>装备!M247</f>
        <v>0</v>
      </c>
      <c r="G246" s="31">
        <f>装备!N247</f>
        <v>0</v>
      </c>
      <c r="H246" s="31">
        <f>装备!O247</f>
        <v>0</v>
      </c>
      <c r="I246" s="31">
        <f>IF(装备!J247=0,0,"'"&amp;装备!J247&amp;"'")</f>
        <v>0</v>
      </c>
      <c r="J246" s="31">
        <f>IF(装备!K247=0,0,"'"&amp;装备!K247&amp;"'")</f>
        <v>0</v>
      </c>
      <c r="K246" s="31">
        <f>IF(装备!L247=0,0,"'"&amp;装备!L247&amp;"'")</f>
        <v>0</v>
      </c>
      <c r="L246" s="31">
        <f>IF(装备!M247=0,0,"'"&amp;装备!M247&amp;"'")</f>
        <v>0</v>
      </c>
      <c r="M246" s="31">
        <f>IF(装备!N247=0,0,"'"&amp;装备!N247&amp;"'")</f>
        <v>0</v>
      </c>
      <c r="N246" s="31">
        <f>IF(装备!O247=0,0,"'"&amp;装备!O247&amp;"'")</f>
        <v>0</v>
      </c>
      <c r="O246" s="31" t="str">
        <f t="shared" si="79"/>
        <v/>
      </c>
      <c r="P246" s="31" t="str">
        <f t="shared" si="71"/>
        <v/>
      </c>
      <c r="Q246" s="35" t="str">
        <f>IFERROR(VLOOKUP(C246,装备!$B:$E,3,FALSE),"")</f>
        <v/>
      </c>
      <c r="R246" s="35" t="str">
        <f>IFERROR(VLOOKUP(D246,装备!$B:$E,3,FALSE),"")</f>
        <v/>
      </c>
      <c r="S246" s="35" t="str">
        <f>IFERROR(VLOOKUP(E246,装备!$B:$E,3,FALSE),"")</f>
        <v/>
      </c>
      <c r="T246" s="35" t="str">
        <f>IFERROR(VLOOKUP(F246,装备!$B:$E,3,FALSE),"")</f>
        <v/>
      </c>
      <c r="U246" s="35" t="str">
        <f>IFERROR(VLOOKUP(G246,装备!$B:$E,3,FALSE),"")</f>
        <v/>
      </c>
      <c r="V246" s="35" t="str">
        <f>IFERROR(VLOOKUP(H246,装备!$B:$E,3,FALSE),"")</f>
        <v/>
      </c>
      <c r="W246" s="30" t="str">
        <f t="shared" si="80"/>
        <v/>
      </c>
      <c r="X246" s="30" t="str">
        <f t="shared" si="81"/>
        <v/>
      </c>
      <c r="Y246" s="30" t="str">
        <f t="shared" si="82"/>
        <v/>
      </c>
      <c r="Z246" s="30" t="str">
        <f t="shared" si="83"/>
        <v/>
      </c>
      <c r="AA246" s="30" t="str">
        <f t="shared" si="84"/>
        <v/>
      </c>
      <c r="AB246" s="30" t="str">
        <f t="shared" si="85"/>
        <v>|n=0</v>
      </c>
    </row>
    <row r="247" spans="1:28">
      <c r="A247" s="31">
        <f>装备!A248</f>
        <v>0</v>
      </c>
      <c r="B247" s="31" t="str">
        <f>"'"&amp;装备!B248&amp;"'"</f>
        <v>''</v>
      </c>
      <c r="C247" s="31">
        <f>装备!J248</f>
        <v>0</v>
      </c>
      <c r="D247" s="31">
        <f>装备!K248</f>
        <v>0</v>
      </c>
      <c r="E247" s="31">
        <f>装备!L248</f>
        <v>0</v>
      </c>
      <c r="F247" s="31">
        <f>装备!M248</f>
        <v>0</v>
      </c>
      <c r="G247" s="31">
        <f>装备!N248</f>
        <v>0</v>
      </c>
      <c r="H247" s="31">
        <f>装备!O248</f>
        <v>0</v>
      </c>
      <c r="I247" s="31">
        <f>IF(装备!J248=0,0,"'"&amp;装备!J248&amp;"'")</f>
        <v>0</v>
      </c>
      <c r="J247" s="31">
        <f>IF(装备!K248=0,0,"'"&amp;装备!K248&amp;"'")</f>
        <v>0</v>
      </c>
      <c r="K247" s="31">
        <f>IF(装备!L248=0,0,"'"&amp;装备!L248&amp;"'")</f>
        <v>0</v>
      </c>
      <c r="L247" s="31">
        <f>IF(装备!M248=0,0,"'"&amp;装备!M248&amp;"'")</f>
        <v>0</v>
      </c>
      <c r="M247" s="31">
        <f>IF(装备!N248=0,0,"'"&amp;装备!N248&amp;"'")</f>
        <v>0</v>
      </c>
      <c r="N247" s="31">
        <f>IF(装备!O248=0,0,"'"&amp;装备!O248&amp;"'")</f>
        <v>0</v>
      </c>
      <c r="O247" s="31" t="str">
        <f t="shared" si="79"/>
        <v/>
      </c>
      <c r="P247" s="31" t="str">
        <f t="shared" si="71"/>
        <v/>
      </c>
      <c r="Q247" s="35" t="str">
        <f>IFERROR(VLOOKUP(C247,装备!$B:$E,3,FALSE),"")</f>
        <v/>
      </c>
      <c r="R247" s="35" t="str">
        <f>IFERROR(VLOOKUP(D247,装备!$B:$E,3,FALSE),"")</f>
        <v/>
      </c>
      <c r="S247" s="35" t="str">
        <f>IFERROR(VLOOKUP(E247,装备!$B:$E,3,FALSE),"")</f>
        <v/>
      </c>
      <c r="T247" s="35" t="str">
        <f>IFERROR(VLOOKUP(F247,装备!$B:$E,3,FALSE),"")</f>
        <v/>
      </c>
      <c r="U247" s="35" t="str">
        <f>IFERROR(VLOOKUP(G247,装备!$B:$E,3,FALSE),"")</f>
        <v/>
      </c>
      <c r="V247" s="35" t="str">
        <f>IFERROR(VLOOKUP(H247,装备!$B:$E,3,FALSE),"")</f>
        <v/>
      </c>
      <c r="W247" s="30" t="str">
        <f t="shared" si="80"/>
        <v/>
      </c>
      <c r="X247" s="30" t="str">
        <f t="shared" si="81"/>
        <v/>
      </c>
      <c r="Y247" s="30" t="str">
        <f t="shared" si="82"/>
        <v/>
      </c>
      <c r="Z247" s="30" t="str">
        <f t="shared" si="83"/>
        <v/>
      </c>
      <c r="AA247" s="30" t="str">
        <f t="shared" si="84"/>
        <v/>
      </c>
      <c r="AB247" s="30" t="str">
        <f t="shared" si="85"/>
        <v>|n=0</v>
      </c>
    </row>
    <row r="248" spans="1:28">
      <c r="A248" s="31">
        <f>装备!A249</f>
        <v>0</v>
      </c>
      <c r="B248" s="31" t="str">
        <f>"'"&amp;装备!B249&amp;"'"</f>
        <v>''</v>
      </c>
      <c r="C248" s="31">
        <f>装备!J249</f>
        <v>0</v>
      </c>
      <c r="D248" s="31">
        <f>装备!K249</f>
        <v>0</v>
      </c>
      <c r="E248" s="31">
        <f>装备!L249</f>
        <v>0</v>
      </c>
      <c r="F248" s="31">
        <f>装备!M249</f>
        <v>0</v>
      </c>
      <c r="G248" s="31">
        <f>装备!N249</f>
        <v>0</v>
      </c>
      <c r="H248" s="31">
        <f>装备!O249</f>
        <v>0</v>
      </c>
      <c r="I248" s="31">
        <f>IF(装备!J249=0,0,"'"&amp;装备!J249&amp;"'")</f>
        <v>0</v>
      </c>
      <c r="J248" s="31">
        <f>IF(装备!K249=0,0,"'"&amp;装备!K249&amp;"'")</f>
        <v>0</v>
      </c>
      <c r="K248" s="31">
        <f>IF(装备!L249=0,0,"'"&amp;装备!L249&amp;"'")</f>
        <v>0</v>
      </c>
      <c r="L248" s="31">
        <f>IF(装备!M249=0,0,"'"&amp;装备!M249&amp;"'")</f>
        <v>0</v>
      </c>
      <c r="M248" s="31">
        <f>IF(装备!N249=0,0,"'"&amp;装备!N249&amp;"'")</f>
        <v>0</v>
      </c>
      <c r="N248" s="31">
        <f>IF(装备!O249=0,0,"'"&amp;装备!O249&amp;"'")</f>
        <v>0</v>
      </c>
      <c r="O248" s="31" t="str">
        <f t="shared" si="79"/>
        <v/>
      </c>
      <c r="P248" s="31" t="str">
        <f t="shared" ref="P248:P263" si="86">IFERROR(VLOOKUP(A248,Q:AB,12,FALSE),IFERROR(VLOOKUP(A248,R:AB,11,FALSE),IFERROR(VLOOKUP(A248,S:AB,10,FALSE),"")))</f>
        <v/>
      </c>
      <c r="Q248" s="35" t="str">
        <f>IFERROR(VLOOKUP(C248,装备!$B:$E,3,FALSE),"")</f>
        <v/>
      </c>
      <c r="R248" s="35" t="str">
        <f>IFERROR(VLOOKUP(D248,装备!$B:$E,3,FALSE),"")</f>
        <v/>
      </c>
      <c r="S248" s="35" t="str">
        <f>IFERROR(VLOOKUP(E248,装备!$B:$E,3,FALSE),"")</f>
        <v/>
      </c>
      <c r="T248" s="35" t="str">
        <f>IFERROR(VLOOKUP(F248,装备!$B:$E,3,FALSE),"")</f>
        <v/>
      </c>
      <c r="U248" s="35" t="str">
        <f>IFERROR(VLOOKUP(G248,装备!$B:$E,3,FALSE),"")</f>
        <v/>
      </c>
      <c r="V248" s="35" t="str">
        <f>IFERROR(VLOOKUP(H248,装备!$B:$E,3,FALSE),"")</f>
        <v/>
      </c>
      <c r="W248" s="30" t="str">
        <f t="shared" si="80"/>
        <v/>
      </c>
      <c r="X248" s="30" t="str">
        <f t="shared" si="81"/>
        <v/>
      </c>
      <c r="Y248" s="30" t="str">
        <f t="shared" si="82"/>
        <v/>
      </c>
      <c r="Z248" s="30" t="str">
        <f t="shared" si="83"/>
        <v/>
      </c>
      <c r="AA248" s="30" t="str">
        <f t="shared" si="84"/>
        <v/>
      </c>
      <c r="AB248" s="30" t="str">
        <f t="shared" si="85"/>
        <v>|n=0</v>
      </c>
    </row>
    <row r="249" spans="1:28">
      <c r="A249" s="31">
        <f>装备!A250</f>
        <v>0</v>
      </c>
      <c r="B249" s="31" t="str">
        <f>"'"&amp;装备!B250&amp;"'"</f>
        <v>''</v>
      </c>
      <c r="C249" s="31">
        <f>装备!J250</f>
        <v>0</v>
      </c>
      <c r="D249" s="31">
        <f>装备!K250</f>
        <v>0</v>
      </c>
      <c r="E249" s="31">
        <f>装备!L250</f>
        <v>0</v>
      </c>
      <c r="F249" s="31">
        <f>装备!M250</f>
        <v>0</v>
      </c>
      <c r="G249" s="31">
        <f>装备!N250</f>
        <v>0</v>
      </c>
      <c r="H249" s="31">
        <f>装备!O250</f>
        <v>0</v>
      </c>
      <c r="I249" s="31">
        <f>IF(装备!J250=0,0,"'"&amp;装备!J250&amp;"'")</f>
        <v>0</v>
      </c>
      <c r="J249" s="31">
        <f>IF(装备!K250=0,0,"'"&amp;装备!K250&amp;"'")</f>
        <v>0</v>
      </c>
      <c r="K249" s="31">
        <f>IF(装备!L250=0,0,"'"&amp;装备!L250&amp;"'")</f>
        <v>0</v>
      </c>
      <c r="L249" s="31">
        <f>IF(装备!M250=0,0,"'"&amp;装备!M250&amp;"'")</f>
        <v>0</v>
      </c>
      <c r="M249" s="31">
        <f>IF(装备!N250=0,0,"'"&amp;装备!N250&amp;"'")</f>
        <v>0</v>
      </c>
      <c r="N249" s="31">
        <f>IF(装备!O250=0,0,"'"&amp;装备!O250&amp;"'")</f>
        <v>0</v>
      </c>
      <c r="O249" s="31" t="str">
        <f t="shared" si="79"/>
        <v/>
      </c>
      <c r="P249" s="31" t="str">
        <f t="shared" si="86"/>
        <v/>
      </c>
      <c r="Q249" s="35" t="str">
        <f>IFERROR(VLOOKUP(C249,装备!$B:$E,3,FALSE),"")</f>
        <v/>
      </c>
      <c r="R249" s="35" t="str">
        <f>IFERROR(VLOOKUP(D249,装备!$B:$E,3,FALSE),"")</f>
        <v/>
      </c>
      <c r="S249" s="35" t="str">
        <f>IFERROR(VLOOKUP(E249,装备!$B:$E,3,FALSE),"")</f>
        <v/>
      </c>
      <c r="T249" s="35" t="str">
        <f>IFERROR(VLOOKUP(F249,装备!$B:$E,3,FALSE),"")</f>
        <v/>
      </c>
      <c r="U249" s="35" t="str">
        <f>IFERROR(VLOOKUP(G249,装备!$B:$E,3,FALSE),"")</f>
        <v/>
      </c>
      <c r="V249" s="35" t="str">
        <f>IFERROR(VLOOKUP(H249,装备!$B:$E,3,FALSE),"")</f>
        <v/>
      </c>
      <c r="W249" s="30" t="str">
        <f t="shared" si="80"/>
        <v/>
      </c>
      <c r="X249" s="30" t="str">
        <f t="shared" si="81"/>
        <v/>
      </c>
      <c r="Y249" s="30" t="str">
        <f t="shared" si="82"/>
        <v/>
      </c>
      <c r="Z249" s="30" t="str">
        <f t="shared" si="83"/>
        <v/>
      </c>
      <c r="AA249" s="30" t="str">
        <f t="shared" si="84"/>
        <v/>
      </c>
      <c r="AB249" s="30" t="str">
        <f t="shared" si="85"/>
        <v>|n=0</v>
      </c>
    </row>
    <row r="250" spans="1:28">
      <c r="A250" s="31">
        <f>装备!A251</f>
        <v>0</v>
      </c>
      <c r="B250" s="31" t="str">
        <f>"'"&amp;装备!B251&amp;"'"</f>
        <v>''</v>
      </c>
      <c r="C250" s="31">
        <f>装备!J251</f>
        <v>0</v>
      </c>
      <c r="D250" s="31">
        <f>装备!K251</f>
        <v>0</v>
      </c>
      <c r="E250" s="31">
        <f>装备!L251</f>
        <v>0</v>
      </c>
      <c r="F250" s="31">
        <f>装备!M251</f>
        <v>0</v>
      </c>
      <c r="G250" s="31">
        <f>装备!N251</f>
        <v>0</v>
      </c>
      <c r="H250" s="31">
        <f>装备!O251</f>
        <v>0</v>
      </c>
      <c r="I250" s="31">
        <f>IF(装备!J251=0,0,"'"&amp;装备!J251&amp;"'")</f>
        <v>0</v>
      </c>
      <c r="J250" s="31">
        <f>IF(装备!K251=0,0,"'"&amp;装备!K251&amp;"'")</f>
        <v>0</v>
      </c>
      <c r="K250" s="31">
        <f>IF(装备!L251=0,0,"'"&amp;装备!L251&amp;"'")</f>
        <v>0</v>
      </c>
      <c r="L250" s="31">
        <f>IF(装备!M251=0,0,"'"&amp;装备!M251&amp;"'")</f>
        <v>0</v>
      </c>
      <c r="M250" s="31">
        <f>IF(装备!N251=0,0,"'"&amp;装备!N251&amp;"'")</f>
        <v>0</v>
      </c>
      <c r="N250" s="31">
        <f>IF(装备!O251=0,0,"'"&amp;装备!O251&amp;"'")</f>
        <v>0</v>
      </c>
      <c r="O250" s="31" t="str">
        <f t="shared" si="79"/>
        <v/>
      </c>
      <c r="P250" s="31" t="str">
        <f t="shared" si="86"/>
        <v/>
      </c>
      <c r="Q250" s="35" t="str">
        <f>IFERROR(VLOOKUP(C250,装备!$B:$E,3,FALSE),"")</f>
        <v/>
      </c>
      <c r="R250" s="35" t="str">
        <f>IFERROR(VLOOKUP(D250,装备!$B:$E,3,FALSE),"")</f>
        <v/>
      </c>
      <c r="S250" s="35" t="str">
        <f>IFERROR(VLOOKUP(E250,装备!$B:$E,3,FALSE),"")</f>
        <v/>
      </c>
      <c r="T250" s="35" t="str">
        <f>IFERROR(VLOOKUP(F250,装备!$B:$E,3,FALSE),"")</f>
        <v/>
      </c>
      <c r="U250" s="35" t="str">
        <f>IFERROR(VLOOKUP(G250,装备!$B:$E,3,FALSE),"")</f>
        <v/>
      </c>
      <c r="V250" s="35" t="str">
        <f>IFERROR(VLOOKUP(H250,装备!$B:$E,3,FALSE),"")</f>
        <v/>
      </c>
      <c r="W250" s="30" t="str">
        <f t="shared" si="80"/>
        <v/>
      </c>
      <c r="X250" s="30" t="str">
        <f t="shared" si="81"/>
        <v/>
      </c>
      <c r="Y250" s="30" t="str">
        <f t="shared" si="82"/>
        <v/>
      </c>
      <c r="Z250" s="30" t="str">
        <f t="shared" si="83"/>
        <v/>
      </c>
      <c r="AA250" s="30" t="str">
        <f t="shared" si="84"/>
        <v/>
      </c>
      <c r="AB250" s="30" t="str">
        <f t="shared" si="85"/>
        <v>|n=0</v>
      </c>
    </row>
    <row r="251" spans="1:28">
      <c r="A251" s="31">
        <f>装备!A252</f>
        <v>0</v>
      </c>
      <c r="B251" s="31" t="str">
        <f>"'"&amp;装备!B252&amp;"'"</f>
        <v>''</v>
      </c>
      <c r="C251" s="31">
        <f>装备!J252</f>
        <v>0</v>
      </c>
      <c r="D251" s="31">
        <f>装备!K252</f>
        <v>0</v>
      </c>
      <c r="E251" s="31">
        <f>装备!L252</f>
        <v>0</v>
      </c>
      <c r="F251" s="31">
        <f>装备!M252</f>
        <v>0</v>
      </c>
      <c r="G251" s="31">
        <f>装备!N252</f>
        <v>0</v>
      </c>
      <c r="H251" s="31">
        <f>装备!O252</f>
        <v>0</v>
      </c>
      <c r="I251" s="31">
        <f>IF(装备!J252=0,0,"'"&amp;装备!J252&amp;"'")</f>
        <v>0</v>
      </c>
      <c r="J251" s="31">
        <f>IF(装备!K252=0,0,"'"&amp;装备!K252&amp;"'")</f>
        <v>0</v>
      </c>
      <c r="K251" s="31">
        <f>IF(装备!L252=0,0,"'"&amp;装备!L252&amp;"'")</f>
        <v>0</v>
      </c>
      <c r="L251" s="31">
        <f>IF(装备!M252=0,0,"'"&amp;装备!M252&amp;"'")</f>
        <v>0</v>
      </c>
      <c r="M251" s="31">
        <f>IF(装备!N252=0,0,"'"&amp;装备!N252&amp;"'")</f>
        <v>0</v>
      </c>
      <c r="N251" s="31">
        <f>IF(装备!O252=0,0,"'"&amp;装备!O252&amp;"'")</f>
        <v>0</v>
      </c>
      <c r="O251" s="31" t="str">
        <f t="shared" si="79"/>
        <v/>
      </c>
      <c r="P251" s="31" t="str">
        <f t="shared" si="86"/>
        <v/>
      </c>
      <c r="Q251" s="35" t="str">
        <f>IFERROR(VLOOKUP(C251,装备!$B:$E,3,FALSE),"")</f>
        <v/>
      </c>
      <c r="R251" s="35" t="str">
        <f>IFERROR(VLOOKUP(D251,装备!$B:$E,3,FALSE),"")</f>
        <v/>
      </c>
      <c r="S251" s="35" t="str">
        <f>IFERROR(VLOOKUP(E251,装备!$B:$E,3,FALSE),"")</f>
        <v/>
      </c>
      <c r="T251" s="35" t="str">
        <f>IFERROR(VLOOKUP(F251,装备!$B:$E,3,FALSE),"")</f>
        <v/>
      </c>
      <c r="U251" s="35" t="str">
        <f>IFERROR(VLOOKUP(G251,装备!$B:$E,3,FALSE),"")</f>
        <v/>
      </c>
      <c r="V251" s="35" t="str">
        <f>IFERROR(VLOOKUP(H251,装备!$B:$E,3,FALSE),"")</f>
        <v/>
      </c>
      <c r="W251" s="30" t="str">
        <f t="shared" si="80"/>
        <v/>
      </c>
      <c r="X251" s="30" t="str">
        <f t="shared" si="81"/>
        <v/>
      </c>
      <c r="Y251" s="30" t="str">
        <f t="shared" si="82"/>
        <v/>
      </c>
      <c r="Z251" s="30" t="str">
        <f t="shared" si="83"/>
        <v/>
      </c>
      <c r="AA251" s="30" t="str">
        <f t="shared" si="84"/>
        <v/>
      </c>
      <c r="AB251" s="30" t="str">
        <f t="shared" si="85"/>
        <v>|n=0</v>
      </c>
    </row>
    <row r="252" spans="1:28">
      <c r="A252" s="31">
        <f>装备!A253</f>
        <v>0</v>
      </c>
      <c r="B252" s="31" t="str">
        <f>"'"&amp;装备!B253&amp;"'"</f>
        <v>''</v>
      </c>
      <c r="C252" s="31">
        <f>装备!J253</f>
        <v>0</v>
      </c>
      <c r="D252" s="31">
        <f>装备!K253</f>
        <v>0</v>
      </c>
      <c r="E252" s="31">
        <f>装备!L253</f>
        <v>0</v>
      </c>
      <c r="F252" s="31">
        <f>装备!M253</f>
        <v>0</v>
      </c>
      <c r="G252" s="31">
        <f>装备!N253</f>
        <v>0</v>
      </c>
      <c r="H252" s="31">
        <f>装备!O253</f>
        <v>0</v>
      </c>
      <c r="I252" s="31">
        <f>IF(装备!J253=0,0,"'"&amp;装备!J253&amp;"'")</f>
        <v>0</v>
      </c>
      <c r="J252" s="31">
        <f>IF(装备!K253=0,0,"'"&amp;装备!K253&amp;"'")</f>
        <v>0</v>
      </c>
      <c r="K252" s="31">
        <f>IF(装备!L253=0,0,"'"&amp;装备!L253&amp;"'")</f>
        <v>0</v>
      </c>
      <c r="L252" s="31">
        <f>IF(装备!M253=0,0,"'"&amp;装备!M253&amp;"'")</f>
        <v>0</v>
      </c>
      <c r="M252" s="31">
        <f>IF(装备!N253=0,0,"'"&amp;装备!N253&amp;"'")</f>
        <v>0</v>
      </c>
      <c r="N252" s="31">
        <f>IF(装备!O253=0,0,"'"&amp;装备!O253&amp;"'")</f>
        <v>0</v>
      </c>
      <c r="O252" s="31" t="str">
        <f t="shared" si="79"/>
        <v/>
      </c>
      <c r="P252" s="31" t="str">
        <f t="shared" si="86"/>
        <v/>
      </c>
      <c r="Q252" s="35" t="str">
        <f>IFERROR(VLOOKUP(C252,装备!$B:$E,3,FALSE),"")</f>
        <v/>
      </c>
      <c r="R252" s="35" t="str">
        <f>IFERROR(VLOOKUP(D252,装备!$B:$E,3,FALSE),"")</f>
        <v/>
      </c>
      <c r="S252" s="35" t="str">
        <f>IFERROR(VLOOKUP(E252,装备!$B:$E,3,FALSE),"")</f>
        <v/>
      </c>
      <c r="T252" s="35" t="str">
        <f>IFERROR(VLOOKUP(F252,装备!$B:$E,3,FALSE),"")</f>
        <v/>
      </c>
      <c r="U252" s="35" t="str">
        <f>IFERROR(VLOOKUP(G252,装备!$B:$E,3,FALSE),"")</f>
        <v/>
      </c>
      <c r="V252" s="35" t="str">
        <f>IFERROR(VLOOKUP(H252,装备!$B:$E,3,FALSE),"")</f>
        <v/>
      </c>
      <c r="W252" s="30" t="str">
        <f t="shared" si="80"/>
        <v/>
      </c>
      <c r="X252" s="30" t="str">
        <f t="shared" si="81"/>
        <v/>
      </c>
      <c r="Y252" s="30" t="str">
        <f t="shared" si="82"/>
        <v/>
      </c>
      <c r="Z252" s="30" t="str">
        <f t="shared" si="83"/>
        <v/>
      </c>
      <c r="AA252" s="30" t="str">
        <f t="shared" si="84"/>
        <v/>
      </c>
      <c r="AB252" s="30" t="str">
        <f t="shared" si="85"/>
        <v>|n=0</v>
      </c>
    </row>
    <row r="253" spans="1:28">
      <c r="A253" s="31">
        <f>装备!A254</f>
        <v>0</v>
      </c>
      <c r="B253" s="31" t="str">
        <f>"'"&amp;装备!B254&amp;"'"</f>
        <v>''</v>
      </c>
      <c r="C253" s="31">
        <f>装备!J254</f>
        <v>0</v>
      </c>
      <c r="D253" s="31">
        <f>装备!K254</f>
        <v>0</v>
      </c>
      <c r="E253" s="31">
        <f>装备!L254</f>
        <v>0</v>
      </c>
      <c r="F253" s="31">
        <f>装备!M254</f>
        <v>0</v>
      </c>
      <c r="G253" s="31">
        <f>装备!N254</f>
        <v>0</v>
      </c>
      <c r="H253" s="31">
        <f>装备!O254</f>
        <v>0</v>
      </c>
      <c r="I253" s="31">
        <f>IF(装备!J254=0,0,"'"&amp;装备!J254&amp;"'")</f>
        <v>0</v>
      </c>
      <c r="J253" s="31">
        <f>IF(装备!K254=0,0,"'"&amp;装备!K254&amp;"'")</f>
        <v>0</v>
      </c>
      <c r="K253" s="31">
        <f>IF(装备!L254=0,0,"'"&amp;装备!L254&amp;"'")</f>
        <v>0</v>
      </c>
      <c r="L253" s="31">
        <f>IF(装备!M254=0,0,"'"&amp;装备!M254&amp;"'")</f>
        <v>0</v>
      </c>
      <c r="M253" s="31">
        <f>IF(装备!N254=0,0,"'"&amp;装备!N254&amp;"'")</f>
        <v>0</v>
      </c>
      <c r="N253" s="31">
        <f>IF(装备!O254=0,0,"'"&amp;装备!O254&amp;"'")</f>
        <v>0</v>
      </c>
      <c r="O253" s="31" t="str">
        <f t="shared" si="79"/>
        <v/>
      </c>
      <c r="P253" s="31" t="str">
        <f t="shared" si="86"/>
        <v/>
      </c>
      <c r="Q253" s="35" t="str">
        <f>IFERROR(VLOOKUP(C253,装备!$B:$E,3,FALSE),"")</f>
        <v/>
      </c>
      <c r="R253" s="35" t="str">
        <f>IFERROR(VLOOKUP(D253,装备!$B:$E,3,FALSE),"")</f>
        <v/>
      </c>
      <c r="S253" s="35" t="str">
        <f>IFERROR(VLOOKUP(E253,装备!$B:$E,3,FALSE),"")</f>
        <v/>
      </c>
      <c r="T253" s="35" t="str">
        <f>IFERROR(VLOOKUP(F253,装备!$B:$E,3,FALSE),"")</f>
        <v/>
      </c>
      <c r="U253" s="35" t="str">
        <f>IFERROR(VLOOKUP(G253,装备!$B:$E,3,FALSE),"")</f>
        <v/>
      </c>
      <c r="V253" s="35" t="str">
        <f>IFERROR(VLOOKUP(H253,装备!$B:$E,3,FALSE),"")</f>
        <v/>
      </c>
      <c r="W253" s="30" t="str">
        <f t="shared" si="80"/>
        <v/>
      </c>
      <c r="X253" s="30" t="str">
        <f t="shared" si="81"/>
        <v/>
      </c>
      <c r="Y253" s="30" t="str">
        <f t="shared" si="82"/>
        <v/>
      </c>
      <c r="Z253" s="30" t="str">
        <f t="shared" si="83"/>
        <v/>
      </c>
      <c r="AA253" s="30" t="str">
        <f t="shared" si="84"/>
        <v/>
      </c>
      <c r="AB253" s="30" t="str">
        <f t="shared" si="85"/>
        <v>|n=0</v>
      </c>
    </row>
    <row r="254" spans="1:28">
      <c r="A254" s="31">
        <f>装备!A255</f>
        <v>0</v>
      </c>
      <c r="B254" s="31" t="str">
        <f>"'"&amp;装备!B255&amp;"'"</f>
        <v>''</v>
      </c>
      <c r="C254" s="31">
        <f>装备!J255</f>
        <v>0</v>
      </c>
      <c r="D254" s="31">
        <f>装备!K255</f>
        <v>0</v>
      </c>
      <c r="E254" s="31">
        <f>装备!L255</f>
        <v>0</v>
      </c>
      <c r="F254" s="31">
        <f>装备!M255</f>
        <v>0</v>
      </c>
      <c r="G254" s="31">
        <f>装备!N255</f>
        <v>0</v>
      </c>
      <c r="H254" s="31">
        <f>装备!O255</f>
        <v>0</v>
      </c>
      <c r="I254" s="31">
        <f>IF(装备!J255=0,0,"'"&amp;装备!J255&amp;"'")</f>
        <v>0</v>
      </c>
      <c r="J254" s="31">
        <f>IF(装备!K255=0,0,"'"&amp;装备!K255&amp;"'")</f>
        <v>0</v>
      </c>
      <c r="K254" s="31">
        <f>IF(装备!L255=0,0,"'"&amp;装备!L255&amp;"'")</f>
        <v>0</v>
      </c>
      <c r="L254" s="31">
        <f>IF(装备!M255=0,0,"'"&amp;装备!M255&amp;"'")</f>
        <v>0</v>
      </c>
      <c r="M254" s="31">
        <f>IF(装备!N255=0,0,"'"&amp;装备!N255&amp;"'")</f>
        <v>0</v>
      </c>
      <c r="N254" s="31">
        <f>IF(装备!O255=0,0,"'"&amp;装备!O255&amp;"'")</f>
        <v>0</v>
      </c>
      <c r="O254" s="31" t="str">
        <f t="shared" si="79"/>
        <v/>
      </c>
      <c r="P254" s="31" t="str">
        <f t="shared" si="86"/>
        <v/>
      </c>
      <c r="Q254" s="35" t="str">
        <f>IFERROR(VLOOKUP(C254,装备!$B:$E,3,FALSE),"")</f>
        <v/>
      </c>
      <c r="R254" s="35" t="str">
        <f>IFERROR(VLOOKUP(D254,装备!$B:$E,3,FALSE),"")</f>
        <v/>
      </c>
      <c r="S254" s="35" t="str">
        <f>IFERROR(VLOOKUP(E254,装备!$B:$E,3,FALSE),"")</f>
        <v/>
      </c>
      <c r="T254" s="35" t="str">
        <f>IFERROR(VLOOKUP(F254,装备!$B:$E,3,FALSE),"")</f>
        <v/>
      </c>
      <c r="U254" s="35" t="str">
        <f>IFERROR(VLOOKUP(G254,装备!$B:$E,3,FALSE),"")</f>
        <v/>
      </c>
      <c r="V254" s="35" t="str">
        <f>IFERROR(VLOOKUP(H254,装备!$B:$E,3,FALSE),"")</f>
        <v/>
      </c>
      <c r="W254" s="30" t="str">
        <f t="shared" si="80"/>
        <v/>
      </c>
      <c r="X254" s="30" t="str">
        <f t="shared" si="81"/>
        <v/>
      </c>
      <c r="Y254" s="30" t="str">
        <f t="shared" si="82"/>
        <v/>
      </c>
      <c r="Z254" s="30" t="str">
        <f t="shared" si="83"/>
        <v/>
      </c>
      <c r="AA254" s="30" t="str">
        <f t="shared" si="84"/>
        <v/>
      </c>
      <c r="AB254" s="30" t="str">
        <f t="shared" si="85"/>
        <v>|n=0</v>
      </c>
    </row>
    <row r="255" spans="1:28">
      <c r="A255" s="31">
        <f>装备!A256</f>
        <v>0</v>
      </c>
      <c r="B255" s="31" t="str">
        <f>"'"&amp;装备!B256&amp;"'"</f>
        <v>''</v>
      </c>
      <c r="C255" s="31">
        <f>装备!J256</f>
        <v>0</v>
      </c>
      <c r="D255" s="31">
        <f>装备!K256</f>
        <v>0</v>
      </c>
      <c r="E255" s="31">
        <f>装备!L256</f>
        <v>0</v>
      </c>
      <c r="F255" s="31">
        <f>装备!M256</f>
        <v>0</v>
      </c>
      <c r="G255" s="31">
        <f>装备!N256</f>
        <v>0</v>
      </c>
      <c r="H255" s="31">
        <f>装备!O256</f>
        <v>0</v>
      </c>
      <c r="I255" s="31">
        <f>IF(装备!J256=0,0,"'"&amp;装备!J256&amp;"'")</f>
        <v>0</v>
      </c>
      <c r="J255" s="31">
        <f>IF(装备!K256=0,0,"'"&amp;装备!K256&amp;"'")</f>
        <v>0</v>
      </c>
      <c r="K255" s="31">
        <f>IF(装备!L256=0,0,"'"&amp;装备!L256&amp;"'")</f>
        <v>0</v>
      </c>
      <c r="L255" s="31">
        <f>IF(装备!M256=0,0,"'"&amp;装备!M256&amp;"'")</f>
        <v>0</v>
      </c>
      <c r="M255" s="31">
        <f>IF(装备!N256=0,0,"'"&amp;装备!N256&amp;"'")</f>
        <v>0</v>
      </c>
      <c r="N255" s="31">
        <f>IF(装备!O256=0,0,"'"&amp;装备!O256&amp;"'")</f>
        <v>0</v>
      </c>
      <c r="O255" s="31" t="str">
        <f t="shared" si="79"/>
        <v/>
      </c>
      <c r="P255" s="31" t="str">
        <f t="shared" si="86"/>
        <v/>
      </c>
      <c r="Q255" s="35" t="str">
        <f>IFERROR(VLOOKUP(C255,装备!$B:$E,3,FALSE),"")</f>
        <v/>
      </c>
      <c r="R255" s="35" t="str">
        <f>IFERROR(VLOOKUP(D255,装备!$B:$E,3,FALSE),"")</f>
        <v/>
      </c>
      <c r="S255" s="35" t="str">
        <f>IFERROR(VLOOKUP(E255,装备!$B:$E,3,FALSE),"")</f>
        <v/>
      </c>
      <c r="T255" s="35" t="str">
        <f>IFERROR(VLOOKUP(F255,装备!$B:$E,3,FALSE),"")</f>
        <v/>
      </c>
      <c r="U255" s="35" t="str">
        <f>IFERROR(VLOOKUP(G255,装备!$B:$E,3,FALSE),"")</f>
        <v/>
      </c>
      <c r="V255" s="35" t="str">
        <f>IFERROR(VLOOKUP(H255,装备!$B:$E,3,FALSE),"")</f>
        <v/>
      </c>
      <c r="W255" s="30" t="str">
        <f t="shared" si="80"/>
        <v/>
      </c>
      <c r="X255" s="30" t="str">
        <f t="shared" si="81"/>
        <v/>
      </c>
      <c r="Y255" s="30" t="str">
        <f t="shared" si="82"/>
        <v/>
      </c>
      <c r="Z255" s="30" t="str">
        <f t="shared" si="83"/>
        <v/>
      </c>
      <c r="AA255" s="30" t="str">
        <f t="shared" si="84"/>
        <v/>
      </c>
      <c r="AB255" s="30" t="str">
        <f t="shared" si="85"/>
        <v>|n=0</v>
      </c>
    </row>
    <row r="256" spans="1:28">
      <c r="A256" s="31">
        <f>装备!A257</f>
        <v>0</v>
      </c>
      <c r="B256" s="31" t="str">
        <f>"'"&amp;装备!B257&amp;"'"</f>
        <v>''</v>
      </c>
      <c r="C256" s="31">
        <f>装备!J257</f>
        <v>0</v>
      </c>
      <c r="D256" s="31">
        <f>装备!K257</f>
        <v>0</v>
      </c>
      <c r="E256" s="31">
        <f>装备!L257</f>
        <v>0</v>
      </c>
      <c r="F256" s="31">
        <f>装备!M257</f>
        <v>0</v>
      </c>
      <c r="G256" s="31">
        <f>装备!N257</f>
        <v>0</v>
      </c>
      <c r="H256" s="31">
        <f>装备!O257</f>
        <v>0</v>
      </c>
      <c r="I256" s="31">
        <f>IF(装备!J257=0,0,"'"&amp;装备!J257&amp;"'")</f>
        <v>0</v>
      </c>
      <c r="J256" s="31">
        <f>IF(装备!K257=0,0,"'"&amp;装备!K257&amp;"'")</f>
        <v>0</v>
      </c>
      <c r="K256" s="31">
        <f>IF(装备!L257=0,0,"'"&amp;装备!L257&amp;"'")</f>
        <v>0</v>
      </c>
      <c r="L256" s="31">
        <f>IF(装备!M257=0,0,"'"&amp;装备!M257&amp;"'")</f>
        <v>0</v>
      </c>
      <c r="M256" s="31">
        <f>IF(装备!N257=0,0,"'"&amp;装备!N257&amp;"'")</f>
        <v>0</v>
      </c>
      <c r="N256" s="31">
        <f>IF(装备!O257=0,0,"'"&amp;装备!O257&amp;"'")</f>
        <v>0</v>
      </c>
      <c r="O256" s="31" t="str">
        <f t="shared" si="79"/>
        <v/>
      </c>
      <c r="P256" s="31" t="str">
        <f t="shared" si="86"/>
        <v/>
      </c>
      <c r="Q256" s="35" t="str">
        <f>IFERROR(VLOOKUP(C256,装备!$B:$E,3,FALSE),"")</f>
        <v/>
      </c>
      <c r="R256" s="35" t="str">
        <f>IFERROR(VLOOKUP(D256,装备!$B:$E,3,FALSE),"")</f>
        <v/>
      </c>
      <c r="S256" s="35" t="str">
        <f>IFERROR(VLOOKUP(E256,装备!$B:$E,3,FALSE),"")</f>
        <v/>
      </c>
      <c r="T256" s="35" t="str">
        <f>IFERROR(VLOOKUP(F256,装备!$B:$E,3,FALSE),"")</f>
        <v/>
      </c>
      <c r="U256" s="35" t="str">
        <f>IFERROR(VLOOKUP(G256,装备!$B:$E,3,FALSE),"")</f>
        <v/>
      </c>
      <c r="V256" s="35" t="str">
        <f>IFERROR(VLOOKUP(H256,装备!$B:$E,3,FALSE),"")</f>
        <v/>
      </c>
      <c r="W256" s="30" t="str">
        <f t="shared" si="80"/>
        <v/>
      </c>
      <c r="X256" s="30" t="str">
        <f t="shared" si="81"/>
        <v/>
      </c>
      <c r="Y256" s="30" t="str">
        <f t="shared" si="82"/>
        <v/>
      </c>
      <c r="Z256" s="30" t="str">
        <f t="shared" si="83"/>
        <v/>
      </c>
      <c r="AA256" s="30" t="str">
        <f t="shared" si="84"/>
        <v/>
      </c>
      <c r="AB256" s="30" t="str">
        <f t="shared" si="85"/>
        <v>|n=0</v>
      </c>
    </row>
    <row r="257" spans="1:28">
      <c r="A257" s="31">
        <f>装备!A258</f>
        <v>0</v>
      </c>
      <c r="B257" s="31" t="str">
        <f>"'"&amp;装备!B258&amp;"'"</f>
        <v>''</v>
      </c>
      <c r="C257" s="31">
        <f>装备!J258</f>
        <v>0</v>
      </c>
      <c r="D257" s="31">
        <f>装备!K258</f>
        <v>0</v>
      </c>
      <c r="E257" s="31">
        <f>装备!L258</f>
        <v>0</v>
      </c>
      <c r="F257" s="31">
        <f>装备!M258</f>
        <v>0</v>
      </c>
      <c r="G257" s="31">
        <f>装备!N258</f>
        <v>0</v>
      </c>
      <c r="H257" s="31">
        <f>装备!O258</f>
        <v>0</v>
      </c>
      <c r="I257" s="31">
        <f>IF(装备!J258=0,0,"'"&amp;装备!J258&amp;"'")</f>
        <v>0</v>
      </c>
      <c r="J257" s="31">
        <f>IF(装备!K258=0,0,"'"&amp;装备!K258&amp;"'")</f>
        <v>0</v>
      </c>
      <c r="K257" s="31">
        <f>IF(装备!L258=0,0,"'"&amp;装备!L258&amp;"'")</f>
        <v>0</v>
      </c>
      <c r="L257" s="31">
        <f>IF(装备!M258=0,0,"'"&amp;装备!M258&amp;"'")</f>
        <v>0</v>
      </c>
      <c r="M257" s="31">
        <f>IF(装备!N258=0,0,"'"&amp;装备!N258&amp;"'")</f>
        <v>0</v>
      </c>
      <c r="N257" s="31">
        <f>IF(装备!O258=0,0,"'"&amp;装备!O258&amp;"'")</f>
        <v>0</v>
      </c>
      <c r="O257" s="31" t="str">
        <f t="shared" si="79"/>
        <v/>
      </c>
      <c r="P257" s="31" t="str">
        <f t="shared" si="86"/>
        <v/>
      </c>
      <c r="Q257" s="35" t="str">
        <f>IFERROR(VLOOKUP(C257,装备!$B:$E,3,FALSE),"")</f>
        <v/>
      </c>
      <c r="R257" s="35" t="str">
        <f>IFERROR(VLOOKUP(D257,装备!$B:$E,3,FALSE),"")</f>
        <v/>
      </c>
      <c r="S257" s="35" t="str">
        <f>IFERROR(VLOOKUP(E257,装备!$B:$E,3,FALSE),"")</f>
        <v/>
      </c>
      <c r="T257" s="35" t="str">
        <f>IFERROR(VLOOKUP(F257,装备!$B:$E,3,FALSE),"")</f>
        <v/>
      </c>
      <c r="U257" s="35" t="str">
        <f>IFERROR(VLOOKUP(G257,装备!$B:$E,3,FALSE),"")</f>
        <v/>
      </c>
      <c r="V257" s="35" t="str">
        <f>IFERROR(VLOOKUP(H257,装备!$B:$E,3,FALSE),"")</f>
        <v/>
      </c>
      <c r="W257" s="30" t="str">
        <f t="shared" si="80"/>
        <v/>
      </c>
      <c r="X257" s="30" t="str">
        <f t="shared" si="81"/>
        <v/>
      </c>
      <c r="Y257" s="30" t="str">
        <f t="shared" si="82"/>
        <v/>
      </c>
      <c r="Z257" s="30" t="str">
        <f t="shared" si="83"/>
        <v/>
      </c>
      <c r="AA257" s="30" t="str">
        <f t="shared" si="84"/>
        <v/>
      </c>
      <c r="AB257" s="30" t="str">
        <f t="shared" si="85"/>
        <v>|n=0</v>
      </c>
    </row>
    <row r="258" spans="1:28">
      <c r="A258" s="31">
        <f>装备!A259</f>
        <v>0</v>
      </c>
      <c r="B258" s="31" t="str">
        <f>"'"&amp;装备!B259&amp;"'"</f>
        <v>''</v>
      </c>
      <c r="C258" s="31">
        <f>装备!J259</f>
        <v>0</v>
      </c>
      <c r="D258" s="31">
        <f>装备!K259</f>
        <v>0</v>
      </c>
      <c r="E258" s="31">
        <f>装备!L259</f>
        <v>0</v>
      </c>
      <c r="F258" s="31">
        <f>装备!M259</f>
        <v>0</v>
      </c>
      <c r="G258" s="31">
        <f>装备!N259</f>
        <v>0</v>
      </c>
      <c r="H258" s="31">
        <f>装备!O259</f>
        <v>0</v>
      </c>
      <c r="I258" s="31">
        <f>IF(装备!J259=0,0,"'"&amp;装备!J259&amp;"'")</f>
        <v>0</v>
      </c>
      <c r="J258" s="31">
        <f>IF(装备!K259=0,0,"'"&amp;装备!K259&amp;"'")</f>
        <v>0</v>
      </c>
      <c r="K258" s="31">
        <f>IF(装备!L259=0,0,"'"&amp;装备!L259&amp;"'")</f>
        <v>0</v>
      </c>
      <c r="L258" s="31">
        <f>IF(装备!M259=0,0,"'"&amp;装备!M259&amp;"'")</f>
        <v>0</v>
      </c>
      <c r="M258" s="31">
        <f>IF(装备!N259=0,0,"'"&amp;装备!N259&amp;"'")</f>
        <v>0</v>
      </c>
      <c r="N258" s="31">
        <f>IF(装备!O259=0,0,"'"&amp;装备!O259&amp;"'")</f>
        <v>0</v>
      </c>
      <c r="O258" s="31" t="str">
        <f t="shared" si="79"/>
        <v/>
      </c>
      <c r="P258" s="31" t="str">
        <f t="shared" si="86"/>
        <v/>
      </c>
      <c r="Q258" s="35" t="str">
        <f>IFERROR(VLOOKUP(C258,装备!$B:$E,3,FALSE),"")</f>
        <v/>
      </c>
      <c r="R258" s="35" t="str">
        <f>IFERROR(VLOOKUP(D258,装备!$B:$E,3,FALSE),"")</f>
        <v/>
      </c>
      <c r="S258" s="35" t="str">
        <f>IFERROR(VLOOKUP(E258,装备!$B:$E,3,FALSE),"")</f>
        <v/>
      </c>
      <c r="T258" s="35" t="str">
        <f>IFERROR(VLOOKUP(F258,装备!$B:$E,3,FALSE),"")</f>
        <v/>
      </c>
      <c r="U258" s="35" t="str">
        <f>IFERROR(VLOOKUP(G258,装备!$B:$E,3,FALSE),"")</f>
        <v/>
      </c>
      <c r="V258" s="35" t="str">
        <f>IFERROR(VLOOKUP(H258,装备!$B:$E,3,FALSE),"")</f>
        <v/>
      </c>
      <c r="W258" s="30" t="str">
        <f t="shared" si="80"/>
        <v/>
      </c>
      <c r="X258" s="30" t="str">
        <f t="shared" si="81"/>
        <v/>
      </c>
      <c r="Y258" s="30" t="str">
        <f t="shared" si="82"/>
        <v/>
      </c>
      <c r="Z258" s="30" t="str">
        <f t="shared" si="83"/>
        <v/>
      </c>
      <c r="AA258" s="30" t="str">
        <f t="shared" si="84"/>
        <v/>
      </c>
      <c r="AB258" s="30" t="str">
        <f t="shared" si="85"/>
        <v>|n=0</v>
      </c>
    </row>
    <row r="259" spans="1:28">
      <c r="A259" s="31">
        <f>装备!A260</f>
        <v>0</v>
      </c>
      <c r="B259" s="31" t="str">
        <f>"'"&amp;装备!B260&amp;"'"</f>
        <v>''</v>
      </c>
      <c r="C259" s="31">
        <f>装备!J260</f>
        <v>0</v>
      </c>
      <c r="D259" s="31">
        <f>装备!K260</f>
        <v>0</v>
      </c>
      <c r="E259" s="31">
        <f>装备!L260</f>
        <v>0</v>
      </c>
      <c r="F259" s="31">
        <f>装备!M260</f>
        <v>0</v>
      </c>
      <c r="G259" s="31">
        <f>装备!N260</f>
        <v>0</v>
      </c>
      <c r="H259" s="31">
        <f>装备!O260</f>
        <v>0</v>
      </c>
      <c r="I259" s="31">
        <f>IF(装备!J260=0,0,"'"&amp;装备!J260&amp;"'")</f>
        <v>0</v>
      </c>
      <c r="J259" s="31">
        <f>IF(装备!K260=0,0,"'"&amp;装备!K260&amp;"'")</f>
        <v>0</v>
      </c>
      <c r="K259" s="31">
        <f>IF(装备!L260=0,0,"'"&amp;装备!L260&amp;"'")</f>
        <v>0</v>
      </c>
      <c r="L259" s="31">
        <f>IF(装备!M260=0,0,"'"&amp;装备!M260&amp;"'")</f>
        <v>0</v>
      </c>
      <c r="M259" s="31">
        <f>IF(装备!N260=0,0,"'"&amp;装备!N260&amp;"'")</f>
        <v>0</v>
      </c>
      <c r="N259" s="31">
        <f>IF(装备!O260=0,0,"'"&amp;装备!O260&amp;"'")</f>
        <v>0</v>
      </c>
      <c r="O259" s="31" t="str">
        <f t="shared" si="79"/>
        <v/>
      </c>
      <c r="P259" s="31" t="str">
        <f t="shared" si="86"/>
        <v/>
      </c>
      <c r="Q259" s="35" t="str">
        <f>IFERROR(VLOOKUP(C259,装备!$B:$E,3,FALSE),"")</f>
        <v/>
      </c>
      <c r="R259" s="35" t="str">
        <f>IFERROR(VLOOKUP(D259,装备!$B:$E,3,FALSE),"")</f>
        <v/>
      </c>
      <c r="S259" s="35" t="str">
        <f>IFERROR(VLOOKUP(E259,装备!$B:$E,3,FALSE),"")</f>
        <v/>
      </c>
      <c r="T259" s="35" t="str">
        <f>IFERROR(VLOOKUP(F259,装备!$B:$E,3,FALSE),"")</f>
        <v/>
      </c>
      <c r="U259" s="35" t="str">
        <f>IFERROR(VLOOKUP(G259,装备!$B:$E,3,FALSE),"")</f>
        <v/>
      </c>
      <c r="V259" s="35" t="str">
        <f>IFERROR(VLOOKUP(H259,装备!$B:$E,3,FALSE),"")</f>
        <v/>
      </c>
      <c r="W259" s="30" t="str">
        <f t="shared" ref="W259:AA263" si="87">IF(R259="","","+"&amp;R259)</f>
        <v/>
      </c>
      <c r="X259" s="30" t="str">
        <f t="shared" si="87"/>
        <v/>
      </c>
      <c r="Y259" s="30" t="str">
        <f t="shared" si="87"/>
        <v/>
      </c>
      <c r="Z259" s="30" t="str">
        <f t="shared" si="87"/>
        <v/>
      </c>
      <c r="AA259" s="30" t="str">
        <f t="shared" si="87"/>
        <v/>
      </c>
      <c r="AB259" s="30" t="str">
        <f t="shared" si="85"/>
        <v>|n=0</v>
      </c>
    </row>
    <row r="260" spans="1:28">
      <c r="A260" s="31">
        <f>装备!A261</f>
        <v>0</v>
      </c>
      <c r="B260" s="31" t="str">
        <f>"'"&amp;装备!B261&amp;"'"</f>
        <v>''</v>
      </c>
      <c r="C260" s="31">
        <f>装备!J261</f>
        <v>0</v>
      </c>
      <c r="D260" s="31">
        <f>装备!K261</f>
        <v>0</v>
      </c>
      <c r="E260" s="31">
        <f>装备!L261</f>
        <v>0</v>
      </c>
      <c r="F260" s="31">
        <f>装备!M261</f>
        <v>0</v>
      </c>
      <c r="G260" s="31">
        <f>装备!N261</f>
        <v>0</v>
      </c>
      <c r="H260" s="31">
        <f>装备!O261</f>
        <v>0</v>
      </c>
      <c r="I260" s="31">
        <f>IF(装备!J261=0,0,"'"&amp;装备!J261&amp;"'")</f>
        <v>0</v>
      </c>
      <c r="J260" s="31">
        <f>IF(装备!K261=0,0,"'"&amp;装备!K261&amp;"'")</f>
        <v>0</v>
      </c>
      <c r="K260" s="31">
        <f>IF(装备!L261=0,0,"'"&amp;装备!L261&amp;"'")</f>
        <v>0</v>
      </c>
      <c r="L260" s="31">
        <f>IF(装备!M261=0,0,"'"&amp;装备!M261&amp;"'")</f>
        <v>0</v>
      </c>
      <c r="M260" s="31">
        <f>IF(装备!N261=0,0,"'"&amp;装备!N261&amp;"'")</f>
        <v>0</v>
      </c>
      <c r="N260" s="31">
        <f>IF(装备!O261=0,0,"'"&amp;装备!O261&amp;"'")</f>
        <v>0</v>
      </c>
      <c r="O260" s="31" t="str">
        <f t="shared" si="79"/>
        <v/>
      </c>
      <c r="P260" s="31" t="str">
        <f t="shared" si="86"/>
        <v/>
      </c>
      <c r="Q260" s="35" t="str">
        <f>IFERROR(VLOOKUP(C260,装备!$B:$E,3,FALSE),"")</f>
        <v/>
      </c>
      <c r="R260" s="35" t="str">
        <f>IFERROR(VLOOKUP(D260,装备!$B:$E,3,FALSE),"")</f>
        <v/>
      </c>
      <c r="S260" s="35" t="str">
        <f>IFERROR(VLOOKUP(E260,装备!$B:$E,3,FALSE),"")</f>
        <v/>
      </c>
      <c r="T260" s="35" t="str">
        <f>IFERROR(VLOOKUP(F260,装备!$B:$E,3,FALSE),"")</f>
        <v/>
      </c>
      <c r="U260" s="35" t="str">
        <f>IFERROR(VLOOKUP(G260,装备!$B:$E,3,FALSE),"")</f>
        <v/>
      </c>
      <c r="V260" s="35" t="str">
        <f>IFERROR(VLOOKUP(H260,装备!$B:$E,3,FALSE),"")</f>
        <v/>
      </c>
      <c r="W260" s="30" t="str">
        <f t="shared" si="87"/>
        <v/>
      </c>
      <c r="X260" s="30" t="str">
        <f t="shared" si="87"/>
        <v/>
      </c>
      <c r="Y260" s="30" t="str">
        <f t="shared" si="87"/>
        <v/>
      </c>
      <c r="Z260" s="30" t="str">
        <f t="shared" si="87"/>
        <v/>
      </c>
      <c r="AA260" s="30" t="str">
        <f t="shared" si="87"/>
        <v/>
      </c>
      <c r="AB260" s="30" t="str">
        <f t="shared" si="85"/>
        <v>|n=0</v>
      </c>
    </row>
    <row r="261" spans="1:28">
      <c r="A261" s="31">
        <f>装备!A262</f>
        <v>0</v>
      </c>
      <c r="B261" s="31" t="str">
        <f>"'"&amp;装备!B262&amp;"'"</f>
        <v>''</v>
      </c>
      <c r="C261" s="31">
        <f>装备!J262</f>
        <v>0</v>
      </c>
      <c r="D261" s="31">
        <f>装备!K262</f>
        <v>0</v>
      </c>
      <c r="E261" s="31">
        <f>装备!L262</f>
        <v>0</v>
      </c>
      <c r="F261" s="31">
        <f>装备!M262</f>
        <v>0</v>
      </c>
      <c r="G261" s="31">
        <f>装备!N262</f>
        <v>0</v>
      </c>
      <c r="H261" s="31">
        <f>装备!O262</f>
        <v>0</v>
      </c>
      <c r="I261" s="31">
        <f>IF(装备!J262=0,0,"'"&amp;装备!J262&amp;"'")</f>
        <v>0</v>
      </c>
      <c r="J261" s="31">
        <f>IF(装备!K262=0,0,"'"&amp;装备!K262&amp;"'")</f>
        <v>0</v>
      </c>
      <c r="K261" s="31">
        <f>IF(装备!L262=0,0,"'"&amp;装备!L262&amp;"'")</f>
        <v>0</v>
      </c>
      <c r="L261" s="31">
        <f>IF(装备!M262=0,0,"'"&amp;装备!M262&amp;"'")</f>
        <v>0</v>
      </c>
      <c r="M261" s="31">
        <f>IF(装备!N262=0,0,"'"&amp;装备!N262&amp;"'")</f>
        <v>0</v>
      </c>
      <c r="N261" s="31">
        <f>IF(装备!O262=0,0,"'"&amp;装备!O262&amp;"'")</f>
        <v>0</v>
      </c>
      <c r="O261" s="31" t="str">
        <f t="shared" si="79"/>
        <v/>
      </c>
      <c r="P261" s="31" t="str">
        <f t="shared" si="86"/>
        <v/>
      </c>
      <c r="Q261" s="35" t="str">
        <f>IFERROR(VLOOKUP(C261,装备!$B:$E,3,FALSE),"")</f>
        <v/>
      </c>
      <c r="R261" s="35" t="str">
        <f>IFERROR(VLOOKUP(D261,装备!$B:$E,3,FALSE),"")</f>
        <v/>
      </c>
      <c r="S261" s="35" t="str">
        <f>IFERROR(VLOOKUP(E261,装备!$B:$E,3,FALSE),"")</f>
        <v/>
      </c>
      <c r="T261" s="35" t="str">
        <f>IFERROR(VLOOKUP(F261,装备!$B:$E,3,FALSE),"")</f>
        <v/>
      </c>
      <c r="U261" s="35" t="str">
        <f>IFERROR(VLOOKUP(G261,装备!$B:$E,3,FALSE),"")</f>
        <v/>
      </c>
      <c r="V261" s="35" t="str">
        <f>IFERROR(VLOOKUP(H261,装备!$B:$E,3,FALSE),"")</f>
        <v/>
      </c>
      <c r="W261" s="30" t="str">
        <f t="shared" si="87"/>
        <v/>
      </c>
      <c r="X261" s="30" t="str">
        <f t="shared" si="87"/>
        <v/>
      </c>
      <c r="Y261" s="30" t="str">
        <f t="shared" si="87"/>
        <v/>
      </c>
      <c r="Z261" s="30" t="str">
        <f t="shared" si="87"/>
        <v/>
      </c>
      <c r="AA261" s="30" t="str">
        <f t="shared" si="87"/>
        <v/>
      </c>
      <c r="AB261" s="30" t="str">
        <f t="shared" si="85"/>
        <v>|n=0</v>
      </c>
    </row>
    <row r="262" spans="1:28">
      <c r="A262" s="31">
        <f>装备!A263</f>
        <v>0</v>
      </c>
      <c r="B262" s="31" t="str">
        <f>"'"&amp;装备!B263&amp;"'"</f>
        <v>''</v>
      </c>
      <c r="C262" s="31">
        <f>装备!J263</f>
        <v>0</v>
      </c>
      <c r="D262" s="31">
        <f>装备!K263</f>
        <v>0</v>
      </c>
      <c r="E262" s="31">
        <f>装备!L263</f>
        <v>0</v>
      </c>
      <c r="F262" s="31">
        <f>装备!M263</f>
        <v>0</v>
      </c>
      <c r="G262" s="31">
        <f>装备!N263</f>
        <v>0</v>
      </c>
      <c r="H262" s="31">
        <f>装备!O263</f>
        <v>0</v>
      </c>
      <c r="I262" s="31">
        <f>IF(装备!J263=0,0,"'"&amp;装备!J263&amp;"'")</f>
        <v>0</v>
      </c>
      <c r="J262" s="31">
        <f>IF(装备!K263=0,0,"'"&amp;装备!K263&amp;"'")</f>
        <v>0</v>
      </c>
      <c r="K262" s="31">
        <f>IF(装备!L263=0,0,"'"&amp;装备!L263&amp;"'")</f>
        <v>0</v>
      </c>
      <c r="L262" s="31">
        <f>IF(装备!M263=0,0,"'"&amp;装备!M263&amp;"'")</f>
        <v>0</v>
      </c>
      <c r="M262" s="31">
        <f>IF(装备!N263=0,0,"'"&amp;装备!N263&amp;"'")</f>
        <v>0</v>
      </c>
      <c r="N262" s="31">
        <f>IF(装备!O263=0,0,"'"&amp;装备!O263&amp;"'")</f>
        <v>0</v>
      </c>
      <c r="O262" s="31" t="str">
        <f t="shared" si="79"/>
        <v/>
      </c>
      <c r="P262" s="31" t="str">
        <f t="shared" si="86"/>
        <v/>
      </c>
      <c r="Q262" s="35" t="str">
        <f>IFERROR(VLOOKUP(C262,装备!$B:$E,3,FALSE),"")</f>
        <v/>
      </c>
      <c r="R262" s="35" t="str">
        <f>IFERROR(VLOOKUP(D262,装备!$B:$E,3,FALSE),"")</f>
        <v/>
      </c>
      <c r="S262" s="35" t="str">
        <f>IFERROR(VLOOKUP(E262,装备!$B:$E,3,FALSE),"")</f>
        <v/>
      </c>
      <c r="T262" s="35" t="str">
        <f>IFERROR(VLOOKUP(F262,装备!$B:$E,3,FALSE),"")</f>
        <v/>
      </c>
      <c r="U262" s="35" t="str">
        <f>IFERROR(VLOOKUP(G262,装备!$B:$E,3,FALSE),"")</f>
        <v/>
      </c>
      <c r="V262" s="35" t="str">
        <f>IFERROR(VLOOKUP(H262,装备!$B:$E,3,FALSE),"")</f>
        <v/>
      </c>
      <c r="W262" s="30" t="str">
        <f t="shared" si="87"/>
        <v/>
      </c>
      <c r="X262" s="30" t="str">
        <f t="shared" si="87"/>
        <v/>
      </c>
      <c r="Y262" s="30" t="str">
        <f t="shared" si="87"/>
        <v/>
      </c>
      <c r="Z262" s="30" t="str">
        <f t="shared" si="87"/>
        <v/>
      </c>
      <c r="AA262" s="30" t="str">
        <f t="shared" si="87"/>
        <v/>
      </c>
      <c r="AB262" s="30" t="str">
        <f t="shared" si="85"/>
        <v>|n=0</v>
      </c>
    </row>
    <row r="263" spans="1:28">
      <c r="A263" s="31">
        <f>装备!A264</f>
        <v>0</v>
      </c>
      <c r="B263" s="31" t="str">
        <f>"'"&amp;装备!B264&amp;"'"</f>
        <v>''</v>
      </c>
      <c r="C263" s="31">
        <f>装备!J264</f>
        <v>0</v>
      </c>
      <c r="D263" s="31">
        <f>装备!K264</f>
        <v>0</v>
      </c>
      <c r="E263" s="31">
        <f>装备!L264</f>
        <v>0</v>
      </c>
      <c r="F263" s="31">
        <f>装备!M264</f>
        <v>0</v>
      </c>
      <c r="G263" s="31">
        <f>装备!N264</f>
        <v>0</v>
      </c>
      <c r="H263" s="31">
        <f>装备!O264</f>
        <v>0</v>
      </c>
      <c r="I263" s="31">
        <f>IF(装备!J264=0,0,"'"&amp;装备!J264&amp;"'")</f>
        <v>0</v>
      </c>
      <c r="J263" s="31">
        <f>IF(装备!K264=0,0,"'"&amp;装备!K264&amp;"'")</f>
        <v>0</v>
      </c>
      <c r="K263" s="31">
        <f>IF(装备!L264=0,0,"'"&amp;装备!L264&amp;"'")</f>
        <v>0</v>
      </c>
      <c r="L263" s="31">
        <f>IF(装备!M264=0,0,"'"&amp;装备!M264&amp;"'")</f>
        <v>0</v>
      </c>
      <c r="M263" s="31">
        <f>IF(装备!N264=0,0,"'"&amp;装备!N264&amp;"'")</f>
        <v>0</v>
      </c>
      <c r="N263" s="31">
        <f>IF(装备!O264=0,0,"'"&amp;装备!O264&amp;"'")</f>
        <v>0</v>
      </c>
      <c r="O263" s="31" t="str">
        <f t="shared" si="79"/>
        <v/>
      </c>
      <c r="P263" s="31" t="str">
        <f t="shared" si="86"/>
        <v/>
      </c>
      <c r="Q263" s="35" t="str">
        <f>IFERROR(VLOOKUP(C263,装备!$B:$E,3,FALSE),"")</f>
        <v/>
      </c>
      <c r="R263" s="35" t="str">
        <f>IFERROR(VLOOKUP(D263,装备!$B:$E,3,FALSE),"")</f>
        <v/>
      </c>
      <c r="S263" s="35" t="str">
        <f>IFERROR(VLOOKUP(E263,装备!$B:$E,3,FALSE),"")</f>
        <v/>
      </c>
      <c r="T263" s="35" t="str">
        <f>IFERROR(VLOOKUP(F263,装备!$B:$E,3,FALSE),"")</f>
        <v/>
      </c>
      <c r="U263" s="35" t="str">
        <f>IFERROR(VLOOKUP(G263,装备!$B:$E,3,FALSE),"")</f>
        <v/>
      </c>
      <c r="V263" s="35" t="str">
        <f>IFERROR(VLOOKUP(H263,装备!$B:$E,3,FALSE),"")</f>
        <v/>
      </c>
      <c r="W263" s="30" t="str">
        <f t="shared" si="87"/>
        <v/>
      </c>
      <c r="X263" s="30" t="str">
        <f t="shared" si="87"/>
        <v/>
      </c>
      <c r="Y263" s="30" t="str">
        <f t="shared" si="87"/>
        <v/>
      </c>
      <c r="Z263" s="30" t="str">
        <f t="shared" si="87"/>
        <v/>
      </c>
      <c r="AA263" s="30" t="str">
        <f t="shared" si="87"/>
        <v/>
      </c>
      <c r="AB263" s="30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58" workbookViewId="0">
      <selection activeCell="M3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13" t="s">
        <v>99</v>
      </c>
      <c r="B1" s="13" t="s">
        <v>100</v>
      </c>
      <c r="C1" s="13" t="s">
        <v>101</v>
      </c>
      <c r="D1" s="14" t="s">
        <v>102</v>
      </c>
      <c r="E1" s="14" t="s">
        <v>112</v>
      </c>
      <c r="F1" s="14" t="s">
        <v>104</v>
      </c>
      <c r="G1" s="14" t="s">
        <v>677</v>
      </c>
      <c r="H1" s="15" t="s">
        <v>678</v>
      </c>
      <c r="I1" s="19" t="s">
        <v>679</v>
      </c>
      <c r="J1" s="20" t="s">
        <v>675</v>
      </c>
      <c r="K1" s="21" t="s">
        <v>115</v>
      </c>
      <c r="L1" s="22" t="s">
        <v>116</v>
      </c>
      <c r="M1" s="23" t="s">
        <v>680</v>
      </c>
      <c r="N1" s="24" t="s">
        <v>681</v>
      </c>
    </row>
    <row r="2" spans="1:14">
      <c r="A2" s="16"/>
      <c r="B2" s="16"/>
      <c r="C2" s="16"/>
      <c r="D2" s="17"/>
      <c r="E2" s="17"/>
      <c r="F2" s="17"/>
      <c r="G2" s="17"/>
      <c r="H2" s="18"/>
      <c r="I2" s="18"/>
      <c r="J2" s="25"/>
      <c r="K2" s="26"/>
      <c r="L2" s="27"/>
      <c r="M2" s="28"/>
      <c r="N2" s="29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500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InitEquipData('E001',0,0,500,100,0,'E002',0,0)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InitTypeIdStrings('E002',"[武器]古纹剑lv2","ReplaceableTextures\\CommandButtons\\BTNZ01.blp","")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500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InitEquipData('E003',0,0,500,100,0,'E004',0,0)</v>
      </c>
      <c r="N5" t="str">
        <f t="shared" si="1"/>
        <v>call InitTypeIdStrings('E003',"[武器]古纹剑lv3","ReplaceableTextures\\CommandButtons\\BTNZ01.blp","")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500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InitEquipData('E004',0,0,500,100,0,'E005',0,0)</v>
      </c>
      <c r="N6" t="str">
        <f t="shared" si="1"/>
        <v>call InitTypeIdStrings('E004',"[武器]古纹剑lv4","ReplaceableTextures\\CommandButtons\\BTNZ01.blp","")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InitEquipData('E005',0,0,2000,100,'uE01','E006',0,0)</v>
      </c>
      <c r="N7" t="str">
        <f t="shared" si="1"/>
        <v>call InitTypeIdStrings('E005',"[武器]古纹剑lv5","ReplaceableTextures\\CommandButtons\\BTNZ01.blp","")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1000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InitEquipData('E006',0,0,1000,90,0,'E007',0,0)</v>
      </c>
      <c r="N8" t="str">
        <f t="shared" si="1"/>
        <v>call InitTypeIdStrings('E006',"|Cff00FF7F[武器]鱼肠剑lv1|r","ReplaceableTextures\\CommandButtons\\BTNZ02.blp","")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1000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InitEquipData('E007',0,0,1000,90,0,'E008',0,0)</v>
      </c>
      <c r="N9" t="str">
        <f t="shared" si="1"/>
        <v>call InitTypeIdStrings('E007',"|Cff00FF7F[武器]鱼肠剑lv2|r","ReplaceableTextures\\CommandButtons\\BTNZ02.blp","")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1000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InitEquipData('E008',0,0,1000,90,0,'E009',0,0)</v>
      </c>
      <c r="N10" t="str">
        <f t="shared" si="1"/>
        <v>call InitTypeIdStrings('E008',"|Cff00FF7F[武器]鱼肠剑lv3|r","ReplaceableTextures\\CommandButtons\\BTNZ02.blp","")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1000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InitEquipData('E009',0,0,1000,90,0,'E010',0,0)</v>
      </c>
      <c r="N11" t="str">
        <f t="shared" si="1"/>
        <v>call InitTypeIdStrings('E009',"|Cff00FF7F[武器]鱼肠剑lv4|r","ReplaceableTextures\\CommandButtons\\BTNZ02.blp","")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6000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InitEquipData('E010',0,0,6000,100,'uE02','E011',0,0)</v>
      </c>
      <c r="N12" t="str">
        <f t="shared" si="1"/>
        <v>call InitTypeIdStrings('E010',"|Cff00FF7F[武器]鱼肠剑lv5|r","ReplaceableTextures\\CommandButtons\\BTNZ02.blp","")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3000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InitEquipData('E011',0,0,3000,80,0,'E012',0,0)</v>
      </c>
      <c r="N13" t="str">
        <f t="shared" si="1"/>
        <v>call InitTypeIdStrings('E011',"|Cff00BFFF[武器]太阿剑lv1|r","ReplaceableTextures\\CommandButtons\\BTNZ03.blp","")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3000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InitEquipData('E012',0,0,3000,80,0,'E013',0,0)</v>
      </c>
      <c r="N14" t="str">
        <f t="shared" si="1"/>
        <v>call InitTypeIdStrings('E012',"|Cff00BFFF[武器]太阿剑lv2|r","ReplaceableTextures\\CommandButtons\\BTNZ03.blp","")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3000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InitEquipData('E013',0,0,3000,80,0,'E014',0,0)</v>
      </c>
      <c r="N15" t="str">
        <f t="shared" si="1"/>
        <v>call InitTypeIdStrings('E013',"|Cff00BFFF[武器]太阿剑lv3|r","ReplaceableTextures\\CommandButtons\\BTNZ03.blp","")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3000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InitEquipData('E014',0,0,3000,80,0,'E015',0,0)</v>
      </c>
      <c r="N16" t="str">
        <f t="shared" si="1"/>
        <v>call InitTypeIdStrings('E014',"|Cff00BFFF[武器]太阿剑lv4|r","ReplaceableTextures\\CommandButtons\\BTNZ03.blp","")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15000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InitEquipData('E015',0,0,15000,100,'uE03','E016',0,0)</v>
      </c>
      <c r="N17" t="str">
        <f t="shared" si="1"/>
        <v>call InitTypeIdStrings('E015',"|Cff00BFFF[武器]太阿剑lv5|r","ReplaceableTextures\\CommandButtons\\BTNZ03.blp","")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InitTypeIdStrings('E016',"|CffFFC926[武器]轩辕剑lv1|r","ReplaceableTextures\\CommandButtons\\BTNZ04.blp","")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InitTypeIdStrings('E017',"|CffFFC926[武器]轩辕剑lv2|r","ReplaceableTextures\\CommandButtons\\BTNZ04.blp","")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InitTypeIdStrings('E018',"|CffFFC926[武器]轩辕剑lv3|r","ReplaceableTextures\\CommandButtons\\BTNZ04.blp","")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InitTypeIdStrings('E019',"|CffFFC926[武器]轩辕剑lv4|r","ReplaceableTextures\\CommandButtons\\BTNZ04.blp","")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InitEquipData('E020',0,0,30000,100,'uE04','E021',0,0)</v>
      </c>
      <c r="N22" t="str">
        <f t="shared" si="1"/>
        <v>call InitTypeIdStrings('E020',"|CffFFC926[武器]轩辕剑lv5|r","ReplaceableTextures\\CommandButtons\\BTNZ04.blp","")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InitTypeIdStrings('E021',"|CffFF0000[武器]太极八卦剑lv1|r","ReplaceableTextures\\CommandButtons\\BTNZ05.blp","")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InitTypeIdStrings('E022',"|CffFF0000[武器]太极八卦剑lv2|r","ReplaceableTextures\\CommandButtons\\BTNZ05.blp","")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InitTypeIdStrings('E023',"|CffFF0000[武器]太极八卦剑lv3|r","ReplaceableTextures\\CommandButtons\\BTNZ05.blp","")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InitTypeIdStrings('E024',"|CffFF0000[武器]太极八卦剑lv4|r","ReplaceableTextures\\CommandButtons\\BTNZ05.blp","")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500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InitEquipData('E201',0,0,500,100,0,'E202',0,0)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500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InitEquipData('E203',0,0,500,100,0,'E204',0,0)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500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InitEquipData('E204',0,0,500,100,0,'E205',0,0)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InitEquipData('E205',0,0,2000,100,'uE21','E206',0,0)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1000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InitEquipData('E206',0,0,1000,90,0,'E207',0,0)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1000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InitEquipData('E207',0,0,1000,90,0,'E208',0,0)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1000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InitEquipData('E208',0,0,1000,90,0,'E209',0,0)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1000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InitEquipData('E209',0,0,1000,90,0,'E210',0,0)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6000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InitEquipData('E210',0,0,6000,100,'uE22','E211',0,0)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3000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InitEquipData('E211',0,0,3000,80,0,'E212',0,0)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3000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InitEquipData('E212',0,0,3000,80,0,'E213',0,0)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3000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InitEquipData('E213',0,0,3000,80,0,'E214',0,0)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3000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InitEquipData('E214',0,0,3000,80,0,'E215',0,0)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15000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InitEquipData('E215',0,0,15000,100,'uE23','E216',0,0)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10000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InitEquipData('E216',0,0,10000,70,0,'E217',0,0)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10000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InitEquipData('E217',0,0,10000,70,0,'E218',0,0)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10000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InitEquipData('E218',0,0,10000,70,0,'E219',0,0)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10000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InitEquipData('E219',0,0,10000,70,0,'E220',0,0)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20000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InitEquipData('E221',0,0,20000,50,0,'E222',0,0)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20000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InitEquipData('E222',0,0,20000,50,0,'E223',0,0)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20000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InitEquipData('E223',0,0,20000,50,0,'E224',0,0)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20000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InitEquipData('E224',0,0,20000,50,0,'E225',0,0)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IF(装备!B92="",0,"'"&amp;装备!B92&amp;"'")</f>
        <v>'CF01'</v>
      </c>
      <c r="B92" t="e">
        <f>装备!#REF!</f>
        <v>#REF!</v>
      </c>
      <c r="C92">
        <f>装备!E92</f>
        <v>0</v>
      </c>
      <c r="D92">
        <f>装备!F92</f>
        <v>0</v>
      </c>
      <c r="E92">
        <f>IF(ISTEXT(装备!G92)=TRUE,"'"&amp;装备!G92&amp;"'",装备!G92)</f>
        <v>0</v>
      </c>
      <c r="F92">
        <f>IF(ISTEXT(装备!H92)=TRUE,"'"&amp;装备!H92&amp;"'",装备!H92)</f>
        <v>0</v>
      </c>
      <c r="G92">
        <f>IF(装备!I92="",0,"'"&amp;装备!I92&amp;"'")</f>
        <v>0</v>
      </c>
      <c r="H92">
        <f>IF(装备!R92="",0,装备!R92)</f>
        <v>0</v>
      </c>
      <c r="I92">
        <f>IF(装备!S92="",0,装备!S92)</f>
        <v>0</v>
      </c>
      <c r="J92" t="str">
        <f>IF(装备!C92="",0,""""&amp;装备!C92&amp;"""")</f>
        <v>"随机法宝"</v>
      </c>
      <c r="K92" t="str">
        <f>IF(装备!T92="","""""",""""&amp;装备!T92&amp;"""")</f>
        <v>"获得一个随机品质的法宝。|n|n|Cff00ff7f副本难度影响法宝品质稀有度。|r"</v>
      </c>
      <c r="L92" t="str">
        <f>IF(装备!U92="",0,""""&amp;装备!U92&amp;"""")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IF(装备!B146="",0,"'"&amp;装备!B146&amp;"'")</f>
        <v>'IP01'</v>
      </c>
      <c r="B93" t="e">
        <f>装备!#REF!</f>
        <v>#REF!</v>
      </c>
      <c r="C93">
        <f>装备!E146</f>
        <v>0</v>
      </c>
      <c r="D93">
        <f>装备!F146</f>
        <v>0</v>
      </c>
      <c r="E93">
        <f>IF(ISTEXT(装备!G146)=TRUE,"'"&amp;装备!G146&amp;"'",装备!G146)</f>
        <v>0</v>
      </c>
      <c r="F93">
        <f>IF(ISTEXT(装备!H146)=TRUE,"'"&amp;装备!H146&amp;"'",装备!H146)</f>
        <v>0</v>
      </c>
      <c r="G93">
        <f>IF(装备!I146="",0,"'"&amp;装备!I146&amp;"'")</f>
        <v>0</v>
      </c>
      <c r="H93">
        <f>IF(装备!R146="",0,装备!R146)</f>
        <v>0</v>
      </c>
      <c r="I93">
        <f>IF(装备!S146="",0,装备!S146)</f>
        <v>0</v>
      </c>
      <c r="J93" t="str">
        <f>IF(装备!C146="",0,""""&amp;装备!C146&amp;"""")</f>
        <v>"时渊碎片"</v>
      </c>
      <c r="K93" t="str">
        <f>IF(装备!T146="","""""",""""&amp;装备!T146&amp;"""")</f>
        <v>"进入时渊副本消耗时渊碎片"</v>
      </c>
      <c r="L93" t="str">
        <f>IF(装备!U146="",0,""""&amp;装备!U146&amp;"""")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IF(装备!B147="",0,"'"&amp;装备!B147&amp;"'")</f>
        <v>'IP02'</v>
      </c>
      <c r="B94">
        <f>装备!D92</f>
        <v>0</v>
      </c>
      <c r="C94">
        <f>装备!E147</f>
        <v>0</v>
      </c>
      <c r="D94">
        <f>装备!F147</f>
        <v>0</v>
      </c>
      <c r="E94">
        <f>IF(ISTEXT(装备!G147)=TRUE,"'"&amp;装备!G147&amp;"'",装备!G147)</f>
        <v>0</v>
      </c>
      <c r="F94">
        <f>IF(ISTEXT(装备!H147)=TRUE,"'"&amp;装备!H147&amp;"'",装备!H147)</f>
        <v>0</v>
      </c>
      <c r="G94">
        <f>IF(装备!I147="",0,"'"&amp;装备!I147&amp;"'")</f>
        <v>0</v>
      </c>
      <c r="H94">
        <f>IF(装备!R147="",0,装备!R147)</f>
        <v>0</v>
      </c>
      <c r="I94">
        <f>IF(装备!S147="",0,装备!S147)</f>
        <v>0</v>
      </c>
      <c r="J94" t="str">
        <f>IF(装备!C147="",0,""""&amp;装备!C147&amp;"""")</f>
        <v>"补天石"</v>
      </c>
      <c r="K94" t="str">
        <f>IF(装备!T147="","""""",""""&amp;装备!T147&amp;"""")</f>
        <v>"点击|Cffffc926选中指定法宝|r后，再点击|Cffffc926重铸|r，可|Cffffc926重置|r指定法宝，|Cffffc926品质不变|r。|n|n|Cff00ff7f每次重铸消耗1个补天石|r"</v>
      </c>
      <c r="L94" t="str">
        <f>IF(装备!U147="",0,""""&amp;装备!U147&amp;"""")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IF(装备!B148="",0,"'"&amp;装备!B148&amp;"'")</f>
        <v>'IP03'</v>
      </c>
      <c r="B95">
        <f>装备!D93</f>
        <v>0</v>
      </c>
      <c r="C95">
        <f>装备!E148</f>
        <v>0</v>
      </c>
      <c r="D95">
        <f>装备!F148</f>
        <v>0</v>
      </c>
      <c r="E95">
        <f>IF(ISTEXT(装备!G148)=TRUE,"'"&amp;装备!G148&amp;"'",装备!G148)</f>
        <v>0</v>
      </c>
      <c r="F95">
        <f>IF(ISTEXT(装备!H148)=TRUE,"'"&amp;装备!H148&amp;"'",装备!H148)</f>
        <v>0</v>
      </c>
      <c r="G95">
        <f>IF(装备!I148="",0,"'"&amp;装备!I148&amp;"'")</f>
        <v>0</v>
      </c>
      <c r="H95">
        <f>IF(装备!R148="",0,装备!R148)</f>
        <v>0</v>
      </c>
      <c r="I95">
        <f>IF(装备!S148="",0,装备!S148)</f>
        <v>0</v>
      </c>
      <c r="J95" t="str">
        <f>IF(装备!C148="",0,""""&amp;装备!C148&amp;"""")</f>
        <v>"鸿蒙结晶"</v>
      </c>
      <c r="K95" t="str">
        <f>IF(装备!T148="","""""",""""&amp;装备!T148&amp;"""")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IF(装备!U148="",0,""""&amp;装备!U148&amp;"""")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IF(装备!B151="",0,"'"&amp;装备!B151&amp;"'")</f>
        <v>'IT01'</v>
      </c>
      <c r="B96">
        <f>装备!D94</f>
        <v>0</v>
      </c>
      <c r="C96">
        <f>装备!E151</f>
        <v>0</v>
      </c>
      <c r="D96">
        <f>装备!F151</f>
        <v>0</v>
      </c>
      <c r="E96">
        <f>IF(ISTEXT(装备!G151)=TRUE,"'"&amp;装备!G151&amp;"'",装备!G151)</f>
        <v>0</v>
      </c>
      <c r="F96">
        <f>IF(ISTEXT(装备!H151)=TRUE,"'"&amp;装备!H151&amp;"'",装备!H151)</f>
        <v>0</v>
      </c>
      <c r="G96">
        <f>IF(装备!I151="",0,"'"&amp;装备!I151&amp;"'")</f>
        <v>0</v>
      </c>
      <c r="H96">
        <f>IF(装备!R151="",0,装备!R151)</f>
        <v>-8086</v>
      </c>
      <c r="I96">
        <f>IF(装备!S151="",0,装备!S151)</f>
        <v>-3245</v>
      </c>
      <c r="J96" t="str">
        <f>IF(装备!C151="",0,""""&amp;装备!C151&amp;"""")</f>
        <v>"噬心劫"</v>
      </c>
      <c r="K96" t="str">
        <f>IF(装备!T151="","""""",""""&amp;装备!T151&amp;"""")</f>
        <v>"渡过该劫后可结成低级道果。|n|n|Cfff0f0f0低级道果：|r|n攻击+1000|n法强+1000|n生命值+2000|n|Cffffd24d元神力+2|r|n|n|Cff00ff7f战力推荐：|r|n"</v>
      </c>
      <c r="L96" t="str">
        <f>IF(装备!U151="",0,""""&amp;装备!U151&amp;"""")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IF(装备!B152="",0,"'"&amp;装备!B152&amp;"'")</f>
        <v>'IT02'</v>
      </c>
      <c r="B97">
        <f>装备!D95</f>
        <v>0</v>
      </c>
      <c r="C97">
        <f>装备!E152</f>
        <v>0</v>
      </c>
      <c r="D97">
        <f>装备!F152</f>
        <v>0</v>
      </c>
      <c r="E97">
        <f>IF(ISTEXT(装备!G152)=TRUE,"'"&amp;装备!G152&amp;"'",装备!G152)</f>
        <v>0</v>
      </c>
      <c r="F97">
        <f>IF(ISTEXT(装备!H152)=TRUE,"'"&amp;装备!H152&amp;"'",装备!H152)</f>
        <v>0</v>
      </c>
      <c r="G97">
        <f>IF(装备!I152="",0,"'"&amp;装备!I152&amp;"'")</f>
        <v>0</v>
      </c>
      <c r="H97">
        <f>IF(装备!R152="",0,装备!R152)</f>
        <v>-7991</v>
      </c>
      <c r="I97">
        <f>IF(装备!S152="",0,装备!S152)</f>
        <v>-2312</v>
      </c>
      <c r="J97" t="str">
        <f>IF(装备!C152="",0,""""&amp;装备!C152&amp;"""")</f>
        <v>"三重轰雷劫"</v>
      </c>
      <c r="K97" t="str">
        <f>IF(装备!T152="","""""",""""&amp;装备!T152&amp;"""")</f>
        <v>"渡过该劫后可结成中级道果。|n|n|Cfff0f0f0中级道果：|r|n攻击+1500|n法强+1500|n生命值+3000 |n|Cffffd24d元神力+4|r|n|n|Cff00ff7f战力推荐：|r|n"</v>
      </c>
      <c r="L97" t="str">
        <f>IF(装备!U152="",0,""""&amp;装备!U152&amp;"""")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IF(装备!B153="",0,"'"&amp;装备!B153&amp;"'")</f>
        <v>'IT03'</v>
      </c>
      <c r="B98">
        <f>装备!D96</f>
        <v>0</v>
      </c>
      <c r="C98">
        <f>装备!E153</f>
        <v>0</v>
      </c>
      <c r="D98">
        <f>装备!F153</f>
        <v>0</v>
      </c>
      <c r="E98">
        <f>IF(ISTEXT(装备!G153)=TRUE,"'"&amp;装备!G153&amp;"'",装备!G153)</f>
        <v>0</v>
      </c>
      <c r="F98">
        <f>IF(ISTEXT(装备!H153)=TRUE,"'"&amp;装备!H153&amp;"'",装备!H153)</f>
        <v>0</v>
      </c>
      <c r="G98">
        <f>IF(装备!I153="",0,"'"&amp;装备!I153&amp;"'")</f>
        <v>0</v>
      </c>
      <c r="H98">
        <f>IF(装备!R153="",0,装备!R153)</f>
        <v>-8089</v>
      </c>
      <c r="I98">
        <f>IF(装备!S153="",0,装备!S153)</f>
        <v>-1230</v>
      </c>
      <c r="J98" t="str">
        <f>IF(装备!C153="",0,""""&amp;装备!C153&amp;"""")</f>
        <v>"六重天雷劫"</v>
      </c>
      <c r="K98" t="str">
        <f>IF(装备!T153="","""""",""""&amp;装备!T153&amp;"""")</f>
        <v>"渡过该劫后可结成|Cff00ff7f高级道果|r。|n|n|Cff00ff7f高级道果：|r|n攻击+2000|n法强+2000|n生命值+4000 |n|Cffffd24d元神力+5|r|n|n|Cff00ff7f战力推荐：|r|n"</v>
      </c>
      <c r="L98" t="str">
        <f>IF(装备!U153="",0,""""&amp;装备!U153&amp;"""")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IF(装备!B154="",0,"'"&amp;装备!B154&amp;"'")</f>
        <v>'IT04'</v>
      </c>
      <c r="B99">
        <f>装备!D97</f>
        <v>0</v>
      </c>
      <c r="C99">
        <f>装备!E154</f>
        <v>0</v>
      </c>
      <c r="D99">
        <f>装备!F154</f>
        <v>0</v>
      </c>
      <c r="E99">
        <f>IF(ISTEXT(装备!G154)=TRUE,"'"&amp;装备!G154&amp;"'",装备!G154)</f>
        <v>0</v>
      </c>
      <c r="F99">
        <f>IF(ISTEXT(装备!H154)=TRUE,"'"&amp;装备!H154&amp;"'",装备!H154)</f>
        <v>0</v>
      </c>
      <c r="G99">
        <f>IF(装备!I154="",0,"'"&amp;装备!I154&amp;"'")</f>
        <v>0</v>
      </c>
      <c r="H99">
        <f>IF(装备!R154="",0,装备!R154)</f>
        <v>-7794</v>
      </c>
      <c r="I99">
        <f>IF(装备!S154="",0,装备!S154)</f>
        <v>195</v>
      </c>
      <c r="J99" t="str">
        <f>IF(装备!C154="",0,""""&amp;装备!C154&amp;"""")</f>
        <v>"九重煅神劫"</v>
      </c>
      <c r="K99" t="str">
        <f>IF(装备!T154="","""""",""""&amp;装备!T154&amp;"""")</f>
        <v>"渡过该劫后可结成|Cff00ff7f黄级道果|r。|n|n|Cff00ff7f黄级道果：|r|n攻击+2500|n法强+2500|n生命值+5000|n|Cffffd24d元神力+6|r|n|n|Cff00ff7f战力推荐：|r|n"</v>
      </c>
      <c r="L99" t="str">
        <f>IF(装备!U154="",0,""""&amp;装备!U154&amp;"""")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IF(装备!B155="",0,"'"&amp;装备!B155&amp;"'")</f>
        <v>'IT05'</v>
      </c>
      <c r="B100">
        <f>装备!D98</f>
        <v>0</v>
      </c>
      <c r="C100">
        <f>装备!E155</f>
        <v>0</v>
      </c>
      <c r="D100">
        <f>装备!F155</f>
        <v>0</v>
      </c>
      <c r="E100">
        <f>IF(ISTEXT(装备!G155)=TRUE,"'"&amp;装备!G155&amp;"'",装备!G155)</f>
        <v>0</v>
      </c>
      <c r="F100">
        <f>IF(ISTEXT(装备!H155)=TRUE,"'"&amp;装备!H155&amp;"'",装备!H155)</f>
        <v>0</v>
      </c>
      <c r="G100">
        <f>IF(装备!I155="",0,"'"&amp;装备!I155&amp;"'")</f>
        <v>0</v>
      </c>
      <c r="H100">
        <f>IF(装备!R155="",0,装备!R155)</f>
        <v>-8110</v>
      </c>
      <c r="I100">
        <f>IF(装备!S155="",0,装备!S155)</f>
        <v>1810</v>
      </c>
      <c r="J100" t="str">
        <f>IF(装备!C155="",0,""""&amp;装备!C155&amp;"""")</f>
        <v>"灭魄血煞劫"</v>
      </c>
      <c r="K100" t="str">
        <f>IF(装备!T155="","""""",""""&amp;装备!T155&amp;"""")</f>
        <v>"渡过该劫后可结成|Cff00bfff玄级道果|r。|n|n|Cff00bfff玄级道果：|r|n攻击+3000|n法强+3000|n生命值+6000|n|Cffffd24d元神力+7|r|n|n|Cff00ff7f战力推荐：|r|n"</v>
      </c>
      <c r="L100" t="str">
        <f>IF(装备!U155="",0,""""&amp;装备!U155&amp;"""")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IF(装备!B156="",0,"'"&amp;装备!B156&amp;"'")</f>
        <v>'IT06'</v>
      </c>
      <c r="B101">
        <f>装备!D99</f>
        <v>0</v>
      </c>
      <c r="C101">
        <f>装备!E156</f>
        <v>0</v>
      </c>
      <c r="D101">
        <f>装备!F156</f>
        <v>0</v>
      </c>
      <c r="E101">
        <f>IF(ISTEXT(装备!G156)=TRUE,"'"&amp;装备!G156&amp;"'",装备!G156)</f>
        <v>0</v>
      </c>
      <c r="F101">
        <f>IF(ISTEXT(装备!H156)=TRUE,"'"&amp;装备!H156&amp;"'",装备!H156)</f>
        <v>0</v>
      </c>
      <c r="G101">
        <f>IF(装备!I156="",0,"'"&amp;装备!I156&amp;"'")</f>
        <v>0</v>
      </c>
      <c r="H101">
        <f>IF(装备!R156="",0,装备!R156)</f>
        <v>-7896</v>
      </c>
      <c r="I101">
        <f>IF(装备!S156="",0,装备!S156)</f>
        <v>3839</v>
      </c>
      <c r="J101" t="str">
        <f>IF(装备!C156="",0,""""&amp;装备!C156&amp;"""")</f>
        <v>"入微洞虚劫"</v>
      </c>
      <c r="K101" t="str">
        <f>IF(装备!T156="","""""",""""&amp;装备!T156&amp;"""")</f>
        <v>"渡过该劫后可结成|Cff00bfff地级道果|r。|n|n|Cff00bfff地级道果：|r|n攻击+4000|n法强+4000|n生命值+8000|n|Cffffd24d元神力+9|r|n|n|n|Cff00ff7f战力推荐：|r|n"</v>
      </c>
      <c r="L101" t="str">
        <f>IF(装备!U156="",0,""""&amp;装备!U156&amp;"""")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IF(装备!B157="",0,"'"&amp;装备!B157&amp;"'")</f>
        <v>'IT07'</v>
      </c>
      <c r="B102">
        <f>装备!D100</f>
        <v>0</v>
      </c>
      <c r="C102">
        <f>装备!E157</f>
        <v>0</v>
      </c>
      <c r="D102">
        <f>装备!F157</f>
        <v>0</v>
      </c>
      <c r="E102">
        <f>IF(ISTEXT(装备!G157)=TRUE,"'"&amp;装备!G157&amp;"'",装备!G157)</f>
        <v>0</v>
      </c>
      <c r="F102">
        <f>IF(ISTEXT(装备!H157)=TRUE,"'"&amp;装备!H157&amp;"'",装备!H157)</f>
        <v>0</v>
      </c>
      <c r="G102">
        <f>IF(装备!I157="",0,"'"&amp;装备!I157&amp;"'")</f>
        <v>0</v>
      </c>
      <c r="H102">
        <f>IF(装备!R157="",0,装备!R157)</f>
        <v>-7896</v>
      </c>
      <c r="I102">
        <f>IF(装备!S157="",0,装备!S157)</f>
        <v>5906</v>
      </c>
      <c r="J102" t="str">
        <f>IF(装备!C157="",0,""""&amp;装备!C157&amp;"""")</f>
        <v>"因果厄难劫"</v>
      </c>
      <c r="K102" t="str">
        <f>IF(装备!T157="","""""",""""&amp;装备!T157&amp;"""")</f>
        <v>"渡过该劫后可结成|Cffffc926天级道果|r。|n|n|Cffffc926天级道果：|r|n攻击+5000|n法强+5000|n生命值+10000|n|Cffffd24d元神力+11|r|n|n|Cff00ff7f战力推荐：|r|n"</v>
      </c>
      <c r="L102" t="str">
        <f>IF(装备!U157="",0,""""&amp;装备!U157&amp;"""")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IF(装备!B158="",0,"'"&amp;装备!B158&amp;"'")</f>
        <v>'IT08'</v>
      </c>
      <c r="B103">
        <f>装备!D101</f>
        <v>0</v>
      </c>
      <c r="C103">
        <f>装备!E158</f>
        <v>0</v>
      </c>
      <c r="D103">
        <f>装备!F158</f>
        <v>0</v>
      </c>
      <c r="E103">
        <f>IF(ISTEXT(装备!G158)=TRUE,"'"&amp;装备!G158&amp;"'",装备!G158)</f>
        <v>0</v>
      </c>
      <c r="F103">
        <f>IF(ISTEXT(装备!H158)=TRUE,"'"&amp;装备!H158&amp;"'",装备!H158)</f>
        <v>0</v>
      </c>
      <c r="G103">
        <f>IF(装备!I158="",0,"'"&amp;装备!I158&amp;"'")</f>
        <v>0</v>
      </c>
      <c r="H103">
        <f>IF(装备!R158="",0,装备!R158)</f>
        <v>-7970</v>
      </c>
      <c r="I103">
        <f>IF(装备!S158="",0,装备!S158)</f>
        <v>7965</v>
      </c>
      <c r="J103" t="str">
        <f>IF(装备!C158="",0,""""&amp;装备!C158&amp;"""")</f>
        <v>"迷魂幻世劫"</v>
      </c>
      <c r="K103" t="str">
        <f>IF(装备!T158="","""""",""""&amp;装备!T158&amp;"""")</f>
        <v>"渡过该劫后可结成|Cffffc926仙品道果|r。|n|n|Cffffc926仙品道果：|r|n攻击+6500|n法强+6500|n生命值+13000|n|Cffffd24d元神力+13|r|n|n|Cff00ff7f战力推荐：|r"</v>
      </c>
      <c r="L103" t="str">
        <f>IF(装备!U158="",0,""""&amp;装备!U158&amp;"""")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IF(装备!B159="",0,"'"&amp;装备!B159&amp;"'")</f>
        <v>'IT09'</v>
      </c>
      <c r="B104">
        <f>装备!D102</f>
        <v>0</v>
      </c>
      <c r="C104">
        <f>装备!E159</f>
        <v>0</v>
      </c>
      <c r="D104">
        <f>装备!F159</f>
        <v>0</v>
      </c>
      <c r="E104">
        <f>IF(ISTEXT(装备!G159)=TRUE,"'"&amp;装备!G159&amp;"'",装备!G159)</f>
        <v>0</v>
      </c>
      <c r="F104">
        <f>IF(ISTEXT(装备!H159)=TRUE,"'"&amp;装备!H159&amp;"'",装备!H159)</f>
        <v>0</v>
      </c>
      <c r="G104">
        <f>IF(装备!I159="",0,"'"&amp;装备!I159&amp;"'")</f>
        <v>0</v>
      </c>
      <c r="H104">
        <f>IF(装备!R159="",0,装备!R159)</f>
        <v>2100</v>
      </c>
      <c r="I104">
        <f>IF(装备!S159="",0,装备!S159)</f>
        <v>-5120</v>
      </c>
      <c r="J104" t="str">
        <f>IF(装备!C159="",0,""""&amp;装备!C159&amp;"""")</f>
        <v>"天人五衰劫"</v>
      </c>
      <c r="K104" t="str">
        <f>IF(装备!T159="","""""",""""&amp;装备!T159&amp;"""")</f>
        <v>"渡过该劫后可结成|Cffff0000至圣道果|r。|n|n|Cffff0000至圣道果：|r|n攻击+8000|n法强+8000|n生命值+16000|n|Cffffd24d元神力+16|r|n|n|Cff00ff7f战力推荐：|r"</v>
      </c>
      <c r="L104" t="str">
        <f>IF(装备!U159="",0,""""&amp;装备!U159&amp;"""")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IF(装备!B160="",0,"'"&amp;装备!B160&amp;"'")</f>
        <v>'IT10'</v>
      </c>
      <c r="B105">
        <f>装备!D103</f>
        <v>0</v>
      </c>
      <c r="C105">
        <f>装备!E160</f>
        <v>0</v>
      </c>
      <c r="D105">
        <f>装备!F160</f>
        <v>0</v>
      </c>
      <c r="E105">
        <f>IF(ISTEXT(装备!G160)=TRUE,"'"&amp;装备!G160&amp;"'",装备!G160)</f>
        <v>0</v>
      </c>
      <c r="F105">
        <f>IF(ISTEXT(装备!H160)=TRUE,"'"&amp;装备!H160&amp;"'",装备!H160)</f>
        <v>0</v>
      </c>
      <c r="G105">
        <f>IF(装备!I160="",0,"'"&amp;装备!I160&amp;"'")</f>
        <v>0</v>
      </c>
      <c r="H105">
        <f>IF(装备!R160="",0,装备!R160)</f>
        <v>2268</v>
      </c>
      <c r="I105">
        <f>IF(装备!S160="",0,装备!S160)</f>
        <v>-8065</v>
      </c>
      <c r="J105" t="str">
        <f>IF(装备!C160="",0,""""&amp;装备!C160&amp;"""")</f>
        <v>"|CffFF0000混元灭世劫|r"</v>
      </c>
      <c r="K105" t="str">
        <f>IF(装备!T160="","""""",""""&amp;装备!T160&amp;"""")</f>
        <v>"渡过该劫后可结成|Cffff0000混沌道果|r。|n|n|Cffff0000混沌道果：|r|n攻击+10000|n法强+10000|n生命值+20000|n|Cffffd24d元神力+20|r|n|n|Cff00ff7f战力推荐：|r"</v>
      </c>
      <c r="L105" t="str">
        <f>IF(装备!U160="",0,""""&amp;装备!U160&amp;"""")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IF(装备!B161="",0,"'"&amp;装备!B161&amp;"'")</f>
        <v>'IT11'</v>
      </c>
      <c r="B106">
        <f>装备!D104</f>
        <v>0</v>
      </c>
      <c r="C106">
        <f>装备!E161</f>
        <v>0</v>
      </c>
      <c r="D106">
        <f>装备!F161</f>
        <v>0</v>
      </c>
      <c r="E106">
        <f>IF(ISTEXT(装备!G161)=TRUE,"'"&amp;装备!G161&amp;"'",装备!G161)</f>
        <v>0</v>
      </c>
      <c r="F106">
        <f>IF(ISTEXT(装备!H161)=TRUE,"'"&amp;装备!H161&amp;"'",装备!H161)</f>
        <v>0</v>
      </c>
      <c r="G106">
        <f>IF(装备!I161="",0,"'"&amp;装备!I161&amp;"'")</f>
        <v>0</v>
      </c>
      <c r="H106">
        <f>IF(装备!R161="",0,装备!R161)</f>
        <v>0</v>
      </c>
      <c r="I106">
        <f>IF(装备!S161="",0,装备!S161)</f>
        <v>0</v>
      </c>
      <c r="J106" t="str">
        <f>IF(装备!C161="",0,""""&amp;装备!C161&amp;"""")</f>
        <v>"斩三尸"</v>
      </c>
      <c r="K106" t="str">
        <f>IF(装备!T161="","""""",""""&amp;装备!T161&amp;"""")</f>
        <v>"境界挑战11"</v>
      </c>
      <c r="L106" t="str">
        <f>IF(装备!U161="",0,""""&amp;装备!U161&amp;"""")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IF(装备!B162="",0,"'"&amp;装备!B162&amp;"'")</f>
        <v>'IT12'</v>
      </c>
      <c r="B107">
        <f>装备!D105</f>
        <v>0</v>
      </c>
      <c r="C107">
        <f>装备!E162</f>
        <v>0</v>
      </c>
      <c r="D107">
        <f>装备!F162</f>
        <v>0</v>
      </c>
      <c r="E107">
        <f>IF(ISTEXT(装备!G162)=TRUE,"'"&amp;装备!G162&amp;"'",装备!G162)</f>
        <v>0</v>
      </c>
      <c r="F107">
        <f>IF(ISTEXT(装备!H162)=TRUE,"'"&amp;装备!H162&amp;"'",装备!H162)</f>
        <v>0</v>
      </c>
      <c r="G107">
        <f>IF(装备!I162="",0,"'"&amp;装备!I162&amp;"'")</f>
        <v>0</v>
      </c>
      <c r="H107">
        <f>IF(装备!R162="",0,装备!R162)</f>
        <v>0</v>
      </c>
      <c r="I107">
        <f>IF(装备!S162="",0,装备!S162)</f>
        <v>0</v>
      </c>
      <c r="J107" t="str">
        <f>IF(装备!C162="",0,""""&amp;装备!C162&amp;"""")</f>
        <v>"无量量劫"</v>
      </c>
      <c r="K107" t="str">
        <f>IF(装备!T162="","""""",""""&amp;装备!T162&amp;"""")</f>
        <v>"境界挑战12"</v>
      </c>
      <c r="L107" t="str">
        <f>IF(装备!U162="",0,""""&amp;装备!U162&amp;"""")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IF(装备!B163="",0,"'"&amp;装备!B163&amp;"'")</f>
        <v>'IT13'</v>
      </c>
      <c r="B108">
        <f>装备!D106</f>
        <v>0</v>
      </c>
      <c r="C108">
        <f>装备!E163</f>
        <v>0</v>
      </c>
      <c r="D108">
        <f>装备!F163</f>
        <v>0</v>
      </c>
      <c r="E108">
        <f>IF(ISTEXT(装备!G163)=TRUE,"'"&amp;装备!G163&amp;"'",装备!G163)</f>
        <v>0</v>
      </c>
      <c r="F108">
        <f>IF(ISTEXT(装备!H163)=TRUE,"'"&amp;装备!H163&amp;"'",装备!H163)</f>
        <v>0</v>
      </c>
      <c r="G108">
        <f>IF(装备!I163="",0,"'"&amp;装备!I163&amp;"'")</f>
        <v>0</v>
      </c>
      <c r="H108">
        <f>IF(装备!R163="",0,装备!R163)</f>
        <v>0</v>
      </c>
      <c r="I108">
        <f>IF(装备!S163="",0,装备!S163)</f>
        <v>0</v>
      </c>
      <c r="J108" t="str">
        <f>IF(装备!C163="",0,""""&amp;装备!C163&amp;"""")</f>
        <v>"鸿钧对练"</v>
      </c>
      <c r="K108" t="str">
        <f>IF(装备!T163="","""""",""""&amp;装备!T163&amp;"""")</f>
        <v>"境界挑战13"</v>
      </c>
      <c r="L108" t="str">
        <f>IF(装备!U163="",0,""""&amp;装备!U163&amp;"""")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IF(装备!B164="",0,"'"&amp;装备!B164&amp;"'")</f>
        <v>'IT14'</v>
      </c>
      <c r="B109">
        <f>装备!D107</f>
        <v>0</v>
      </c>
      <c r="C109">
        <f>装备!E164</f>
        <v>0</v>
      </c>
      <c r="D109">
        <f>装备!F164</f>
        <v>0</v>
      </c>
      <c r="E109">
        <f>IF(ISTEXT(装备!G164)=TRUE,"'"&amp;装备!G164&amp;"'",装备!G164)</f>
        <v>0</v>
      </c>
      <c r="F109">
        <f>IF(ISTEXT(装备!H164)=TRUE,"'"&amp;装备!H164&amp;"'",装备!H164)</f>
        <v>0</v>
      </c>
      <c r="G109">
        <f>IF(装备!I164="",0,"'"&amp;装备!I164&amp;"'")</f>
        <v>0</v>
      </c>
      <c r="H109">
        <f>IF(装备!R164="",0,装备!R164)</f>
        <v>0</v>
      </c>
      <c r="I109">
        <f>IF(装备!S164="",0,装备!S164)</f>
        <v>0</v>
      </c>
      <c r="J109" t="str">
        <f>IF(装备!C164="",0,""""&amp;装备!C164&amp;"""")</f>
        <v>"境界挑战14"</v>
      </c>
      <c r="K109" t="str">
        <f>IF(装备!T164="","""""",""""&amp;装备!T164&amp;"""")</f>
        <v>"境界挑战14"</v>
      </c>
      <c r="L109" t="str">
        <f>IF(装备!U164="",0,""""&amp;装备!U164&amp;"""")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IF(装备!B167="",0,"'"&amp;装备!B167&amp;"'")</f>
        <v>'IS02'</v>
      </c>
      <c r="B110">
        <f>装备!D108</f>
        <v>0</v>
      </c>
      <c r="C110">
        <f>装备!E167</f>
        <v>0</v>
      </c>
      <c r="D110">
        <f>装备!F167</f>
        <v>0</v>
      </c>
      <c r="E110">
        <f>IF(ISTEXT(装备!G167)=TRUE,"'"&amp;装备!G167&amp;"'",装备!G167)</f>
        <v>0</v>
      </c>
      <c r="F110">
        <f>IF(ISTEXT(装备!H167)=TRUE,"'"&amp;装备!H167&amp;"'",装备!H167)</f>
        <v>0</v>
      </c>
      <c r="G110">
        <f>IF(装备!I167="",0,"'"&amp;装备!I167&amp;"'")</f>
        <v>0</v>
      </c>
      <c r="H110">
        <f>IF(装备!R167="",0,装备!R167)</f>
        <v>0</v>
      </c>
      <c r="I110">
        <f>IF(装备!S167="",0,装备!S167)</f>
        <v>0</v>
      </c>
      <c r="J110" t="str">
        <f>IF(装备!C167="",0,""""&amp;装备!C167&amp;"""")</f>
        <v>"抽技能W"</v>
      </c>
      <c r="K110" t="str">
        <f>IF(装备!T167="","""""",""""&amp;装备!T167&amp;"""")</f>
        <v>"抽技能W"</v>
      </c>
      <c r="L110" t="str">
        <f>IF(装备!U167="",0,""""&amp;装备!U167&amp;"""")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IF(装备!B168="",0,"'"&amp;装备!B168&amp;"'")</f>
        <v>'IS03'</v>
      </c>
      <c r="B111">
        <f>装备!D109</f>
        <v>0</v>
      </c>
      <c r="C111">
        <f>装备!E168</f>
        <v>0</v>
      </c>
      <c r="D111">
        <f>装备!F168</f>
        <v>0</v>
      </c>
      <c r="E111">
        <f>IF(ISTEXT(装备!G168)=TRUE,"'"&amp;装备!G168&amp;"'",装备!G168)</f>
        <v>0</v>
      </c>
      <c r="F111">
        <f>IF(ISTEXT(装备!H168)=TRUE,"'"&amp;装备!H168&amp;"'",装备!H168)</f>
        <v>0</v>
      </c>
      <c r="G111">
        <f>IF(装备!I168="",0,"'"&amp;装备!I168&amp;"'")</f>
        <v>0</v>
      </c>
      <c r="H111">
        <f>IF(装备!R168="",0,装备!R168)</f>
        <v>0</v>
      </c>
      <c r="I111">
        <f>IF(装备!S168="",0,装备!S168)</f>
        <v>0</v>
      </c>
      <c r="J111" t="str">
        <f>IF(装备!C168="",0,""""&amp;装备!C168&amp;"""")</f>
        <v>"抽技能E"</v>
      </c>
      <c r="K111" t="str">
        <f>IF(装备!T168="","""""",""""&amp;装备!T168&amp;"""")</f>
        <v>"抽技能E"</v>
      </c>
      <c r="L111" t="str">
        <f>IF(装备!U168="",0,""""&amp;装备!U168&amp;"""")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装备!D110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装备!D111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IF(装备!B173="",0,"'"&amp;装备!B173&amp;"'")</f>
        <v>'IH00'</v>
      </c>
      <c r="B114">
        <f>装备!D112</f>
        <v>0</v>
      </c>
      <c r="C114">
        <f>装备!E173</f>
        <v>0</v>
      </c>
      <c r="D114">
        <f>装备!F173</f>
        <v>0</v>
      </c>
      <c r="E114">
        <f>IF(ISTEXT(装备!G173)=TRUE,"'"&amp;装备!G173&amp;"'",装备!G173)</f>
        <v>0</v>
      </c>
      <c r="F114">
        <f>IF(ISTEXT(装备!H173)=TRUE,"'"&amp;装备!H173&amp;"'",装备!H173)</f>
        <v>0</v>
      </c>
      <c r="G114">
        <f>IF(装备!I173="",0,"'"&amp;装备!I173&amp;"'")</f>
        <v>0</v>
      </c>
      <c r="H114">
        <f>IF(装备!R173="",0,装备!R173)</f>
        <v>0</v>
      </c>
      <c r="I114">
        <f>IF(装备!S173="",0,装备!S173)</f>
        <v>0</v>
      </c>
      <c r="J114" t="str">
        <f>IF(装备!C173="",0,""""&amp;装备!C173&amp;"""")</f>
        <v>"觉醒兽魂"</v>
      </c>
      <c r="K114" t="str">
        <f>IF(装备!T173="","""""",""""&amp;装备!T173&amp;"""")</f>
        <v>"抽中所有兽魂后觉醒|Cffff0000神兽神通（R）|r。|n|n|Cff00ff7f觉醒时将根据你抽中的兽魂，随机领悟对应的神兽神通。|r"</v>
      </c>
      <c r="L114" t="str">
        <f>IF(装备!U173="",0,""""&amp;装备!U173&amp;"""")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IF(装备!B174="",0,"'"&amp;装备!B174&amp;"'")</f>
        <v>'IH01'</v>
      </c>
      <c r="B115">
        <f>装备!D113</f>
        <v>0</v>
      </c>
      <c r="C115">
        <f>装备!E174</f>
        <v>0</v>
      </c>
      <c r="D115">
        <f>装备!F174</f>
        <v>0</v>
      </c>
      <c r="E115">
        <f>IF(ISTEXT(装备!G174)=TRUE,"'"&amp;装备!G174&amp;"'",装备!G174)</f>
        <v>0</v>
      </c>
      <c r="F115">
        <f>IF(ISTEXT(装备!H174)=TRUE,"'"&amp;装备!H174&amp;"'",装备!H174)</f>
        <v>0</v>
      </c>
      <c r="G115">
        <f>IF(装备!I174="",0,"'"&amp;装备!I174&amp;"'")</f>
        <v>0</v>
      </c>
      <c r="H115">
        <f>IF(装备!R174="",0,装备!R174)</f>
        <v>0</v>
      </c>
      <c r="I115">
        <f>IF(装备!S174="",0,装备!S174)</f>
        <v>0</v>
      </c>
      <c r="J115" t="str">
        <f>IF(装备!C174="",0,""""&amp;装备!C174&amp;"""")</f>
        <v>"|CffFF0000陛犴之魂|r"</v>
      </c>
      <c r="K115" t="str">
        <f>IF(装备!T174="","""""",""""&amp;装备!T174&amp;"""")</f>
        <v>"|Cff999999基础属性：|n|r攻击+20%|n|n|Cff999999神通传承：|n|r|Cffff0000血之裂痕|r"</v>
      </c>
      <c r="L115" t="str">
        <f>IF(装备!U174="",0,""""&amp;装备!U174&amp;"""")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IF(装备!B175="",0,"'"&amp;装备!B175&amp;"'")</f>
        <v>'IH02'</v>
      </c>
      <c r="B116">
        <f>装备!D114</f>
        <v>0</v>
      </c>
      <c r="C116">
        <f>装备!E175</f>
        <v>0</v>
      </c>
      <c r="D116">
        <f>装备!F175</f>
        <v>0</v>
      </c>
      <c r="E116">
        <f>IF(ISTEXT(装备!G175)=TRUE,"'"&amp;装备!G175&amp;"'",装备!G175)</f>
        <v>0</v>
      </c>
      <c r="F116">
        <f>IF(ISTEXT(装备!H175)=TRUE,"'"&amp;装备!H175&amp;"'",装备!H175)</f>
        <v>0</v>
      </c>
      <c r="G116">
        <f>IF(装备!I175="",0,"'"&amp;装备!I175&amp;"'")</f>
        <v>0</v>
      </c>
      <c r="H116">
        <f>IF(装备!R175="",0,装备!R175)</f>
        <v>0</v>
      </c>
      <c r="I116">
        <f>IF(装备!S175="",0,装备!S175)</f>
        <v>0</v>
      </c>
      <c r="J116" t="str">
        <f>IF(装备!C175="",0,""""&amp;装备!C175&amp;"""")</f>
        <v>"|CffFF0000奎牛之魂|r"</v>
      </c>
      <c r="K116" t="str">
        <f>IF(装备!T175="","""""",""""&amp;装备!T175&amp;"""")</f>
        <v>"|Cff999999基础属性：|n|r法强+20%|n|n|Cff999999神通传承：|n|r|Cffff0000十绝阵|r"</v>
      </c>
      <c r="L116" t="str">
        <f>IF(装备!U175="",0,""""&amp;装备!U175&amp;"""")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IF(装备!B176="",0,"'"&amp;装备!B176&amp;"'")</f>
        <v>'IH03'</v>
      </c>
      <c r="B117">
        <f>装备!D115</f>
        <v>0</v>
      </c>
      <c r="C117">
        <f>装备!E176</f>
        <v>0</v>
      </c>
      <c r="D117">
        <f>装备!F176</f>
        <v>0</v>
      </c>
      <c r="E117">
        <f>IF(ISTEXT(装备!G176)=TRUE,"'"&amp;装备!G176&amp;"'",装备!G176)</f>
        <v>0</v>
      </c>
      <c r="F117">
        <f>IF(ISTEXT(装备!H176)=TRUE,"'"&amp;装备!H176&amp;"'",装备!H176)</f>
        <v>0</v>
      </c>
      <c r="G117">
        <f>IF(装备!I176="",0,"'"&amp;装备!I176&amp;"'")</f>
        <v>0</v>
      </c>
      <c r="H117">
        <f>IF(装备!R176="",0,装备!R176)</f>
        <v>0</v>
      </c>
      <c r="I117">
        <f>IF(装备!S176="",0,装备!S176)</f>
        <v>0</v>
      </c>
      <c r="J117" t="str">
        <f>IF(装备!C176="",0,""""&amp;装备!C176&amp;"""")</f>
        <v>"|CffFF0000墨麒麟之魂|r"</v>
      </c>
      <c r="K117" t="str">
        <f>IF(装备!T176="","""""",""""&amp;装备!T176&amp;"""")</f>
        <v>"|Cff999999基础属性：|n|r生命+40%|n|n|Cff999999神通传承：|n|r|Cffff0000八荒斗神|r"</v>
      </c>
      <c r="L117" t="str">
        <f>IF(装备!U176="",0,""""&amp;装备!U176&amp;"""")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IF(装备!B177="",0,"'"&amp;装备!B177&amp;"'")</f>
        <v>'IH04'</v>
      </c>
      <c r="B118">
        <f>装备!D116</f>
        <v>0</v>
      </c>
      <c r="C118">
        <f>装备!E177</f>
        <v>0</v>
      </c>
      <c r="D118">
        <f>装备!F177</f>
        <v>0</v>
      </c>
      <c r="E118">
        <f>IF(ISTEXT(装备!G177)=TRUE,"'"&amp;装备!G177&amp;"'",装备!G177)</f>
        <v>0</v>
      </c>
      <c r="F118">
        <f>IF(ISTEXT(装备!H177)=TRUE,"'"&amp;装备!H177&amp;"'",装备!H177)</f>
        <v>0</v>
      </c>
      <c r="G118">
        <f>IF(装备!I177="",0,"'"&amp;装备!I177&amp;"'")</f>
        <v>0</v>
      </c>
      <c r="H118">
        <f>IF(装备!R177="",0,装备!R177)</f>
        <v>0</v>
      </c>
      <c r="I118">
        <f>IF(装备!S177="",0,装备!S177)</f>
        <v>0</v>
      </c>
      <c r="J118" t="str">
        <f>IF(装备!C177="",0,""""&amp;装备!C177&amp;"""")</f>
        <v>"|CffFF0000狻猊之魂|r"</v>
      </c>
      <c r="K118" t="str">
        <f>IF(装备!T177="","""""",""""&amp;装备!T177&amp;"""")</f>
        <v>"|Cff999999基础属性：|n|r物穿+10%|n|n|Cff999999神通传承：|n|r|Cffff0000冰封之域|r"</v>
      </c>
      <c r="L118" t="str">
        <f>IF(装备!U177="",0,""""&amp;装备!U177&amp;"""")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IF(装备!B178="",0,"'"&amp;装备!B178&amp;"'")</f>
        <v>'IH05'</v>
      </c>
      <c r="B119">
        <f>装备!D117</f>
        <v>0</v>
      </c>
      <c r="C119">
        <f>装备!E178</f>
        <v>0</v>
      </c>
      <c r="D119">
        <f>装备!F178</f>
        <v>0</v>
      </c>
      <c r="E119">
        <f>IF(ISTEXT(装备!G178)=TRUE,"'"&amp;装备!G178&amp;"'",装备!G178)</f>
        <v>0</v>
      </c>
      <c r="F119">
        <f>IF(ISTEXT(装备!H178)=TRUE,"'"&amp;装备!H178&amp;"'",装备!H178)</f>
        <v>0</v>
      </c>
      <c r="G119">
        <f>IF(装备!I178="",0,"'"&amp;装备!I178&amp;"'")</f>
        <v>0</v>
      </c>
      <c r="H119">
        <f>IF(装备!R178="",0,装备!R178)</f>
        <v>0</v>
      </c>
      <c r="I119">
        <f>IF(装备!S178="",0,装备!S178)</f>
        <v>0</v>
      </c>
      <c r="J119" t="str">
        <f>IF(装备!C178="",0,""""&amp;装备!C178&amp;"""")</f>
        <v>"|CffFF0000青鸾之魂|r"</v>
      </c>
      <c r="K119" t="str">
        <f>IF(装备!T178="","""""",""""&amp;装备!T178&amp;"""")</f>
        <v>"|Cff999999基础属性：|n|r法穿+10%|n|n|Cff999999神通传承：|n|r|Cffff0000离魂秘术|r"</v>
      </c>
      <c r="L119" t="str">
        <f>IF(装备!U178="",0,""""&amp;装备!U178&amp;"""")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IF(装备!B179="",0,"'"&amp;装备!B179&amp;"'")</f>
        <v>'IH06'</v>
      </c>
      <c r="B120">
        <f>装备!D118</f>
        <v>0</v>
      </c>
      <c r="C120">
        <f>装备!E179</f>
        <v>0</v>
      </c>
      <c r="D120">
        <f>装备!F179</f>
        <v>0</v>
      </c>
      <c r="E120">
        <f>IF(ISTEXT(装备!G179)=TRUE,"'"&amp;装备!G179&amp;"'",装备!G179)</f>
        <v>0</v>
      </c>
      <c r="F120">
        <f>IF(ISTEXT(装备!H179)=TRUE,"'"&amp;装备!H179&amp;"'",装备!H179)</f>
        <v>0</v>
      </c>
      <c r="G120">
        <f>IF(装备!I179="",0,"'"&amp;装备!I179&amp;"'")</f>
        <v>0</v>
      </c>
      <c r="H120">
        <f>IF(装备!R179="",0,装备!R179)</f>
        <v>0</v>
      </c>
      <c r="I120">
        <f>IF(装备!S179="",0,装备!S179)</f>
        <v>0</v>
      </c>
      <c r="J120" t="str">
        <f>IF(装备!C179="",0,""""&amp;装备!C179&amp;"""")</f>
        <v>"|CffFF0000狰狞之魂|r"</v>
      </c>
      <c r="K120" t="str">
        <f>IF(装备!T179="","""""",""""&amp;装备!T179&amp;"""")</f>
        <v>"|Cff999999基础属性：|n|r暴击+5%，爆伤+50%|n|n|Cff999999神通传承：|n|r|Cffff0000修罗之怒|r"</v>
      </c>
      <c r="L120" t="str">
        <f>IF(装备!U179="",0,""""&amp;装备!U179&amp;"""")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IF(装备!B180="",0,"'"&amp;装备!B180&amp;"'")</f>
        <v>'IH07'</v>
      </c>
      <c r="B121">
        <f>装备!D119</f>
        <v>0</v>
      </c>
      <c r="C121">
        <f>装备!E180</f>
        <v>0</v>
      </c>
      <c r="D121">
        <f>装备!F180</f>
        <v>0</v>
      </c>
      <c r="E121">
        <f>IF(ISTEXT(装备!G180)=TRUE,"'"&amp;装备!G180&amp;"'",装备!G180)</f>
        <v>0</v>
      </c>
      <c r="F121">
        <f>IF(ISTEXT(装备!H180)=TRUE,"'"&amp;装备!H180&amp;"'",装备!H180)</f>
        <v>0</v>
      </c>
      <c r="G121">
        <f>IF(装备!I180="",0,"'"&amp;装备!I180&amp;"'")</f>
        <v>0</v>
      </c>
      <c r="H121">
        <f>IF(装备!R180="",0,装备!R180)</f>
        <v>0</v>
      </c>
      <c r="I121">
        <f>IF(装备!S180="",0,装备!S180)</f>
        <v>0</v>
      </c>
      <c r="J121" t="str">
        <f>IF(装备!C180="",0,""""&amp;装备!C180&amp;"""")</f>
        <v>"|CffFF0000神威黑虎之魂|r"</v>
      </c>
      <c r="K121" t="str">
        <f>IF(装备!T180="","""""",""""&amp;装备!T180&amp;"""")</f>
        <v>"|Cff999999基础属性：|n|r攻速+50%|n|n|Cff999999神通传承：|n|r|Cffff0000神威一击|r"</v>
      </c>
      <c r="L121" t="str">
        <f>IF(装备!U180="",0,""""&amp;装备!U180&amp;"""")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IF(装备!B181="",0,"'"&amp;装备!B181&amp;"'")</f>
        <v>'IH08'</v>
      </c>
      <c r="B122">
        <f>装备!D120</f>
        <v>0</v>
      </c>
      <c r="C122">
        <f>装备!E181</f>
        <v>0</v>
      </c>
      <c r="D122">
        <f>装备!F181</f>
        <v>0</v>
      </c>
      <c r="E122">
        <f>IF(ISTEXT(装备!G181)=TRUE,"'"&amp;装备!G181&amp;"'",装备!G181)</f>
        <v>0</v>
      </c>
      <c r="F122">
        <f>IF(ISTEXT(装备!H181)=TRUE,"'"&amp;装备!H181&amp;"'",装备!H181)</f>
        <v>0</v>
      </c>
      <c r="G122">
        <f>IF(装备!I181="",0,"'"&amp;装备!I181&amp;"'")</f>
        <v>0</v>
      </c>
      <c r="H122">
        <f>IF(装备!R181="",0,装备!R181)</f>
        <v>0</v>
      </c>
      <c r="I122">
        <f>IF(装备!S181="",0,装备!S181)</f>
        <v>0</v>
      </c>
      <c r="J122" t="str">
        <f>IF(装备!C181="",0,""""&amp;装备!C181&amp;"""")</f>
        <v>"|CffFF0000孔雀之魂|r"</v>
      </c>
      <c r="K122" t="str">
        <f>IF(装备!T181="","""""",""""&amp;装备!T181&amp;"""")</f>
        <v>"|Cff999999基础属性：|n|r冷却+10%|n|n|Cff999999神通传承：|n|r|Cffff0000道法自然|r"</v>
      </c>
      <c r="L122" t="str">
        <f>IF(装备!U181="",0,""""&amp;装备!U181&amp;"""")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IF(装备!B182="",0,"'"&amp;装备!B182&amp;"'")</f>
        <v>'IB01'</v>
      </c>
      <c r="B123">
        <f>装备!D121</f>
        <v>0</v>
      </c>
      <c r="C123">
        <f>装备!E182</f>
        <v>0</v>
      </c>
      <c r="D123">
        <f>装备!F182</f>
        <v>0</v>
      </c>
      <c r="E123">
        <f>IF(ISTEXT(装备!G182)=TRUE,"'"&amp;装备!G182&amp;"'",装备!G182)</f>
        <v>0</v>
      </c>
      <c r="F123">
        <f>IF(ISTEXT(装备!H182)=TRUE,"'"&amp;装备!H182&amp;"'",装备!H182)</f>
        <v>0</v>
      </c>
      <c r="G123">
        <f>IF(装备!I182="",0,"'"&amp;装备!I182&amp;"'")</f>
        <v>0</v>
      </c>
      <c r="H123">
        <f>IF(装备!R182="",0,装备!R182)</f>
        <v>0</v>
      </c>
      <c r="I123">
        <f>IF(装备!S182="",0,装备!S182)</f>
        <v>0</v>
      </c>
      <c r="J123" t="str">
        <f>IF(装备!C182="",0,""""&amp;装备!C182&amp;"""")</f>
        <v>"公众号礼包"</v>
      </c>
      <c r="K123" t="str">
        <f>IF(装备!T182="","""""",""""&amp;装备!T182&amp;"""")</f>
        <v>"公众号礼包"</v>
      </c>
      <c r="L123" t="str">
        <f>IF(装备!U182="",0,""""&amp;装备!U182&amp;"""")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IF(装备!B183="",0,"'"&amp;装备!B183&amp;"'")</f>
        <v>'IB02'</v>
      </c>
      <c r="B124">
        <f>装备!D122</f>
        <v>0</v>
      </c>
      <c r="C124">
        <f>装备!E183</f>
        <v>0</v>
      </c>
      <c r="D124">
        <f>装备!F183</f>
        <v>0</v>
      </c>
      <c r="E124">
        <f>IF(ISTEXT(装备!G183)=TRUE,"'"&amp;装备!G183&amp;"'",装备!G183)</f>
        <v>0</v>
      </c>
      <c r="F124">
        <f>IF(ISTEXT(装备!H183)=TRUE,"'"&amp;装备!H183&amp;"'",装备!H183)</f>
        <v>0</v>
      </c>
      <c r="G124">
        <f>IF(装备!I183="",0,"'"&amp;装备!I183&amp;"'")</f>
        <v>0</v>
      </c>
      <c r="H124">
        <f>IF(装备!R183="",0,装备!R183)</f>
        <v>0</v>
      </c>
      <c r="I124">
        <f>IF(装备!S183="",0,装备!S183)</f>
        <v>0</v>
      </c>
      <c r="J124" t="str">
        <f>IF(装备!C183="",0,""""&amp;装备!C183&amp;"""")</f>
        <v>"入群礼包"</v>
      </c>
      <c r="K124" t="str">
        <f>IF(装备!T183="","""""",""""&amp;装备!T183&amp;"""")</f>
        <v>"入群礼包"</v>
      </c>
      <c r="L124" t="str">
        <f>IF(装备!U183="",0,""""&amp;装备!U183&amp;"""")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IF(装备!B184="",0,"'"&amp;装备!B184&amp;"'")</f>
        <v>'IB03'</v>
      </c>
      <c r="B125">
        <f>装备!D123</f>
        <v>0</v>
      </c>
      <c r="C125">
        <f>装备!E184</f>
        <v>0</v>
      </c>
      <c r="D125">
        <f>装备!F184</f>
        <v>0</v>
      </c>
      <c r="E125">
        <f>IF(ISTEXT(装备!G184)=TRUE,"'"&amp;装备!G184&amp;"'",装备!G184)</f>
        <v>0</v>
      </c>
      <c r="F125">
        <f>IF(ISTEXT(装备!H184)=TRUE,"'"&amp;装备!H184&amp;"'",装备!H184)</f>
        <v>0</v>
      </c>
      <c r="G125">
        <f>IF(装备!I184="",0,"'"&amp;装备!I184&amp;"'")</f>
        <v>0</v>
      </c>
      <c r="H125">
        <f>IF(装备!R184="",0,装备!R184)</f>
        <v>0</v>
      </c>
      <c r="I125">
        <f>IF(装备!S184="",0,装备!S184)</f>
        <v>0</v>
      </c>
      <c r="J125" t="str">
        <f>IF(装备!C184="",0,""""&amp;装备!C184&amp;"""")</f>
        <v>"拜年礼包"</v>
      </c>
      <c r="K125" t="str">
        <f>IF(装备!T184="","""""",""""&amp;装备!T184&amp;"""")</f>
        <v>"拜年礼包"</v>
      </c>
      <c r="L125" t="str">
        <f>IF(装备!U184="",0,""""&amp;装备!U184&amp;"""")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InitTypeIdStrings('IB03',"拜年礼包","ReplaceableTextures\\CommandButtons\\BTNIB03.blp","拜年礼包")</v>
      </c>
    </row>
    <row r="126" spans="1:14">
      <c r="A126" t="str">
        <f>IF(装备!B185="",0,"'"&amp;装备!B185&amp;"'")</f>
        <v>'IB04'</v>
      </c>
      <c r="B126">
        <f>装备!D124</f>
        <v>0</v>
      </c>
      <c r="C126">
        <f>装备!E185</f>
        <v>0</v>
      </c>
      <c r="D126">
        <f>装备!F185</f>
        <v>0</v>
      </c>
      <c r="E126">
        <f>IF(ISTEXT(装备!G185)=TRUE,"'"&amp;装备!G185&amp;"'",装备!G185)</f>
        <v>0</v>
      </c>
      <c r="F126">
        <f>IF(ISTEXT(装备!H185)=TRUE,"'"&amp;装备!H185&amp;"'",装备!H185)</f>
        <v>0</v>
      </c>
      <c r="G126">
        <f>IF(装备!I185="",0,"'"&amp;装备!I185&amp;"'")</f>
        <v>0</v>
      </c>
      <c r="H126">
        <f>IF(装备!R185="",0,装备!R185)</f>
        <v>0</v>
      </c>
      <c r="I126">
        <f>IF(装备!S185="",0,装备!S185)</f>
        <v>0</v>
      </c>
      <c r="J126" t="str">
        <f>IF(装备!C185="",0,""""&amp;装备!C185&amp;"""")</f>
        <v>"收藏礼包"</v>
      </c>
      <c r="K126" t="str">
        <f>IF(装备!T185="","""""",""""&amp;装备!T185&amp;"""")</f>
        <v>"收藏礼包"</v>
      </c>
      <c r="L126" t="str">
        <f>IF(装备!U185="",0,""""&amp;装备!U185&amp;"""")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IF(装备!B186="",0,"'"&amp;装备!B186&amp;"'")</f>
        <v>'IB05'</v>
      </c>
      <c r="B127">
        <f>装备!D125</f>
        <v>0</v>
      </c>
      <c r="C127">
        <f>装备!E186</f>
        <v>0</v>
      </c>
      <c r="D127">
        <f>装备!F186</f>
        <v>0</v>
      </c>
      <c r="E127">
        <f>IF(ISTEXT(装备!G186)=TRUE,"'"&amp;装备!G186&amp;"'",装备!G186)</f>
        <v>0</v>
      </c>
      <c r="F127">
        <f>IF(ISTEXT(装备!H186)=TRUE,"'"&amp;装备!H186&amp;"'",装备!H186)</f>
        <v>0</v>
      </c>
      <c r="G127">
        <f>IF(装备!I186="",0,"'"&amp;装备!I186&amp;"'")</f>
        <v>0</v>
      </c>
      <c r="H127">
        <f>IF(装备!R186="",0,装备!R186)</f>
        <v>0</v>
      </c>
      <c r="I127">
        <f>IF(装备!S186="",0,装备!S186)</f>
        <v>0</v>
      </c>
      <c r="J127" t="str">
        <f>IF(装备!C186="",0,""""&amp;装备!C186&amp;"""")</f>
        <v>"重置版礼包"</v>
      </c>
      <c r="K127" t="str">
        <f>IF(装备!T186="","""""",""""&amp;装备!T186&amp;"""")</f>
        <v>"重置版礼包"</v>
      </c>
      <c r="L127" t="str">
        <f>IF(装备!U186="",0,""""&amp;装备!U186&amp;"""")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IF(装备!B200="",0,"'"&amp;装备!B200&amp;"'")</f>
        <v>'IF01'</v>
      </c>
      <c r="B128">
        <f>装备!D126</f>
        <v>0</v>
      </c>
      <c r="C128">
        <f>装备!E200</f>
        <v>0</v>
      </c>
      <c r="D128">
        <f>装备!F200</f>
        <v>0</v>
      </c>
      <c r="E128">
        <f>IF(ISTEXT(装备!G200)=TRUE,"'"&amp;装备!G200&amp;"'",装备!G200)</f>
        <v>0</v>
      </c>
      <c r="F128">
        <f>IF(ISTEXT(装备!H200)=TRUE,"'"&amp;装备!H200&amp;"'",装备!H200)</f>
        <v>0</v>
      </c>
      <c r="G128">
        <f>IF(装备!I200="",0,"'"&amp;装备!I200&amp;"'")</f>
        <v>0</v>
      </c>
      <c r="H128">
        <f>IF(装备!R200="",0,装备!R200)</f>
        <v>0</v>
      </c>
      <c r="I128">
        <f>IF(装备!S200="",0,装备!S200)</f>
        <v>0</v>
      </c>
      <c r="J128" t="str">
        <f>IF(装备!C200="",0,""""&amp;装备!C200&amp;"""")</f>
        <v>"攻击"</v>
      </c>
      <c r="K128" t="str">
        <f>IF(装备!T200="","""""",""""&amp;装备!T200&amp;"""")</f>
        <v>""</v>
      </c>
      <c r="L128" t="str">
        <f>IF(装备!U200="",0,""""&amp;装备!U200&amp;"""")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IF(装备!B201="",0,"'"&amp;装备!B201&amp;"'")</f>
        <v>'IF02'</v>
      </c>
      <c r="B129">
        <f>装备!D127</f>
        <v>0</v>
      </c>
      <c r="C129">
        <f>装备!E201</f>
        <v>0</v>
      </c>
      <c r="D129">
        <f>装备!F201</f>
        <v>0</v>
      </c>
      <c r="E129">
        <f>IF(ISTEXT(装备!G201)=TRUE,"'"&amp;装备!G201&amp;"'",装备!G201)</f>
        <v>0</v>
      </c>
      <c r="F129">
        <f>IF(ISTEXT(装备!H201)=TRUE,"'"&amp;装备!H201&amp;"'",装备!H201)</f>
        <v>0</v>
      </c>
      <c r="G129">
        <f>IF(装备!I201="",0,"'"&amp;装备!I201&amp;"'")</f>
        <v>0</v>
      </c>
      <c r="H129">
        <f>IF(装备!R201="",0,装备!R201)</f>
        <v>0</v>
      </c>
      <c r="I129">
        <f>IF(装备!S201="",0,装备!S201)</f>
        <v>0</v>
      </c>
      <c r="J129" t="str">
        <f>IF(装备!C201="",0,""""&amp;装备!C201&amp;"""")</f>
        <v>"法强"</v>
      </c>
      <c r="K129" t="str">
        <f>IF(装备!T201="","""""",""""&amp;装备!T201&amp;"""")</f>
        <v>""</v>
      </c>
      <c r="L129">
        <f>IF(装备!U201="",0,""""&amp;装备!U201&amp;"""")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IF(装备!B202="",0,"'"&amp;装备!B202&amp;"'")</f>
        <v>'IF03'</v>
      </c>
      <c r="B130">
        <f>装备!D128</f>
        <v>0</v>
      </c>
      <c r="C130">
        <f>装备!E202</f>
        <v>0</v>
      </c>
      <c r="D130">
        <f>装备!F202</f>
        <v>0</v>
      </c>
      <c r="E130">
        <f>IF(ISTEXT(装备!G202)=TRUE,"'"&amp;装备!G202&amp;"'",装备!G202)</f>
        <v>0</v>
      </c>
      <c r="F130">
        <f>IF(ISTEXT(装备!H202)=TRUE,"'"&amp;装备!H202&amp;"'",装备!H202)</f>
        <v>0</v>
      </c>
      <c r="G130">
        <f>IF(装备!I202="",0,"'"&amp;装备!I202&amp;"'")</f>
        <v>0</v>
      </c>
      <c r="H130">
        <f>IF(装备!R202="",0,装备!R202)</f>
        <v>0</v>
      </c>
      <c r="I130">
        <f>IF(装备!S202="",0,装备!S202)</f>
        <v>0</v>
      </c>
      <c r="J130" t="str">
        <f>IF(装备!C202="",0,""""&amp;装备!C202&amp;"""")</f>
        <v>"攻击"</v>
      </c>
      <c r="K130" t="str">
        <f>IF(装备!T202="","""""",""""&amp;装备!T202&amp;"""")</f>
        <v>""</v>
      </c>
      <c r="L130">
        <f>IF(装备!U202="",0,""""&amp;装备!U202&amp;"""")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IF(装备!B203="",0,"'"&amp;装备!B203&amp;"'")</f>
        <v>'IF04'</v>
      </c>
      <c r="B131">
        <f>装备!D129</f>
        <v>0</v>
      </c>
      <c r="C131">
        <f>装备!E203</f>
        <v>0</v>
      </c>
      <c r="D131">
        <f>装备!F203</f>
        <v>0</v>
      </c>
      <c r="E131">
        <f>IF(ISTEXT(装备!G203)=TRUE,"'"&amp;装备!G203&amp;"'",装备!G203)</f>
        <v>0</v>
      </c>
      <c r="F131">
        <f>IF(ISTEXT(装备!H203)=TRUE,"'"&amp;装备!H203&amp;"'",装备!H203)</f>
        <v>0</v>
      </c>
      <c r="G131">
        <f>IF(装备!I203="",0,"'"&amp;装备!I203&amp;"'")</f>
        <v>0</v>
      </c>
      <c r="H131">
        <f>IF(装备!R203="",0,装备!R203)</f>
        <v>0</v>
      </c>
      <c r="I131">
        <f>IF(装备!S203="",0,装备!S203)</f>
        <v>0</v>
      </c>
      <c r="J131" t="str">
        <f>IF(装备!C203="",0,""""&amp;装备!C203&amp;"""")</f>
        <v>"法强"</v>
      </c>
      <c r="K131" t="str">
        <f>IF(装备!T203="","""""",""""&amp;装备!T203&amp;"""")</f>
        <v>""</v>
      </c>
      <c r="L131">
        <f>IF(装备!U203="",0,""""&amp;装备!U203&amp;"""")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IF(装备!B204="",0,"'"&amp;装备!B204&amp;"'")</f>
        <v>'IF05'</v>
      </c>
      <c r="B132">
        <f>装备!D130</f>
        <v>0</v>
      </c>
      <c r="C132">
        <f>装备!E204</f>
        <v>0</v>
      </c>
      <c r="D132">
        <f>装备!F204</f>
        <v>0</v>
      </c>
      <c r="E132">
        <f>IF(ISTEXT(装备!G204)=TRUE,"'"&amp;装备!G204&amp;"'",装备!G204)</f>
        <v>0</v>
      </c>
      <c r="F132">
        <f>IF(ISTEXT(装备!H204)=TRUE,"'"&amp;装备!H204&amp;"'",装备!H204)</f>
        <v>0</v>
      </c>
      <c r="G132">
        <f>IF(装备!I204="",0,"'"&amp;装备!I204&amp;"'")</f>
        <v>0</v>
      </c>
      <c r="H132">
        <f>IF(装备!R204="",0,装备!R204)</f>
        <v>0</v>
      </c>
      <c r="I132">
        <f>IF(装备!S204="",0,装备!S204)</f>
        <v>0</v>
      </c>
      <c r="J132" t="str">
        <f>IF(装备!C204="",0,""""&amp;装备!C204&amp;"""")</f>
        <v>"攻击"</v>
      </c>
      <c r="K132" t="str">
        <f>IF(装备!T204="","""""",""""&amp;装备!T204&amp;"""")</f>
        <v>""</v>
      </c>
      <c r="L132">
        <f>IF(装备!U204="",0,""""&amp;装备!U204&amp;"""")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IF(装备!B205="",0,"'"&amp;装备!B205&amp;"'")</f>
        <v>'IF06'</v>
      </c>
      <c r="B133">
        <f>装备!D131</f>
        <v>0</v>
      </c>
      <c r="C133">
        <f>装备!E205</f>
        <v>0</v>
      </c>
      <c r="D133">
        <f>装备!F205</f>
        <v>0</v>
      </c>
      <c r="E133">
        <f>IF(ISTEXT(装备!G205)=TRUE,"'"&amp;装备!G205&amp;"'",装备!G205)</f>
        <v>0</v>
      </c>
      <c r="F133">
        <f>IF(ISTEXT(装备!H205)=TRUE,"'"&amp;装备!H205&amp;"'",装备!H205)</f>
        <v>0</v>
      </c>
      <c r="G133">
        <f>IF(装备!I205="",0,"'"&amp;装备!I205&amp;"'")</f>
        <v>0</v>
      </c>
      <c r="H133">
        <f>IF(装备!R205="",0,装备!R205)</f>
        <v>0</v>
      </c>
      <c r="I133">
        <f>IF(装备!S205="",0,装备!S205)</f>
        <v>0</v>
      </c>
      <c r="J133" t="str">
        <f>IF(装备!C205="",0,""""&amp;装备!C205&amp;"""")</f>
        <v>"法强"</v>
      </c>
      <c r="K133" t="str">
        <f>IF(装备!T205="","""""",""""&amp;装备!T205&amp;"""")</f>
        <v>""</v>
      </c>
      <c r="L133">
        <f>IF(装备!U205="",0,""""&amp;装备!U205&amp;"""")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IF(装备!B206="",0,"'"&amp;装备!B206&amp;"'")</f>
        <v>'IF07'</v>
      </c>
      <c r="B134">
        <f>装备!D132</f>
        <v>0</v>
      </c>
      <c r="C134">
        <f>装备!E206</f>
        <v>0</v>
      </c>
      <c r="D134">
        <f>装备!F206</f>
        <v>0</v>
      </c>
      <c r="E134">
        <f>IF(ISTEXT(装备!G206)=TRUE,"'"&amp;装备!G206&amp;"'",装备!G206)</f>
        <v>0</v>
      </c>
      <c r="F134">
        <f>IF(ISTEXT(装备!H206)=TRUE,"'"&amp;装备!H206&amp;"'",装备!H206)</f>
        <v>0</v>
      </c>
      <c r="G134">
        <f>IF(装备!I206="",0,"'"&amp;装备!I206&amp;"'")</f>
        <v>0</v>
      </c>
      <c r="H134">
        <f>IF(装备!R206="",0,装备!R206)</f>
        <v>0</v>
      </c>
      <c r="I134">
        <f>IF(装备!S206="",0,装备!S206)</f>
        <v>0</v>
      </c>
      <c r="J134" t="str">
        <f>IF(装备!C206="",0,""""&amp;装备!C206&amp;"""")</f>
        <v>"攻击"</v>
      </c>
      <c r="K134" t="str">
        <f>IF(装备!T206="","""""",""""&amp;装备!T206&amp;"""")</f>
        <v>""</v>
      </c>
      <c r="L134">
        <f>IF(装备!U206="",0,""""&amp;装备!U206&amp;"""")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IF(装备!B207="",0,"'"&amp;装备!B207&amp;"'")</f>
        <v>'IF08'</v>
      </c>
      <c r="B135">
        <f>装备!D133</f>
        <v>0</v>
      </c>
      <c r="C135">
        <f>装备!E207</f>
        <v>0</v>
      </c>
      <c r="D135">
        <f>装备!F207</f>
        <v>0</v>
      </c>
      <c r="E135">
        <f>IF(ISTEXT(装备!G207)=TRUE,"'"&amp;装备!G207&amp;"'",装备!G207)</f>
        <v>0</v>
      </c>
      <c r="F135">
        <f>IF(ISTEXT(装备!H207)=TRUE,"'"&amp;装备!H207&amp;"'",装备!H207)</f>
        <v>0</v>
      </c>
      <c r="G135">
        <f>IF(装备!I207="",0,"'"&amp;装备!I207&amp;"'")</f>
        <v>0</v>
      </c>
      <c r="H135">
        <f>IF(装备!R207="",0,装备!R207)</f>
        <v>0</v>
      </c>
      <c r="I135">
        <f>IF(装备!S207="",0,装备!S207)</f>
        <v>0</v>
      </c>
      <c r="J135" t="str">
        <f>IF(装备!C207="",0,""""&amp;装备!C207&amp;"""")</f>
        <v>"法强"</v>
      </c>
      <c r="K135" t="str">
        <f>IF(装备!T207="","""""",""""&amp;装备!T207&amp;"""")</f>
        <v>""</v>
      </c>
      <c r="L135">
        <f>IF(装备!U207="",0,""""&amp;装备!U207&amp;"""")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IF(装备!B208="",0,"'"&amp;装备!B208&amp;"'")</f>
        <v>'IF09'</v>
      </c>
      <c r="B136">
        <f>装备!D134</f>
        <v>0</v>
      </c>
      <c r="C136">
        <f>装备!E208</f>
        <v>0</v>
      </c>
      <c r="D136">
        <f>装备!F208</f>
        <v>0</v>
      </c>
      <c r="E136">
        <f>IF(ISTEXT(装备!G208)=TRUE,"'"&amp;装备!G208&amp;"'",装备!G208)</f>
        <v>0</v>
      </c>
      <c r="F136">
        <f>IF(ISTEXT(装备!H208)=TRUE,"'"&amp;装备!H208&amp;"'",装备!H208)</f>
        <v>0</v>
      </c>
      <c r="G136">
        <f>IF(装备!I208="",0,"'"&amp;装备!I208&amp;"'")</f>
        <v>0</v>
      </c>
      <c r="H136">
        <f>IF(装备!R208="",0,装备!R208)</f>
        <v>0</v>
      </c>
      <c r="I136">
        <f>IF(装备!S208="",0,装备!S208)</f>
        <v>0</v>
      </c>
      <c r="J136" t="str">
        <f>IF(装备!C208="",0,""""&amp;装备!C208&amp;"""")</f>
        <v>"攻击"</v>
      </c>
      <c r="K136" t="str">
        <f>IF(装备!T208="","""""",""""&amp;装备!T208&amp;"""")</f>
        <v>""</v>
      </c>
      <c r="L136">
        <f>IF(装备!U208="",0,""""&amp;装备!U208&amp;"""")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IF(装备!B209="",0,"'"&amp;装备!B209&amp;"'")</f>
        <v>'IF10'</v>
      </c>
      <c r="B137">
        <f>装备!D135</f>
        <v>0</v>
      </c>
      <c r="C137">
        <f>装备!E209</f>
        <v>0</v>
      </c>
      <c r="D137">
        <f>装备!F209</f>
        <v>0</v>
      </c>
      <c r="E137">
        <f>IF(ISTEXT(装备!G209)=TRUE,"'"&amp;装备!G209&amp;"'",装备!G209)</f>
        <v>0</v>
      </c>
      <c r="F137">
        <f>IF(ISTEXT(装备!H209)=TRUE,"'"&amp;装备!H209&amp;"'",装备!H209)</f>
        <v>0</v>
      </c>
      <c r="G137">
        <f>IF(装备!I209="",0,"'"&amp;装备!I209&amp;"'")</f>
        <v>0</v>
      </c>
      <c r="H137">
        <f>IF(装备!R209="",0,装备!R209)</f>
        <v>0</v>
      </c>
      <c r="I137">
        <f>IF(装备!S209="",0,装备!S209)</f>
        <v>0</v>
      </c>
      <c r="J137" t="str">
        <f>IF(装备!C209="",0,""""&amp;装备!C209&amp;"""")</f>
        <v>"法强"</v>
      </c>
      <c r="K137" t="str">
        <f>IF(装备!T209="","""""",""""&amp;装备!T209&amp;"""")</f>
        <v>""</v>
      </c>
      <c r="L137">
        <f>IF(装备!U209="",0,""""&amp;装备!U209&amp;"""")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IF(装备!B210="",0,"'"&amp;装备!B210&amp;"'")</f>
        <v>'IF11'</v>
      </c>
      <c r="B138">
        <f>装备!D136</f>
        <v>0</v>
      </c>
      <c r="C138">
        <f>装备!E210</f>
        <v>0</v>
      </c>
      <c r="D138">
        <f>装备!F210</f>
        <v>0</v>
      </c>
      <c r="E138">
        <f>IF(ISTEXT(装备!G210)=TRUE,"'"&amp;装备!G210&amp;"'",装备!G210)</f>
        <v>0</v>
      </c>
      <c r="F138">
        <f>IF(ISTEXT(装备!H210)=TRUE,"'"&amp;装备!H210&amp;"'",装备!H210)</f>
        <v>0</v>
      </c>
      <c r="G138">
        <f>IF(装备!I210="",0,"'"&amp;装备!I210&amp;"'")</f>
        <v>0</v>
      </c>
      <c r="H138">
        <f>IF(装备!R210="",0,装备!R210)</f>
        <v>0</v>
      </c>
      <c r="I138">
        <f>IF(装备!S210="",0,装备!S210)</f>
        <v>0</v>
      </c>
      <c r="J138" t="str">
        <f>IF(装备!C210="",0,""""&amp;装备!C210&amp;"""")</f>
        <v>"攻击和法强"</v>
      </c>
      <c r="K138" t="str">
        <f>IF(装备!T210="","""""",""""&amp;装备!T210&amp;"""")</f>
        <v>""</v>
      </c>
      <c r="L138">
        <f>IF(装备!U210="",0,""""&amp;装备!U210&amp;"""")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IF(装备!B211="",0,"'"&amp;装备!B211&amp;"'")</f>
        <v>'IF12'</v>
      </c>
      <c r="B139">
        <f>装备!D137</f>
        <v>0</v>
      </c>
      <c r="C139">
        <f>装备!E211</f>
        <v>0</v>
      </c>
      <c r="D139">
        <f>装备!F211</f>
        <v>0</v>
      </c>
      <c r="E139">
        <f>IF(ISTEXT(装备!G211)=TRUE,"'"&amp;装备!G211&amp;"'",装备!G211)</f>
        <v>0</v>
      </c>
      <c r="F139">
        <f>IF(ISTEXT(装备!H211)=TRUE,"'"&amp;装备!H211&amp;"'",装备!H211)</f>
        <v>0</v>
      </c>
      <c r="G139">
        <f>IF(装备!I211="",0,"'"&amp;装备!I211&amp;"'")</f>
        <v>0</v>
      </c>
      <c r="H139">
        <f>IF(装备!R211="",0,装备!R211)</f>
        <v>0</v>
      </c>
      <c r="I139">
        <f>IF(装备!S211="",0,装备!S211)</f>
        <v>0</v>
      </c>
      <c r="J139" t="str">
        <f>IF(装备!C211="",0,""""&amp;装备!C211&amp;"""")</f>
        <v>"暴击"</v>
      </c>
      <c r="K139" t="str">
        <f>IF(装备!T211="","""""",""""&amp;装备!T211&amp;"""")</f>
        <v>""</v>
      </c>
      <c r="L139">
        <f>IF(装备!U211="",0,""""&amp;装备!U211&amp;"""")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IF(装备!B212="",0,"'"&amp;装备!B212&amp;"'")</f>
        <v>'IF13'</v>
      </c>
      <c r="B140">
        <f>装备!D138</f>
        <v>0</v>
      </c>
      <c r="C140">
        <f>装备!E212</f>
        <v>0</v>
      </c>
      <c r="D140">
        <f>装备!F212</f>
        <v>0</v>
      </c>
      <c r="E140">
        <f>IF(ISTEXT(装备!G212)=TRUE,"'"&amp;装备!G212&amp;"'",装备!G212)</f>
        <v>0</v>
      </c>
      <c r="F140">
        <f>IF(ISTEXT(装备!H212)=TRUE,"'"&amp;装备!H212&amp;"'",装备!H212)</f>
        <v>0</v>
      </c>
      <c r="G140">
        <f>IF(装备!I212="",0,"'"&amp;装备!I212&amp;"'")</f>
        <v>0</v>
      </c>
      <c r="H140">
        <f>IF(装备!R212="",0,装备!R212)</f>
        <v>0</v>
      </c>
      <c r="I140">
        <f>IF(装备!S212="",0,装备!S212)</f>
        <v>0</v>
      </c>
      <c r="J140" t="str">
        <f>IF(装备!C212="",0,""""&amp;装备!C212&amp;"""")</f>
        <v>"爆伤"</v>
      </c>
      <c r="K140" t="str">
        <f>IF(装备!T212="","""""",""""&amp;装备!T212&amp;"""")</f>
        <v>""</v>
      </c>
      <c r="L140">
        <f>IF(装备!U212="",0,""""&amp;装备!U212&amp;"""")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IF(装备!B213="",0,"'"&amp;装备!B213&amp;"'")</f>
        <v>'IF14'</v>
      </c>
      <c r="B141">
        <f>装备!D139</f>
        <v>0</v>
      </c>
      <c r="C141">
        <f>装备!E213</f>
        <v>0</v>
      </c>
      <c r="D141">
        <f>装备!F213</f>
        <v>0</v>
      </c>
      <c r="E141">
        <f>IF(ISTEXT(装备!G213)=TRUE,"'"&amp;装备!G213&amp;"'",装备!G213)</f>
        <v>0</v>
      </c>
      <c r="F141">
        <f>IF(ISTEXT(装备!H213)=TRUE,"'"&amp;装备!H213&amp;"'",装备!H213)</f>
        <v>0</v>
      </c>
      <c r="G141">
        <f>IF(装备!I213="",0,"'"&amp;装备!I213&amp;"'")</f>
        <v>0</v>
      </c>
      <c r="H141">
        <f>IF(装备!R213="",0,装备!R213)</f>
        <v>0</v>
      </c>
      <c r="I141">
        <f>IF(装备!S213="",0,装备!S213)</f>
        <v>0</v>
      </c>
      <c r="J141" t="str">
        <f>IF(装备!C213="",0,""""&amp;装备!C213&amp;"""")</f>
        <v>"爆伤"</v>
      </c>
      <c r="K141" t="str">
        <f>IF(装备!T213="","""""",""""&amp;装备!T213&amp;"""")</f>
        <v>""</v>
      </c>
      <c r="L141">
        <f>IF(装备!U213="",0,""""&amp;装备!U213&amp;"""")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IF(装备!B214="",0,"'"&amp;装备!B214&amp;"'")</f>
        <v>'IF15'</v>
      </c>
      <c r="B142">
        <f>装备!D140</f>
        <v>0</v>
      </c>
      <c r="C142">
        <f>装备!E214</f>
        <v>0</v>
      </c>
      <c r="D142">
        <f>装备!F214</f>
        <v>0</v>
      </c>
      <c r="E142">
        <f>IF(ISTEXT(装备!G214)=TRUE,"'"&amp;装备!G214&amp;"'",装备!G214)</f>
        <v>0</v>
      </c>
      <c r="F142">
        <f>IF(ISTEXT(装备!H214)=TRUE,"'"&amp;装备!H214&amp;"'",装备!H214)</f>
        <v>0</v>
      </c>
      <c r="G142">
        <f>IF(装备!I214="",0,"'"&amp;装备!I214&amp;"'")</f>
        <v>0</v>
      </c>
      <c r="H142">
        <f>IF(装备!R214="",0,装备!R214)</f>
        <v>0</v>
      </c>
      <c r="I142">
        <f>IF(装备!S214="",0,装备!S214)</f>
        <v>0</v>
      </c>
      <c r="J142" t="str">
        <f>IF(装备!C214="",0,""""&amp;装备!C214&amp;"""")</f>
        <v>"爆伤"</v>
      </c>
      <c r="K142" t="str">
        <f>IF(装备!T214="","""""",""""&amp;装备!T214&amp;"""")</f>
        <v>""</v>
      </c>
      <c r="L142">
        <f>IF(装备!U214="",0,""""&amp;装备!U214&amp;"""")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IF(装备!B215="",0,"'"&amp;装备!B215&amp;"'")</f>
        <v>'IF16'</v>
      </c>
      <c r="B143">
        <f>装备!D141</f>
        <v>0</v>
      </c>
      <c r="C143">
        <f>装备!E215</f>
        <v>0</v>
      </c>
      <c r="D143">
        <f>装备!F215</f>
        <v>0</v>
      </c>
      <c r="E143">
        <f>IF(ISTEXT(装备!G215)=TRUE,"'"&amp;装备!G215&amp;"'",装备!G215)</f>
        <v>0</v>
      </c>
      <c r="F143">
        <f>IF(ISTEXT(装备!H215)=TRUE,"'"&amp;装备!H215&amp;"'",装备!H215)</f>
        <v>0</v>
      </c>
      <c r="G143">
        <f>IF(装备!I215="",0,"'"&amp;装备!I215&amp;"'")</f>
        <v>0</v>
      </c>
      <c r="H143">
        <f>IF(装备!R215="",0,装备!R215)</f>
        <v>0</v>
      </c>
      <c r="I143">
        <f>IF(装备!S215="",0,装备!S215)</f>
        <v>0</v>
      </c>
      <c r="J143" t="str">
        <f>IF(装备!C215="",0,""""&amp;装备!C215&amp;"""")</f>
        <v>"冷却缩减"</v>
      </c>
      <c r="K143" t="str">
        <f>IF(装备!T215="","""""",""""&amp;装备!T215&amp;"""")</f>
        <v>""</v>
      </c>
      <c r="L143">
        <f>IF(装备!U215="",0,""""&amp;装备!U215&amp;"""")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IF(装备!B216="",0,"'"&amp;装备!B216&amp;"'")</f>
        <v>'IF17'</v>
      </c>
      <c r="B144">
        <f>装备!D142</f>
        <v>0</v>
      </c>
      <c r="C144">
        <f>装备!E216</f>
        <v>0</v>
      </c>
      <c r="D144">
        <f>装备!F216</f>
        <v>0</v>
      </c>
      <c r="E144">
        <f>IF(ISTEXT(装备!G216)=TRUE,"'"&amp;装备!G216&amp;"'",装备!G216)</f>
        <v>0</v>
      </c>
      <c r="F144">
        <f>IF(ISTEXT(装备!H216)=TRUE,"'"&amp;装备!H216&amp;"'",装备!H216)</f>
        <v>0</v>
      </c>
      <c r="G144">
        <f>IF(装备!I216="",0,"'"&amp;装备!I216&amp;"'")</f>
        <v>0</v>
      </c>
      <c r="H144">
        <f>IF(装备!R216="",0,装备!R216)</f>
        <v>0</v>
      </c>
      <c r="I144">
        <f>IF(装备!S216="",0,装备!S216)</f>
        <v>0</v>
      </c>
      <c r="J144" t="str">
        <f>IF(装备!C216="",0,""""&amp;装备!C216&amp;"""")</f>
        <v>"冷却缩减"</v>
      </c>
      <c r="K144" t="str">
        <f>IF(装备!T216="","""""",""""&amp;装备!T216&amp;"""")</f>
        <v>""</v>
      </c>
      <c r="L144">
        <f>IF(装备!U216="",0,""""&amp;装备!U216&amp;"""")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IF(装备!B217="",0,"'"&amp;装备!B217&amp;"'")</f>
        <v>'IF18'</v>
      </c>
      <c r="B145">
        <f>装备!D143</f>
        <v>0</v>
      </c>
      <c r="C145">
        <f>装备!E217</f>
        <v>0</v>
      </c>
      <c r="D145">
        <f>装备!F217</f>
        <v>0</v>
      </c>
      <c r="E145">
        <f>IF(ISTEXT(装备!G217)=TRUE,"'"&amp;装备!G217&amp;"'",装备!G217)</f>
        <v>0</v>
      </c>
      <c r="F145">
        <f>IF(ISTEXT(装备!H217)=TRUE,"'"&amp;装备!H217&amp;"'",装备!H217)</f>
        <v>0</v>
      </c>
      <c r="G145">
        <f>IF(装备!I217="",0,"'"&amp;装备!I217&amp;"'")</f>
        <v>0</v>
      </c>
      <c r="H145">
        <f>IF(装备!R217="",0,装备!R217)</f>
        <v>0</v>
      </c>
      <c r="I145">
        <f>IF(装备!S217="",0,装备!S217)</f>
        <v>0</v>
      </c>
      <c r="J145" t="str">
        <f>IF(装备!C217="",0,""""&amp;装备!C217&amp;"""")</f>
        <v>"攻击速度"</v>
      </c>
      <c r="K145" t="str">
        <f>IF(装备!T217="","""""",""""&amp;装备!T217&amp;"""")</f>
        <v>""</v>
      </c>
      <c r="L145">
        <f>IF(装备!U217="",0,""""&amp;装备!U217&amp;"""")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IF(装备!B218="",0,"'"&amp;装备!B218&amp;"'")</f>
        <v>'IF19'</v>
      </c>
      <c r="B146">
        <f>装备!D144</f>
        <v>0</v>
      </c>
      <c r="C146">
        <f>装备!E218</f>
        <v>0</v>
      </c>
      <c r="D146">
        <f>装备!F218</f>
        <v>0</v>
      </c>
      <c r="E146">
        <f>IF(ISTEXT(装备!G218)=TRUE,"'"&amp;装备!G218&amp;"'",装备!G218)</f>
        <v>0</v>
      </c>
      <c r="F146">
        <f>IF(ISTEXT(装备!H218)=TRUE,"'"&amp;装备!H218&amp;"'",装备!H218)</f>
        <v>0</v>
      </c>
      <c r="G146">
        <f>IF(装备!I218="",0,"'"&amp;装备!I218&amp;"'")</f>
        <v>0</v>
      </c>
      <c r="H146">
        <f>IF(装备!R218="",0,装备!R218)</f>
        <v>0</v>
      </c>
      <c r="I146">
        <f>IF(装备!S218="",0,装备!S218)</f>
        <v>0</v>
      </c>
      <c r="J146" t="str">
        <f>IF(装备!C218="",0,""""&amp;装备!C218&amp;"""")</f>
        <v>"攻击速度"</v>
      </c>
      <c r="K146" t="str">
        <f>IF(装备!T218="","""""",""""&amp;装备!T218&amp;"""")</f>
        <v>""</v>
      </c>
      <c r="L146">
        <f>IF(装备!U218="",0,""""&amp;装备!U218&amp;"""")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IF(装备!B219="",0,"'"&amp;装备!B219&amp;"'")</f>
        <v>'IF20'</v>
      </c>
      <c r="B147">
        <f>装备!D145</f>
        <v>0</v>
      </c>
      <c r="C147">
        <f>装备!E219</f>
        <v>0</v>
      </c>
      <c r="D147">
        <f>装备!F219</f>
        <v>0</v>
      </c>
      <c r="E147">
        <f>IF(ISTEXT(装备!G219)=TRUE,"'"&amp;装备!G219&amp;"'",装备!G219)</f>
        <v>0</v>
      </c>
      <c r="F147">
        <f>IF(ISTEXT(装备!H219)=TRUE,"'"&amp;装备!H219&amp;"'",装备!H219)</f>
        <v>0</v>
      </c>
      <c r="G147">
        <f>IF(装备!I219="",0,"'"&amp;装备!I219&amp;"'")</f>
        <v>0</v>
      </c>
      <c r="H147">
        <f>IF(装备!R219="",0,装备!R219)</f>
        <v>0</v>
      </c>
      <c r="I147">
        <f>IF(装备!S219="",0,装备!S219)</f>
        <v>0</v>
      </c>
      <c r="J147" t="str">
        <f>IF(装备!C219="",0,""""&amp;装备!C219&amp;"""")</f>
        <v>"普攻伤害"</v>
      </c>
      <c r="K147" t="str">
        <f>IF(装备!T219="","""""",""""&amp;装备!T219&amp;"""")</f>
        <v>""</v>
      </c>
      <c r="L147">
        <f>IF(装备!U219="",0,""""&amp;装备!U219&amp;"""")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IF(装备!B220="",0,"'"&amp;装备!B220&amp;"'")</f>
        <v>'IF21'</v>
      </c>
      <c r="B148">
        <f>装备!D146</f>
        <v>0</v>
      </c>
      <c r="C148">
        <f>装备!E220</f>
        <v>0</v>
      </c>
      <c r="D148">
        <f>装备!F220</f>
        <v>0</v>
      </c>
      <c r="E148">
        <f>IF(ISTEXT(装备!G220)=TRUE,"'"&amp;装备!G220&amp;"'",装备!G220)</f>
        <v>0</v>
      </c>
      <c r="F148">
        <f>IF(ISTEXT(装备!H220)=TRUE,"'"&amp;装备!H220&amp;"'",装备!H220)</f>
        <v>0</v>
      </c>
      <c r="G148">
        <f>IF(装备!I220="",0,"'"&amp;装备!I220&amp;"'")</f>
        <v>0</v>
      </c>
      <c r="H148">
        <f>IF(装备!R220="",0,装备!R220)</f>
        <v>0</v>
      </c>
      <c r="I148">
        <f>IF(装备!S220="",0,装备!S220)</f>
        <v>0</v>
      </c>
      <c r="J148" t="str">
        <f>IF(装备!C220="",0,""""&amp;装备!C220&amp;"""")</f>
        <v>"普攻伤害"</v>
      </c>
      <c r="K148" t="str">
        <f>IF(装备!T220="","""""",""""&amp;装备!T220&amp;"""")</f>
        <v>""</v>
      </c>
      <c r="L148">
        <f>IF(装备!U220="",0,""""&amp;装备!U220&amp;"""")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IF(装备!B221="",0,"'"&amp;装备!B221&amp;"'")</f>
        <v>'IF22'</v>
      </c>
      <c r="B149">
        <f>装备!D147</f>
        <v>0</v>
      </c>
      <c r="C149">
        <f>装备!E221</f>
        <v>0</v>
      </c>
      <c r="D149">
        <f>装备!F221</f>
        <v>0</v>
      </c>
      <c r="E149">
        <f>IF(ISTEXT(装备!G221)=TRUE,"'"&amp;装备!G221&amp;"'",装备!G221)</f>
        <v>0</v>
      </c>
      <c r="F149">
        <f>IF(ISTEXT(装备!H221)=TRUE,"'"&amp;装备!H221&amp;"'",装备!H221)</f>
        <v>0</v>
      </c>
      <c r="G149">
        <f>IF(装备!I221="",0,"'"&amp;装备!I221&amp;"'")</f>
        <v>0</v>
      </c>
      <c r="H149">
        <f>IF(装备!R221="",0,装备!R221)</f>
        <v>0</v>
      </c>
      <c r="I149">
        <f>IF(装备!S221="",0,装备!S221)</f>
        <v>0</v>
      </c>
      <c r="J149" t="str">
        <f>IF(装备!C221="",0,""""&amp;装备!C221&amp;"""")</f>
        <v>"回蓝"</v>
      </c>
      <c r="K149" t="str">
        <f>IF(装备!T221="","""""",""""&amp;装备!T221&amp;"""")</f>
        <v>""</v>
      </c>
      <c r="L149">
        <f>IF(装备!U221="",0,""""&amp;装备!U221&amp;"""")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IF(装备!B222="",0,"'"&amp;装备!B222&amp;"'")</f>
        <v>'IF23'</v>
      </c>
      <c r="B150">
        <f>装备!D148</f>
        <v>0</v>
      </c>
      <c r="C150">
        <f>装备!E222</f>
        <v>0</v>
      </c>
      <c r="D150">
        <f>装备!F222</f>
        <v>0</v>
      </c>
      <c r="E150">
        <f>IF(ISTEXT(装备!G222)=TRUE,"'"&amp;装备!G222&amp;"'",装备!G222)</f>
        <v>0</v>
      </c>
      <c r="F150">
        <f>IF(ISTEXT(装备!H222)=TRUE,"'"&amp;装备!H222&amp;"'",装备!H222)</f>
        <v>0</v>
      </c>
      <c r="G150">
        <f>IF(装备!I222="",0,"'"&amp;装备!I222&amp;"'")</f>
        <v>0</v>
      </c>
      <c r="H150">
        <f>IF(装备!R222="",0,装备!R222)</f>
        <v>0</v>
      </c>
      <c r="I150">
        <f>IF(装备!S222="",0,装备!S222)</f>
        <v>0</v>
      </c>
      <c r="J150" t="str">
        <f>IF(装备!C222="",0,""""&amp;装备!C222&amp;"""")</f>
        <v>"回蓝"</v>
      </c>
      <c r="K150" t="str">
        <f>IF(装备!T222="","""""",""""&amp;装备!T222&amp;"""")</f>
        <v>""</v>
      </c>
      <c r="L150">
        <f>IF(装备!U222="",0,""""&amp;装备!U222&amp;"""")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IF(装备!B223="",0,"'"&amp;装备!B223&amp;"'")</f>
        <v>'IF24'</v>
      </c>
      <c r="B151">
        <f>装备!D149</f>
        <v>0</v>
      </c>
      <c r="C151">
        <f>装备!E223</f>
        <v>0</v>
      </c>
      <c r="D151">
        <f>装备!F223</f>
        <v>0</v>
      </c>
      <c r="E151">
        <f>IF(ISTEXT(装备!G223)=TRUE,"'"&amp;装备!G223&amp;"'",装备!G223)</f>
        <v>0</v>
      </c>
      <c r="F151">
        <f>IF(ISTEXT(装备!H223)=TRUE,"'"&amp;装备!H223&amp;"'",装备!H223)</f>
        <v>0</v>
      </c>
      <c r="G151">
        <f>IF(装备!I223="",0,"'"&amp;装备!I223&amp;"'")</f>
        <v>0</v>
      </c>
      <c r="H151">
        <f>IF(装备!R223="",0,装备!R223)</f>
        <v>0</v>
      </c>
      <c r="I151">
        <f>IF(装备!S223="",0,装备!S223)</f>
        <v>0</v>
      </c>
      <c r="J151" t="str">
        <f>IF(装备!C223="",0,""""&amp;装备!C223&amp;"""")</f>
        <v>"生命回复"</v>
      </c>
      <c r="K151" t="str">
        <f>IF(装备!T223="","""""",""""&amp;装备!T223&amp;"""")</f>
        <v>""</v>
      </c>
      <c r="L151">
        <f>IF(装备!U223="",0,""""&amp;装备!U223&amp;"""")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IF(装备!B224="",0,"'"&amp;装备!B224&amp;"'")</f>
        <v>'IF25'</v>
      </c>
      <c r="B152">
        <f>装备!D150</f>
        <v>0</v>
      </c>
      <c r="C152">
        <f>装备!E224</f>
        <v>0</v>
      </c>
      <c r="D152">
        <f>装备!F224</f>
        <v>0</v>
      </c>
      <c r="E152">
        <f>IF(ISTEXT(装备!G224)=TRUE,"'"&amp;装备!G224&amp;"'",装备!G224)</f>
        <v>0</v>
      </c>
      <c r="F152">
        <f>IF(ISTEXT(装备!H224)=TRUE,"'"&amp;装备!H224&amp;"'",装备!H224)</f>
        <v>0</v>
      </c>
      <c r="G152">
        <f>IF(装备!I224="",0,"'"&amp;装备!I224&amp;"'")</f>
        <v>0</v>
      </c>
      <c r="H152">
        <f>IF(装备!R224="",0,装备!R224)</f>
        <v>0</v>
      </c>
      <c r="I152">
        <f>IF(装备!S224="",0,装备!S224)</f>
        <v>0</v>
      </c>
      <c r="J152" t="str">
        <f>IF(装备!C224="",0,""""&amp;装备!C224&amp;"""")</f>
        <v>"伤害吸血"</v>
      </c>
      <c r="K152" t="str">
        <f>IF(装备!T224="","""""",""""&amp;装备!T224&amp;"""")</f>
        <v>""</v>
      </c>
      <c r="L152">
        <f>IF(装备!U224="",0,""""&amp;装备!U224&amp;"""")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IF(装备!B225="",0,"'"&amp;装备!B225&amp;"'")</f>
        <v>'IF26'</v>
      </c>
      <c r="B153">
        <f>装备!D151</f>
        <v>0</v>
      </c>
      <c r="C153">
        <f>装备!E225</f>
        <v>0</v>
      </c>
      <c r="D153">
        <f>装备!F225</f>
        <v>0</v>
      </c>
      <c r="E153">
        <f>IF(ISTEXT(装备!G225)=TRUE,"'"&amp;装备!G225&amp;"'",装备!G225)</f>
        <v>0</v>
      </c>
      <c r="F153">
        <f>IF(ISTEXT(装备!H225)=TRUE,"'"&amp;装备!H225&amp;"'",装备!H225)</f>
        <v>0</v>
      </c>
      <c r="G153">
        <f>IF(装备!I225="",0,"'"&amp;装备!I225&amp;"'")</f>
        <v>0</v>
      </c>
      <c r="H153">
        <f>IF(装备!R225="",0,装备!R225)</f>
        <v>0</v>
      </c>
      <c r="I153">
        <f>IF(装备!S225="",0,装备!S225)</f>
        <v>0</v>
      </c>
      <c r="J153" t="str">
        <f>IF(装备!C225="",0,""""&amp;装备!C225&amp;"""")</f>
        <v>"闪避"</v>
      </c>
      <c r="K153" t="str">
        <f>IF(装备!T225="","""""",""""&amp;装备!T225&amp;"""")</f>
        <v>""</v>
      </c>
      <c r="L153">
        <f>IF(装备!U225="",0,""""&amp;装备!U225&amp;"""")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IF(装备!B226="",0,"'"&amp;装备!B226&amp;"'")</f>
        <v>'IF27'</v>
      </c>
      <c r="B154">
        <f>装备!D152</f>
        <v>0</v>
      </c>
      <c r="C154">
        <f>装备!E226</f>
        <v>0</v>
      </c>
      <c r="D154">
        <f>装备!F226</f>
        <v>0</v>
      </c>
      <c r="E154">
        <f>IF(ISTEXT(装备!G226)=TRUE,"'"&amp;装备!G226&amp;"'",装备!G226)</f>
        <v>0</v>
      </c>
      <c r="F154">
        <f>IF(ISTEXT(装备!H226)=TRUE,"'"&amp;装备!H226&amp;"'",装备!H226)</f>
        <v>0</v>
      </c>
      <c r="G154">
        <f>IF(装备!I226="",0,"'"&amp;装备!I226&amp;"'")</f>
        <v>0</v>
      </c>
      <c r="H154">
        <f>IF(装备!R226="",0,装备!R226)</f>
        <v>0</v>
      </c>
      <c r="I154">
        <f>IF(装备!S226="",0,装备!S226)</f>
        <v>0</v>
      </c>
      <c r="J154" t="str">
        <f>IF(装备!C226="",0,""""&amp;装备!C226&amp;"""")</f>
        <v>"伤害减免"</v>
      </c>
      <c r="K154" t="str">
        <f>IF(装备!T226="","""""",""""&amp;装备!T226&amp;"""")</f>
        <v>""</v>
      </c>
      <c r="L154">
        <f>IF(装备!U226="",0,""""&amp;装备!U226&amp;"""")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IF(装备!B227="",0,"'"&amp;装备!B227&amp;"'")</f>
        <v>0</v>
      </c>
      <c r="B155">
        <f>装备!D153</f>
        <v>0</v>
      </c>
      <c r="C155">
        <f>装备!E227</f>
        <v>0</v>
      </c>
      <c r="D155">
        <f>装备!F227</f>
        <v>0</v>
      </c>
      <c r="E155">
        <f>IF(ISTEXT(装备!G227)=TRUE,"'"&amp;装备!G227&amp;"'",装备!G227)</f>
        <v>0</v>
      </c>
      <c r="F155">
        <f>IF(ISTEXT(装备!H227)=TRUE,"'"&amp;装备!H227&amp;"'",装备!H227)</f>
        <v>0</v>
      </c>
      <c r="G155">
        <f>IF(装备!I227="",0,"'"&amp;装备!I227&amp;"'")</f>
        <v>0</v>
      </c>
      <c r="H155">
        <f>IF(装备!R227="",0,装备!R227)</f>
        <v>0</v>
      </c>
      <c r="I155">
        <f>IF(装备!S227="",0,装备!S227)</f>
        <v>0</v>
      </c>
      <c r="J155">
        <f>IF(装备!C227="",0,""""&amp;装备!C227&amp;"""")</f>
        <v>0</v>
      </c>
      <c r="K155" t="str">
        <f>IF(装备!T227="","""""",""""&amp;装备!T227&amp;"""")</f>
        <v>""</v>
      </c>
      <c r="L155">
        <f>IF(装备!U227="",0,""""&amp;装备!U227&amp;"""")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IF(装备!B228="",0,"'"&amp;装备!B228&amp;"'")</f>
        <v>0</v>
      </c>
      <c r="B156">
        <f>装备!D154</f>
        <v>0</v>
      </c>
      <c r="C156">
        <f>装备!E228</f>
        <v>0</v>
      </c>
      <c r="D156">
        <f>装备!F228</f>
        <v>0</v>
      </c>
      <c r="E156">
        <f>IF(ISTEXT(装备!G228)=TRUE,"'"&amp;装备!G228&amp;"'",装备!G228)</f>
        <v>0</v>
      </c>
      <c r="F156">
        <f>IF(ISTEXT(装备!H228)=TRUE,"'"&amp;装备!H228&amp;"'",装备!H228)</f>
        <v>0</v>
      </c>
      <c r="G156">
        <f>IF(装备!I228="",0,"'"&amp;装备!I228&amp;"'")</f>
        <v>0</v>
      </c>
      <c r="H156">
        <f>IF(装备!R228="",0,装备!R228)</f>
        <v>0</v>
      </c>
      <c r="I156">
        <f>IF(装备!S228="",0,装备!S228)</f>
        <v>0</v>
      </c>
      <c r="J156">
        <f>IF(装备!C228="",0,""""&amp;装备!C228&amp;"""")</f>
        <v>0</v>
      </c>
      <c r="K156" t="str">
        <f>IF(装备!T228="","""""",""""&amp;装备!T228&amp;"""")</f>
        <v>""</v>
      </c>
      <c r="L156">
        <f>IF(装备!U228="",0,""""&amp;装备!U228&amp;"""")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IF(装备!B229="",0,"'"&amp;装备!B229&amp;"'")</f>
        <v>0</v>
      </c>
      <c r="B157">
        <f>装备!D155</f>
        <v>0</v>
      </c>
      <c r="C157">
        <f>装备!E229</f>
        <v>0</v>
      </c>
      <c r="D157">
        <f>装备!F229</f>
        <v>0</v>
      </c>
      <c r="E157">
        <f>IF(ISTEXT(装备!G229)=TRUE,"'"&amp;装备!G229&amp;"'",装备!G229)</f>
        <v>0</v>
      </c>
      <c r="F157">
        <f>IF(ISTEXT(装备!H229)=TRUE,"'"&amp;装备!H229&amp;"'",装备!H229)</f>
        <v>0</v>
      </c>
      <c r="G157">
        <f>IF(装备!I229="",0,"'"&amp;装备!I229&amp;"'")</f>
        <v>0</v>
      </c>
      <c r="H157">
        <f>IF(装备!R229="",0,装备!R229)</f>
        <v>0</v>
      </c>
      <c r="I157">
        <f>IF(装备!S229="",0,装备!S229)</f>
        <v>0</v>
      </c>
      <c r="J157">
        <f>IF(装备!C229="",0,""""&amp;装备!C229&amp;"""")</f>
        <v>0</v>
      </c>
      <c r="K157" t="str">
        <f>IF(装备!T229="","""""",""""&amp;装备!T229&amp;"""")</f>
        <v>""</v>
      </c>
      <c r="L157">
        <f>IF(装备!U229="",0,""""&amp;装备!U229&amp;"""")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IF(装备!B230="",0,"'"&amp;装备!B230&amp;"'")</f>
        <v>0</v>
      </c>
      <c r="B158">
        <f>装备!D156</f>
        <v>0</v>
      </c>
      <c r="C158">
        <f>装备!E230</f>
        <v>0</v>
      </c>
      <c r="D158">
        <f>装备!F230</f>
        <v>0</v>
      </c>
      <c r="E158">
        <f>IF(ISTEXT(装备!G230)=TRUE,"'"&amp;装备!G230&amp;"'",装备!G230)</f>
        <v>0</v>
      </c>
      <c r="F158">
        <f>IF(ISTEXT(装备!H230)=TRUE,"'"&amp;装备!H230&amp;"'",装备!H230)</f>
        <v>0</v>
      </c>
      <c r="G158">
        <f>IF(装备!I230="",0,"'"&amp;装备!I230&amp;"'")</f>
        <v>0</v>
      </c>
      <c r="H158">
        <f>IF(装备!R230="",0,装备!R230)</f>
        <v>0</v>
      </c>
      <c r="I158">
        <f>IF(装备!S230="",0,装备!S230)</f>
        <v>0</v>
      </c>
      <c r="J158">
        <f>IF(装备!C230="",0,""""&amp;装备!C230&amp;"""")</f>
        <v>0</v>
      </c>
      <c r="K158" t="str">
        <f>IF(装备!T230="","""""",""""&amp;装备!T230&amp;"""")</f>
        <v>""</v>
      </c>
      <c r="L158">
        <f>IF(装备!U230="",0,""""&amp;装备!U230&amp;"""")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IF(装备!B231="",0,"'"&amp;装备!B231&amp;"'")</f>
        <v>0</v>
      </c>
      <c r="B159">
        <f>装备!D157</f>
        <v>0</v>
      </c>
      <c r="C159">
        <f>装备!E231</f>
        <v>0</v>
      </c>
      <c r="D159">
        <f>装备!F231</f>
        <v>0</v>
      </c>
      <c r="E159">
        <f>IF(ISTEXT(装备!G231)=TRUE,"'"&amp;装备!G231&amp;"'",装备!G231)</f>
        <v>0</v>
      </c>
      <c r="F159">
        <f>IF(ISTEXT(装备!H231)=TRUE,"'"&amp;装备!H231&amp;"'",装备!H231)</f>
        <v>0</v>
      </c>
      <c r="G159">
        <f>IF(装备!I231="",0,"'"&amp;装备!I231&amp;"'")</f>
        <v>0</v>
      </c>
      <c r="H159">
        <f>IF(装备!R231="",0,装备!R231)</f>
        <v>0</v>
      </c>
      <c r="I159">
        <f>IF(装备!S231="",0,装备!S231)</f>
        <v>0</v>
      </c>
      <c r="J159">
        <f>IF(装备!C231="",0,""""&amp;装备!C231&amp;"""")</f>
        <v>0</v>
      </c>
      <c r="K159" t="str">
        <f>IF(装备!T231="","""""",""""&amp;装备!T231&amp;"""")</f>
        <v>""</v>
      </c>
      <c r="L159">
        <f>IF(装备!U231="",0,""""&amp;装备!U231&amp;"""")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IF(装备!B232="",0,"'"&amp;装备!B232&amp;"'")</f>
        <v>0</v>
      </c>
      <c r="B160">
        <f>装备!D158</f>
        <v>0</v>
      </c>
      <c r="C160">
        <f>装备!E232</f>
        <v>0</v>
      </c>
      <c r="D160">
        <f>装备!F232</f>
        <v>0</v>
      </c>
      <c r="E160">
        <f>IF(ISTEXT(装备!G232)=TRUE,"'"&amp;装备!G232&amp;"'",装备!G232)</f>
        <v>0</v>
      </c>
      <c r="F160">
        <f>IF(ISTEXT(装备!H232)=TRUE,"'"&amp;装备!H232&amp;"'",装备!H232)</f>
        <v>0</v>
      </c>
      <c r="G160">
        <f>IF(装备!I232="",0,"'"&amp;装备!I232&amp;"'")</f>
        <v>0</v>
      </c>
      <c r="H160">
        <f>IF(装备!R232="",0,装备!R232)</f>
        <v>0</v>
      </c>
      <c r="I160">
        <f>IF(装备!S232="",0,装备!S232)</f>
        <v>0</v>
      </c>
      <c r="J160">
        <f>IF(装备!C232="",0,""""&amp;装备!C232&amp;"""")</f>
        <v>0</v>
      </c>
      <c r="K160" t="str">
        <f>IF(装备!T232="","""""",""""&amp;装备!T232&amp;"""")</f>
        <v>""</v>
      </c>
      <c r="L160">
        <f>IF(装备!U232="",0,""""&amp;装备!U232&amp;"""")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IF(装备!B233="",0,"'"&amp;装备!B233&amp;"'")</f>
        <v>0</v>
      </c>
      <c r="B161">
        <f>装备!D159</f>
        <v>0</v>
      </c>
      <c r="C161">
        <f>装备!E233</f>
        <v>0</v>
      </c>
      <c r="D161">
        <f>装备!F233</f>
        <v>0</v>
      </c>
      <c r="E161">
        <f>IF(ISTEXT(装备!G233)=TRUE,"'"&amp;装备!G233&amp;"'",装备!G233)</f>
        <v>0</v>
      </c>
      <c r="F161">
        <f>IF(ISTEXT(装备!H233)=TRUE,"'"&amp;装备!H233&amp;"'",装备!H233)</f>
        <v>0</v>
      </c>
      <c r="G161">
        <f>IF(装备!I233="",0,"'"&amp;装备!I233&amp;"'")</f>
        <v>0</v>
      </c>
      <c r="H161">
        <f>IF(装备!R233="",0,装备!R233)</f>
        <v>0</v>
      </c>
      <c r="I161">
        <f>IF(装备!S233="",0,装备!S233)</f>
        <v>0</v>
      </c>
      <c r="J161">
        <f>IF(装备!C233="",0,""""&amp;装备!C233&amp;"""")</f>
        <v>0</v>
      </c>
      <c r="K161" t="str">
        <f>IF(装备!T233="","""""",""""&amp;装备!T233&amp;"""")</f>
        <v>""</v>
      </c>
      <c r="L161">
        <f>IF(装备!U233="",0,""""&amp;装备!U233&amp;"""")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IF(装备!B234="",0,"'"&amp;装备!B234&amp;"'")</f>
        <v>0</v>
      </c>
      <c r="B162">
        <f>装备!D160</f>
        <v>0</v>
      </c>
      <c r="C162">
        <f>装备!E234</f>
        <v>0</v>
      </c>
      <c r="D162">
        <f>装备!F234</f>
        <v>0</v>
      </c>
      <c r="E162">
        <f>IF(ISTEXT(装备!G234)=TRUE,"'"&amp;装备!G234&amp;"'",装备!G234)</f>
        <v>0</v>
      </c>
      <c r="F162">
        <f>IF(ISTEXT(装备!H234)=TRUE,"'"&amp;装备!H234&amp;"'",装备!H234)</f>
        <v>0</v>
      </c>
      <c r="G162">
        <f>IF(装备!I234="",0,"'"&amp;装备!I234&amp;"'")</f>
        <v>0</v>
      </c>
      <c r="H162">
        <f>IF(装备!R234="",0,装备!R234)</f>
        <v>0</v>
      </c>
      <c r="I162">
        <f>IF(装备!S234="",0,装备!S234)</f>
        <v>0</v>
      </c>
      <c r="J162">
        <f>IF(装备!C234="",0,""""&amp;装备!C234&amp;"""")</f>
        <v>0</v>
      </c>
      <c r="K162" t="str">
        <f>IF(装备!T234="","""""",""""&amp;装备!T234&amp;"""")</f>
        <v>""</v>
      </c>
      <c r="L162">
        <f>IF(装备!U234="",0,""""&amp;装备!U234&amp;"""")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IF(装备!B235="",0,"'"&amp;装备!B235&amp;"'")</f>
        <v>0</v>
      </c>
      <c r="B163">
        <f>装备!D161</f>
        <v>0</v>
      </c>
      <c r="C163">
        <f>装备!E235</f>
        <v>0</v>
      </c>
      <c r="D163">
        <f>装备!F235</f>
        <v>0</v>
      </c>
      <c r="E163">
        <f>IF(ISTEXT(装备!G235)=TRUE,"'"&amp;装备!G235&amp;"'",装备!G235)</f>
        <v>0</v>
      </c>
      <c r="F163">
        <f>IF(ISTEXT(装备!H235)=TRUE,"'"&amp;装备!H235&amp;"'",装备!H235)</f>
        <v>0</v>
      </c>
      <c r="G163">
        <f>IF(装备!I235="",0,"'"&amp;装备!I235&amp;"'")</f>
        <v>0</v>
      </c>
      <c r="H163">
        <f>IF(装备!R235="",0,装备!R235)</f>
        <v>0</v>
      </c>
      <c r="I163">
        <f>IF(装备!S235="",0,装备!S235)</f>
        <v>0</v>
      </c>
      <c r="J163">
        <f>IF(装备!C235="",0,""""&amp;装备!C235&amp;"""")</f>
        <v>0</v>
      </c>
      <c r="K163" t="str">
        <f>IF(装备!T235="","""""",""""&amp;装备!T235&amp;"""")</f>
        <v>""</v>
      </c>
      <c r="L163">
        <f>IF(装备!U235="",0,""""&amp;装备!U235&amp;"""")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IF(装备!B236="",0,"'"&amp;装备!B236&amp;"'")</f>
        <v>0</v>
      </c>
      <c r="B164">
        <f>装备!D162</f>
        <v>0</v>
      </c>
      <c r="C164">
        <f>装备!E236</f>
        <v>0</v>
      </c>
      <c r="D164">
        <f>装备!F236</f>
        <v>0</v>
      </c>
      <c r="E164">
        <f>IF(ISTEXT(装备!G236)=TRUE,"'"&amp;装备!G236&amp;"'",装备!G236)</f>
        <v>0</v>
      </c>
      <c r="F164">
        <f>IF(ISTEXT(装备!H236)=TRUE,"'"&amp;装备!H236&amp;"'",装备!H236)</f>
        <v>0</v>
      </c>
      <c r="G164">
        <f>IF(装备!I236="",0,"'"&amp;装备!I236&amp;"'")</f>
        <v>0</v>
      </c>
      <c r="H164">
        <f>IF(装备!R236="",0,装备!R236)</f>
        <v>0</v>
      </c>
      <c r="I164">
        <f>IF(装备!S236="",0,装备!S236)</f>
        <v>0</v>
      </c>
      <c r="J164">
        <f>IF(装备!C236="",0,""""&amp;装备!C236&amp;"""")</f>
        <v>0</v>
      </c>
      <c r="K164" t="str">
        <f>IF(装备!T236="","""""",""""&amp;装备!T236&amp;"""")</f>
        <v>""</v>
      </c>
      <c r="L164">
        <f>IF(装备!U236="",0,""""&amp;装备!U236&amp;"""")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IF(装备!B237="",0,"'"&amp;装备!B237&amp;"'")</f>
        <v>0</v>
      </c>
      <c r="B165">
        <f>装备!D163</f>
        <v>0</v>
      </c>
      <c r="C165">
        <f>装备!E237</f>
        <v>0</v>
      </c>
      <c r="D165">
        <f>装备!F237</f>
        <v>0</v>
      </c>
      <c r="E165">
        <f>IF(ISTEXT(装备!G237)=TRUE,"'"&amp;装备!G237&amp;"'",装备!G237)</f>
        <v>0</v>
      </c>
      <c r="F165">
        <f>IF(ISTEXT(装备!H237)=TRUE,"'"&amp;装备!H237&amp;"'",装备!H237)</f>
        <v>0</v>
      </c>
      <c r="G165">
        <f>IF(装备!I237="",0,"'"&amp;装备!I237&amp;"'")</f>
        <v>0</v>
      </c>
      <c r="H165">
        <f>IF(装备!R237="",0,装备!R237)</f>
        <v>0</v>
      </c>
      <c r="I165">
        <f>IF(装备!S237="",0,装备!S237)</f>
        <v>0</v>
      </c>
      <c r="J165">
        <f>IF(装备!C237="",0,""""&amp;装备!C237&amp;"""")</f>
        <v>0</v>
      </c>
      <c r="K165" t="str">
        <f>IF(装备!T237="","""""",""""&amp;装备!T237&amp;"""")</f>
        <v>""</v>
      </c>
      <c r="L165">
        <f>IF(装备!U237="",0,""""&amp;装备!U237&amp;"""")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IF(装备!B238="",0,"'"&amp;装备!B238&amp;"'")</f>
        <v>0</v>
      </c>
      <c r="B166">
        <f>装备!D164</f>
        <v>0</v>
      </c>
      <c r="C166">
        <f>装备!E238</f>
        <v>0</v>
      </c>
      <c r="D166">
        <f>装备!F238</f>
        <v>0</v>
      </c>
      <c r="E166">
        <f>IF(ISTEXT(装备!G238)=TRUE,"'"&amp;装备!G238&amp;"'",装备!G238)</f>
        <v>0</v>
      </c>
      <c r="F166">
        <f>IF(ISTEXT(装备!H238)=TRUE,"'"&amp;装备!H238&amp;"'",装备!H238)</f>
        <v>0</v>
      </c>
      <c r="G166">
        <f>IF(装备!I238="",0,"'"&amp;装备!I238&amp;"'")</f>
        <v>0</v>
      </c>
      <c r="H166">
        <f>IF(装备!R238="",0,装备!R238)</f>
        <v>0</v>
      </c>
      <c r="I166">
        <f>IF(装备!S238="",0,装备!S238)</f>
        <v>0</v>
      </c>
      <c r="J166">
        <f>IF(装备!C238="",0,""""&amp;装备!C238&amp;"""")</f>
        <v>0</v>
      </c>
      <c r="K166" t="str">
        <f>IF(装备!T238="","""""",""""&amp;装备!T238&amp;"""")</f>
        <v>""</v>
      </c>
      <c r="L166">
        <f>IF(装备!U238="",0,""""&amp;装备!U238&amp;"""")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IF(装备!B239="",0,"'"&amp;装备!B239&amp;"'")</f>
        <v>0</v>
      </c>
      <c r="B167">
        <f>装备!D165</f>
        <v>0</v>
      </c>
      <c r="C167">
        <f>装备!E239</f>
        <v>0</v>
      </c>
      <c r="D167">
        <f>装备!F239</f>
        <v>0</v>
      </c>
      <c r="E167">
        <f>IF(ISTEXT(装备!G239)=TRUE,"'"&amp;装备!G239&amp;"'",装备!G239)</f>
        <v>0</v>
      </c>
      <c r="F167">
        <f>IF(ISTEXT(装备!H239)=TRUE,"'"&amp;装备!H239&amp;"'",装备!H239)</f>
        <v>0</v>
      </c>
      <c r="G167">
        <f>IF(装备!I239="",0,"'"&amp;装备!I239&amp;"'")</f>
        <v>0</v>
      </c>
      <c r="H167">
        <f>IF(装备!R239="",0,装备!R239)</f>
        <v>0</v>
      </c>
      <c r="I167">
        <f>IF(装备!S239="",0,装备!S239)</f>
        <v>0</v>
      </c>
      <c r="J167">
        <f>IF(装备!C239="",0,""""&amp;装备!C239&amp;"""")</f>
        <v>0</v>
      </c>
      <c r="K167" t="str">
        <f>IF(装备!T239="","""""",""""&amp;装备!T239&amp;"""")</f>
        <v>""</v>
      </c>
      <c r="L167">
        <f>IF(装备!U239="",0,""""&amp;装备!U239&amp;"""")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IF(装备!B240="",0,"'"&amp;装备!B240&amp;"'")</f>
        <v>0</v>
      </c>
      <c r="B168">
        <f>装备!D166</f>
        <v>0</v>
      </c>
      <c r="C168">
        <f>装备!E240</f>
        <v>0</v>
      </c>
      <c r="D168">
        <f>装备!F240</f>
        <v>0</v>
      </c>
      <c r="E168">
        <f>IF(ISTEXT(装备!G240)=TRUE,"'"&amp;装备!G240&amp;"'",装备!G240)</f>
        <v>0</v>
      </c>
      <c r="F168">
        <f>IF(ISTEXT(装备!H240)=TRUE,"'"&amp;装备!H240&amp;"'",装备!H240)</f>
        <v>0</v>
      </c>
      <c r="G168">
        <f>IF(装备!I240="",0,"'"&amp;装备!I240&amp;"'")</f>
        <v>0</v>
      </c>
      <c r="H168">
        <f>IF(装备!R240="",0,装备!R240)</f>
        <v>0</v>
      </c>
      <c r="I168">
        <f>IF(装备!S240="",0,装备!S240)</f>
        <v>0</v>
      </c>
      <c r="J168">
        <f>IF(装备!C240="",0,""""&amp;装备!C240&amp;"""")</f>
        <v>0</v>
      </c>
      <c r="K168" t="str">
        <f>IF(装备!T240="","""""",""""&amp;装备!T240&amp;"""")</f>
        <v>""</v>
      </c>
      <c r="L168">
        <f>IF(装备!U240="",0,""""&amp;装备!U240&amp;"""")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IF(装备!B241="",0,"'"&amp;装备!B241&amp;"'")</f>
        <v>0</v>
      </c>
      <c r="B169">
        <f>装备!D167</f>
        <v>0</v>
      </c>
      <c r="C169">
        <f>装备!E241</f>
        <v>0</v>
      </c>
      <c r="D169">
        <f>装备!F241</f>
        <v>0</v>
      </c>
      <c r="E169">
        <f>IF(ISTEXT(装备!G241)=TRUE,"'"&amp;装备!G241&amp;"'",装备!G241)</f>
        <v>0</v>
      </c>
      <c r="F169">
        <f>IF(ISTEXT(装备!H241)=TRUE,"'"&amp;装备!H241&amp;"'",装备!H241)</f>
        <v>0</v>
      </c>
      <c r="G169">
        <f>IF(装备!I241="",0,"'"&amp;装备!I241&amp;"'")</f>
        <v>0</v>
      </c>
      <c r="H169">
        <f>IF(装备!R241="",0,装备!R241)</f>
        <v>0</v>
      </c>
      <c r="I169">
        <f>IF(装备!S241="",0,装备!S241)</f>
        <v>0</v>
      </c>
      <c r="J169">
        <f>IF(装备!C241="",0,""""&amp;装备!C241&amp;"""")</f>
        <v>0</v>
      </c>
      <c r="K169" t="str">
        <f>IF(装备!T241="","""""",""""&amp;装备!T241&amp;"""")</f>
        <v>""</v>
      </c>
      <c r="L169">
        <f>IF(装备!U241="",0,""""&amp;装备!U241&amp;"""")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IF(装备!B242="",0,"'"&amp;装备!B242&amp;"'")</f>
        <v>0</v>
      </c>
      <c r="B170">
        <f>装备!D168</f>
        <v>0</v>
      </c>
      <c r="C170">
        <f>装备!E242</f>
        <v>0</v>
      </c>
      <c r="D170">
        <f>装备!F242</f>
        <v>0</v>
      </c>
      <c r="E170">
        <f>IF(ISTEXT(装备!G242)=TRUE,"'"&amp;装备!G242&amp;"'",装备!G242)</f>
        <v>0</v>
      </c>
      <c r="F170">
        <f>IF(ISTEXT(装备!H242)=TRUE,"'"&amp;装备!H242&amp;"'",装备!H242)</f>
        <v>0</v>
      </c>
      <c r="G170">
        <f>IF(装备!I242="",0,"'"&amp;装备!I242&amp;"'")</f>
        <v>0</v>
      </c>
      <c r="H170">
        <f>IF(装备!R242="",0,装备!R242)</f>
        <v>0</v>
      </c>
      <c r="I170">
        <f>IF(装备!S242="",0,装备!S242)</f>
        <v>0</v>
      </c>
      <c r="J170">
        <f>IF(装备!C242="",0,""""&amp;装备!C242&amp;"""")</f>
        <v>0</v>
      </c>
      <c r="K170" t="str">
        <f>IF(装备!T242="","""""",""""&amp;装备!T242&amp;"""")</f>
        <v>""</v>
      </c>
      <c r="L170">
        <f>IF(装备!U242="",0,""""&amp;装备!U242&amp;"""")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IF(装备!B243="",0,"'"&amp;装备!B243&amp;"'")</f>
        <v>0</v>
      </c>
      <c r="B171">
        <f>装备!D169</f>
        <v>0</v>
      </c>
      <c r="C171">
        <f>装备!E243</f>
        <v>0</v>
      </c>
      <c r="D171">
        <f>装备!F243</f>
        <v>0</v>
      </c>
      <c r="E171">
        <f>IF(ISTEXT(装备!G243)=TRUE,"'"&amp;装备!G243&amp;"'",装备!G243)</f>
        <v>0</v>
      </c>
      <c r="F171">
        <f>IF(ISTEXT(装备!H243)=TRUE,"'"&amp;装备!H243&amp;"'",装备!H243)</f>
        <v>0</v>
      </c>
      <c r="G171">
        <f>IF(装备!I243="",0,"'"&amp;装备!I243&amp;"'")</f>
        <v>0</v>
      </c>
      <c r="H171">
        <f>IF(装备!R243="",0,装备!R243)</f>
        <v>0</v>
      </c>
      <c r="I171">
        <f>IF(装备!S243="",0,装备!S243)</f>
        <v>0</v>
      </c>
      <c r="J171">
        <f>IF(装备!C243="",0,""""&amp;装备!C243&amp;"""")</f>
        <v>0</v>
      </c>
      <c r="K171" t="str">
        <f>IF(装备!T243="","""""",""""&amp;装备!T243&amp;"""")</f>
        <v>""</v>
      </c>
      <c r="L171">
        <f>IF(装备!U243="",0,""""&amp;装备!U243&amp;"""")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IF(装备!B244="",0,"'"&amp;装备!B244&amp;"'")</f>
        <v>0</v>
      </c>
      <c r="B172">
        <f>装备!D170</f>
        <v>0</v>
      </c>
      <c r="C172">
        <f>装备!E244</f>
        <v>0</v>
      </c>
      <c r="D172">
        <f>装备!F244</f>
        <v>0</v>
      </c>
      <c r="E172">
        <f>IF(ISTEXT(装备!G244)=TRUE,"'"&amp;装备!G244&amp;"'",装备!G244)</f>
        <v>0</v>
      </c>
      <c r="F172">
        <f>IF(ISTEXT(装备!H244)=TRUE,"'"&amp;装备!H244&amp;"'",装备!H244)</f>
        <v>0</v>
      </c>
      <c r="G172">
        <f>IF(装备!I244="",0,"'"&amp;装备!I244&amp;"'")</f>
        <v>0</v>
      </c>
      <c r="H172">
        <f>IF(装备!R244="",0,装备!R244)</f>
        <v>0</v>
      </c>
      <c r="I172">
        <f>IF(装备!S244="",0,装备!S244)</f>
        <v>0</v>
      </c>
      <c r="J172">
        <f>IF(装备!C244="",0,""""&amp;装备!C244&amp;"""")</f>
        <v>0</v>
      </c>
      <c r="K172" t="str">
        <f>IF(装备!T244="","""""",""""&amp;装备!T244&amp;"""")</f>
        <v>""</v>
      </c>
      <c r="L172">
        <f>IF(装备!U244="",0,""""&amp;装备!U244&amp;"""")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IF(装备!B245="",0,"'"&amp;装备!B245&amp;"'")</f>
        <v>0</v>
      </c>
      <c r="B173">
        <f>装备!D171</f>
        <v>0</v>
      </c>
      <c r="C173">
        <f>装备!E245</f>
        <v>0</v>
      </c>
      <c r="D173">
        <f>装备!F245</f>
        <v>0</v>
      </c>
      <c r="E173">
        <f>IF(ISTEXT(装备!G245)=TRUE,"'"&amp;装备!G245&amp;"'",装备!G245)</f>
        <v>0</v>
      </c>
      <c r="F173">
        <f>IF(ISTEXT(装备!H245)=TRUE,"'"&amp;装备!H245&amp;"'",装备!H245)</f>
        <v>0</v>
      </c>
      <c r="G173">
        <f>IF(装备!I245="",0,"'"&amp;装备!I245&amp;"'")</f>
        <v>0</v>
      </c>
      <c r="H173">
        <f>IF(装备!R245="",0,装备!R245)</f>
        <v>0</v>
      </c>
      <c r="I173">
        <f>IF(装备!S245="",0,装备!S245)</f>
        <v>0</v>
      </c>
      <c r="J173">
        <f>IF(装备!C245="",0,""""&amp;装备!C245&amp;"""")</f>
        <v>0</v>
      </c>
      <c r="K173" t="str">
        <f>IF(装备!T245="","""""",""""&amp;装备!T245&amp;"""")</f>
        <v>""</v>
      </c>
      <c r="L173">
        <f>IF(装备!U245="",0,""""&amp;装备!U245&amp;"""")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IF(装备!B246="",0,"'"&amp;装备!B246&amp;"'")</f>
        <v>0</v>
      </c>
      <c r="B174">
        <f>装备!D172</f>
        <v>0</v>
      </c>
      <c r="C174">
        <f>装备!E246</f>
        <v>0</v>
      </c>
      <c r="D174">
        <f>装备!F246</f>
        <v>0</v>
      </c>
      <c r="E174">
        <f>IF(ISTEXT(装备!G246)=TRUE,"'"&amp;装备!G246&amp;"'",装备!G246)</f>
        <v>0</v>
      </c>
      <c r="F174">
        <f>IF(ISTEXT(装备!H246)=TRUE,"'"&amp;装备!H246&amp;"'",装备!H246)</f>
        <v>0</v>
      </c>
      <c r="G174">
        <f>IF(装备!I246="",0,"'"&amp;装备!I246&amp;"'")</f>
        <v>0</v>
      </c>
      <c r="H174">
        <f>IF(装备!R246="",0,装备!R246)</f>
        <v>0</v>
      </c>
      <c r="I174">
        <f>IF(装备!S246="",0,装备!S246)</f>
        <v>0</v>
      </c>
      <c r="J174">
        <f>IF(装备!C246="",0,""""&amp;装备!C246&amp;"""")</f>
        <v>0</v>
      </c>
      <c r="K174" t="str">
        <f>IF(装备!T246="","""""",""""&amp;装备!T246&amp;"""")</f>
        <v>""</v>
      </c>
      <c r="L174">
        <f>IF(装备!U246="",0,""""&amp;装备!U246&amp;"""")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IF(装备!B247="",0,"'"&amp;装备!B247&amp;"'")</f>
        <v>0</v>
      </c>
      <c r="B175">
        <f>装备!D173</f>
        <v>0</v>
      </c>
      <c r="C175">
        <f>装备!E247</f>
        <v>0</v>
      </c>
      <c r="D175">
        <f>装备!F247</f>
        <v>0</v>
      </c>
      <c r="E175">
        <f>IF(ISTEXT(装备!G247)=TRUE,"'"&amp;装备!G247&amp;"'",装备!G247)</f>
        <v>0</v>
      </c>
      <c r="F175">
        <f>IF(ISTEXT(装备!H247)=TRUE,"'"&amp;装备!H247&amp;"'",装备!H247)</f>
        <v>0</v>
      </c>
      <c r="G175">
        <f>IF(装备!I247="",0,"'"&amp;装备!I247&amp;"'")</f>
        <v>0</v>
      </c>
      <c r="H175">
        <f>IF(装备!R247="",0,装备!R247)</f>
        <v>0</v>
      </c>
      <c r="I175">
        <f>IF(装备!S247="",0,装备!S247)</f>
        <v>0</v>
      </c>
      <c r="J175">
        <f>IF(装备!C247="",0,""""&amp;装备!C247&amp;"""")</f>
        <v>0</v>
      </c>
      <c r="K175" t="str">
        <f>IF(装备!T247="","""""",""""&amp;装备!T247&amp;"""")</f>
        <v>""</v>
      </c>
      <c r="L175">
        <f>IF(装备!U247="",0,""""&amp;装备!U247&amp;"""")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IF(装备!B248="",0,"'"&amp;装备!B248&amp;"'")</f>
        <v>0</v>
      </c>
      <c r="B176">
        <f>装备!D174</f>
        <v>0</v>
      </c>
      <c r="C176">
        <f>装备!E248</f>
        <v>0</v>
      </c>
      <c r="D176">
        <f>装备!F248</f>
        <v>0</v>
      </c>
      <c r="E176">
        <f>IF(ISTEXT(装备!G248)=TRUE,"'"&amp;装备!G248&amp;"'",装备!G248)</f>
        <v>0</v>
      </c>
      <c r="F176">
        <f>IF(ISTEXT(装备!H248)=TRUE,"'"&amp;装备!H248&amp;"'",装备!H248)</f>
        <v>0</v>
      </c>
      <c r="G176">
        <f>IF(装备!I248="",0,"'"&amp;装备!I248&amp;"'")</f>
        <v>0</v>
      </c>
      <c r="H176">
        <f>IF(装备!R248="",0,装备!R248)</f>
        <v>0</v>
      </c>
      <c r="I176">
        <f>IF(装备!S248="",0,装备!S248)</f>
        <v>0</v>
      </c>
      <c r="J176">
        <f>IF(装备!C248="",0,""""&amp;装备!C248&amp;"""")</f>
        <v>0</v>
      </c>
      <c r="K176" t="str">
        <f>IF(装备!T248="","""""",""""&amp;装备!T248&amp;"""")</f>
        <v>""</v>
      </c>
      <c r="L176">
        <f>IF(装备!U248="",0,""""&amp;装备!U248&amp;"""")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IF(装备!B249="",0,"'"&amp;装备!B249&amp;"'")</f>
        <v>0</v>
      </c>
      <c r="B177">
        <f>装备!D175</f>
        <v>0</v>
      </c>
      <c r="C177">
        <f>装备!E249</f>
        <v>0</v>
      </c>
      <c r="D177">
        <f>装备!F249</f>
        <v>0</v>
      </c>
      <c r="E177">
        <f>IF(ISTEXT(装备!G249)=TRUE,"'"&amp;装备!G249&amp;"'",装备!G249)</f>
        <v>0</v>
      </c>
      <c r="F177">
        <f>IF(ISTEXT(装备!H249)=TRUE,"'"&amp;装备!H249&amp;"'",装备!H249)</f>
        <v>0</v>
      </c>
      <c r="G177">
        <f>IF(装备!I249="",0,"'"&amp;装备!I249&amp;"'")</f>
        <v>0</v>
      </c>
      <c r="H177">
        <f>IF(装备!R249="",0,装备!R249)</f>
        <v>0</v>
      </c>
      <c r="I177">
        <f>IF(装备!S249="",0,装备!S249)</f>
        <v>0</v>
      </c>
      <c r="J177">
        <f>IF(装备!C249="",0,""""&amp;装备!C249&amp;"""")</f>
        <v>0</v>
      </c>
      <c r="K177" t="str">
        <f>IF(装备!T249="","""""",""""&amp;装备!T249&amp;"""")</f>
        <v>""</v>
      </c>
      <c r="L177">
        <f>IF(装备!U249="",0,""""&amp;装备!U249&amp;"""")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IF(装备!B250="",0,"'"&amp;装备!B250&amp;"'")</f>
        <v>0</v>
      </c>
      <c r="B178">
        <f>装备!D176</f>
        <v>0</v>
      </c>
      <c r="C178">
        <f>装备!E250</f>
        <v>0</v>
      </c>
      <c r="D178">
        <f>装备!F250</f>
        <v>0</v>
      </c>
      <c r="E178">
        <f>IF(ISTEXT(装备!G250)=TRUE,"'"&amp;装备!G250&amp;"'",装备!G250)</f>
        <v>0</v>
      </c>
      <c r="F178">
        <f>IF(ISTEXT(装备!H250)=TRUE,"'"&amp;装备!H250&amp;"'",装备!H250)</f>
        <v>0</v>
      </c>
      <c r="G178">
        <f>IF(装备!I250="",0,"'"&amp;装备!I250&amp;"'")</f>
        <v>0</v>
      </c>
      <c r="H178">
        <f>IF(装备!R250="",0,装备!R250)</f>
        <v>0</v>
      </c>
      <c r="I178">
        <f>IF(装备!S250="",0,装备!S250)</f>
        <v>0</v>
      </c>
      <c r="J178">
        <f>IF(装备!C250="",0,""""&amp;装备!C250&amp;"""")</f>
        <v>0</v>
      </c>
      <c r="K178" t="str">
        <f>IF(装备!T250="","""""",""""&amp;装备!T250&amp;"""")</f>
        <v>""</v>
      </c>
      <c r="L178">
        <f>IF(装备!U250="",0,""""&amp;装备!U250&amp;"""")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IF(装备!B251="",0,"'"&amp;装备!B251&amp;"'")</f>
        <v>0</v>
      </c>
      <c r="B179">
        <f>装备!D177</f>
        <v>0</v>
      </c>
      <c r="C179">
        <f>装备!E251</f>
        <v>0</v>
      </c>
      <c r="D179">
        <f>装备!F251</f>
        <v>0</v>
      </c>
      <c r="E179">
        <f>IF(ISTEXT(装备!G251)=TRUE,"'"&amp;装备!G251&amp;"'",装备!G251)</f>
        <v>0</v>
      </c>
      <c r="F179">
        <f>IF(ISTEXT(装备!H251)=TRUE,"'"&amp;装备!H251&amp;"'",装备!H251)</f>
        <v>0</v>
      </c>
      <c r="G179">
        <f>IF(装备!I251="",0,"'"&amp;装备!I251&amp;"'")</f>
        <v>0</v>
      </c>
      <c r="H179">
        <f>IF(装备!R251="",0,装备!R251)</f>
        <v>0</v>
      </c>
      <c r="I179">
        <f>IF(装备!S251="",0,装备!S251)</f>
        <v>0</v>
      </c>
      <c r="J179">
        <f>IF(装备!C251="",0,""""&amp;装备!C251&amp;"""")</f>
        <v>0</v>
      </c>
      <c r="K179" t="str">
        <f>IF(装备!T251="","""""",""""&amp;装备!T251&amp;"""")</f>
        <v>""</v>
      </c>
      <c r="L179">
        <f>IF(装备!U251="",0,""""&amp;装备!U251&amp;"""")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IF(装备!B252="",0,"'"&amp;装备!B252&amp;"'")</f>
        <v>0</v>
      </c>
      <c r="B180">
        <f>装备!D178</f>
        <v>0</v>
      </c>
      <c r="C180">
        <f>装备!E252</f>
        <v>0</v>
      </c>
      <c r="D180">
        <f>装备!F252</f>
        <v>0</v>
      </c>
      <c r="E180">
        <f>IF(ISTEXT(装备!G252)=TRUE,"'"&amp;装备!G252&amp;"'",装备!G252)</f>
        <v>0</v>
      </c>
      <c r="F180">
        <f>IF(ISTEXT(装备!H252)=TRUE,"'"&amp;装备!H252&amp;"'",装备!H252)</f>
        <v>0</v>
      </c>
      <c r="G180">
        <f>IF(装备!I252="",0,"'"&amp;装备!I252&amp;"'")</f>
        <v>0</v>
      </c>
      <c r="H180">
        <f>IF(装备!R252="",0,装备!R252)</f>
        <v>0</v>
      </c>
      <c r="I180">
        <f>IF(装备!S252="",0,装备!S252)</f>
        <v>0</v>
      </c>
      <c r="J180">
        <f>IF(装备!C252="",0,""""&amp;装备!C252&amp;"""")</f>
        <v>0</v>
      </c>
      <c r="K180" t="str">
        <f>IF(装备!T252="","""""",""""&amp;装备!T252&amp;"""")</f>
        <v>""</v>
      </c>
      <c r="L180">
        <f>IF(装备!U252="",0,""""&amp;装备!U252&amp;"""")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IF(装备!B253="",0,"'"&amp;装备!B253&amp;"'")</f>
        <v>0</v>
      </c>
      <c r="B181">
        <f>装备!D179</f>
        <v>0</v>
      </c>
      <c r="C181">
        <f>装备!E253</f>
        <v>0</v>
      </c>
      <c r="D181">
        <f>装备!F253</f>
        <v>0</v>
      </c>
      <c r="E181">
        <f>IF(ISTEXT(装备!G253)=TRUE,"'"&amp;装备!G253&amp;"'",装备!G253)</f>
        <v>0</v>
      </c>
      <c r="F181">
        <f>IF(ISTEXT(装备!H253)=TRUE,"'"&amp;装备!H253&amp;"'",装备!H253)</f>
        <v>0</v>
      </c>
      <c r="G181">
        <f>IF(装备!I253="",0,"'"&amp;装备!I253&amp;"'")</f>
        <v>0</v>
      </c>
      <c r="H181">
        <f>IF(装备!R253="",0,装备!R253)</f>
        <v>0</v>
      </c>
      <c r="I181">
        <f>IF(装备!S253="",0,装备!S253)</f>
        <v>0</v>
      </c>
      <c r="J181">
        <f>IF(装备!C253="",0,""""&amp;装备!C253&amp;"""")</f>
        <v>0</v>
      </c>
      <c r="K181" t="str">
        <f>IF(装备!T253="","""""",""""&amp;装备!T253&amp;"""")</f>
        <v>""</v>
      </c>
      <c r="L181">
        <f>IF(装备!U253="",0,""""&amp;装备!U253&amp;"""")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IF(装备!B254="",0,"'"&amp;装备!B254&amp;"'")</f>
        <v>0</v>
      </c>
      <c r="B182">
        <f>装备!D180</f>
        <v>0</v>
      </c>
      <c r="C182">
        <f>装备!E254</f>
        <v>0</v>
      </c>
      <c r="D182">
        <f>装备!F254</f>
        <v>0</v>
      </c>
      <c r="E182">
        <f>IF(ISTEXT(装备!G254)=TRUE,"'"&amp;装备!G254&amp;"'",装备!G254)</f>
        <v>0</v>
      </c>
      <c r="F182">
        <f>IF(ISTEXT(装备!H254)=TRUE,"'"&amp;装备!H254&amp;"'",装备!H254)</f>
        <v>0</v>
      </c>
      <c r="G182">
        <f>IF(装备!I254="",0,"'"&amp;装备!I254&amp;"'")</f>
        <v>0</v>
      </c>
      <c r="H182">
        <f>IF(装备!R254="",0,装备!R254)</f>
        <v>0</v>
      </c>
      <c r="I182">
        <f>IF(装备!S254="",0,装备!S254)</f>
        <v>0</v>
      </c>
      <c r="J182">
        <f>IF(装备!C254="",0,""""&amp;装备!C254&amp;"""")</f>
        <v>0</v>
      </c>
      <c r="K182" t="str">
        <f>IF(装备!T254="","""""",""""&amp;装备!T254&amp;"""")</f>
        <v>""</v>
      </c>
      <c r="L182">
        <f>IF(装备!U254="",0,""""&amp;装备!U254&amp;"""")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IF(装备!B255="",0,"'"&amp;装备!B255&amp;"'")</f>
        <v>0</v>
      </c>
      <c r="B183">
        <f>装备!D181</f>
        <v>0</v>
      </c>
      <c r="C183">
        <f>装备!E255</f>
        <v>0</v>
      </c>
      <c r="D183">
        <f>装备!F255</f>
        <v>0</v>
      </c>
      <c r="E183">
        <f>IF(ISTEXT(装备!G255)=TRUE,"'"&amp;装备!G255&amp;"'",装备!G255)</f>
        <v>0</v>
      </c>
      <c r="F183">
        <f>IF(ISTEXT(装备!H255)=TRUE,"'"&amp;装备!H255&amp;"'",装备!H255)</f>
        <v>0</v>
      </c>
      <c r="G183">
        <f>IF(装备!I255="",0,"'"&amp;装备!I255&amp;"'")</f>
        <v>0</v>
      </c>
      <c r="H183">
        <f>IF(装备!R255="",0,装备!R255)</f>
        <v>0</v>
      </c>
      <c r="I183">
        <f>IF(装备!S255="",0,装备!S255)</f>
        <v>0</v>
      </c>
      <c r="J183">
        <f>IF(装备!C255="",0,""""&amp;装备!C255&amp;"""")</f>
        <v>0</v>
      </c>
      <c r="K183" t="str">
        <f>IF(装备!T255="","""""",""""&amp;装备!T255&amp;"""")</f>
        <v>""</v>
      </c>
      <c r="L183">
        <f>IF(装备!U255="",0,""""&amp;装备!U255&amp;"""")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IF(装备!B256="",0,"'"&amp;装备!B256&amp;"'")</f>
        <v>0</v>
      </c>
      <c r="B184">
        <f>装备!D182</f>
        <v>0</v>
      </c>
      <c r="C184">
        <f>装备!E256</f>
        <v>0</v>
      </c>
      <c r="D184">
        <f>装备!F256</f>
        <v>0</v>
      </c>
      <c r="E184">
        <f>IF(ISTEXT(装备!G256)=TRUE,"'"&amp;装备!G256&amp;"'",装备!G256)</f>
        <v>0</v>
      </c>
      <c r="F184">
        <f>IF(ISTEXT(装备!H256)=TRUE,"'"&amp;装备!H256&amp;"'",装备!H256)</f>
        <v>0</v>
      </c>
      <c r="G184">
        <f>IF(装备!I256="",0,"'"&amp;装备!I256&amp;"'")</f>
        <v>0</v>
      </c>
      <c r="H184">
        <f>IF(装备!R256="",0,装备!R256)</f>
        <v>0</v>
      </c>
      <c r="I184">
        <f>IF(装备!S256="",0,装备!S256)</f>
        <v>0</v>
      </c>
      <c r="J184">
        <f>IF(装备!C256="",0,""""&amp;装备!C256&amp;"""")</f>
        <v>0</v>
      </c>
      <c r="K184" t="str">
        <f>IF(装备!T256="","""""",""""&amp;装备!T256&amp;"""")</f>
        <v>""</v>
      </c>
      <c r="L184">
        <f>IF(装备!U256="",0,""""&amp;装备!U256&amp;"""")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IF(装备!B266="",0,"'"&amp;装备!B266&amp;"'")</f>
        <v>0</v>
      </c>
      <c r="B185">
        <f>装备!D183</f>
        <v>0</v>
      </c>
      <c r="C185">
        <f>装备!E266</f>
        <v>0</v>
      </c>
      <c r="D185">
        <f>装备!F266</f>
        <v>0</v>
      </c>
      <c r="E185">
        <f>IF(ISTEXT(装备!G257)=TRUE,"'"&amp;装备!G257&amp;"'",装备!G257)</f>
        <v>0</v>
      </c>
      <c r="F185">
        <f>IF(ISTEXT(装备!H257)=TRUE,"'"&amp;装备!H257&amp;"'",装备!H257)</f>
        <v>0</v>
      </c>
      <c r="G185">
        <f>IF(装备!I266="",0,"'"&amp;装备!I266&amp;"'")</f>
        <v>0</v>
      </c>
      <c r="H185">
        <f>IF(装备!R257="",0,装备!R257)</f>
        <v>0</v>
      </c>
      <c r="I185">
        <f>IF(装备!S257="",0,装备!S257)</f>
        <v>0</v>
      </c>
      <c r="J185">
        <f>IF(装备!C266="",0,""""&amp;装备!C266&amp;"""")</f>
        <v>0</v>
      </c>
      <c r="K185" t="str">
        <f>IF(装备!T266="","""""",""""&amp;装备!T266&amp;"""")</f>
        <v>""</v>
      </c>
      <c r="L185">
        <f>IF(装备!U266="",0,""""&amp;装备!U266&amp;"""")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IF(装备!B267="",0,"'"&amp;装备!B267&amp;"'")</f>
        <v>0</v>
      </c>
      <c r="B186">
        <f>装备!D184</f>
        <v>0</v>
      </c>
      <c r="C186">
        <f>装备!E267</f>
        <v>0</v>
      </c>
      <c r="D186">
        <f>装备!F267</f>
        <v>0</v>
      </c>
      <c r="E186">
        <f>IF(ISTEXT(装备!G258)=TRUE,"'"&amp;装备!G258&amp;"'",装备!G258)</f>
        <v>0</v>
      </c>
      <c r="F186">
        <f>IF(ISTEXT(装备!H258)=TRUE,"'"&amp;装备!H258&amp;"'",装备!H258)</f>
        <v>0</v>
      </c>
      <c r="G186">
        <f>IF(装备!I267="",0,"'"&amp;装备!I267&amp;"'")</f>
        <v>0</v>
      </c>
      <c r="H186">
        <f>IF(装备!R258="",0,装备!R258)</f>
        <v>0</v>
      </c>
      <c r="I186">
        <f>IF(装备!S258="",0,装备!S258)</f>
        <v>0</v>
      </c>
      <c r="J186">
        <f>IF(装备!C267="",0,""""&amp;装备!C267&amp;"""")</f>
        <v>0</v>
      </c>
      <c r="K186" t="str">
        <f>IF(装备!T267="","""""",""""&amp;装备!T267&amp;"""")</f>
        <v>""</v>
      </c>
      <c r="L186">
        <f>IF(装备!U267="",0,""""&amp;装备!U267&amp;"""")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IF(装备!B268="",0,"'"&amp;装备!B268&amp;"'")</f>
        <v>0</v>
      </c>
      <c r="B187">
        <f>装备!D185</f>
        <v>0</v>
      </c>
      <c r="C187">
        <f>装备!E268</f>
        <v>0</v>
      </c>
      <c r="D187">
        <f>装备!F268</f>
        <v>0</v>
      </c>
      <c r="E187">
        <f>IF(ISTEXT(装备!G259)=TRUE,"'"&amp;装备!G259&amp;"'",装备!G259)</f>
        <v>0</v>
      </c>
      <c r="F187">
        <f>IF(ISTEXT(装备!H259)=TRUE,"'"&amp;装备!H259&amp;"'",装备!H259)</f>
        <v>0</v>
      </c>
      <c r="G187">
        <f>IF(装备!I268="",0,"'"&amp;装备!I268&amp;"'")</f>
        <v>0</v>
      </c>
      <c r="H187">
        <f>IF(装备!R259="",0,装备!R259)</f>
        <v>0</v>
      </c>
      <c r="I187">
        <f>IF(装备!S259="",0,装备!S259)</f>
        <v>0</v>
      </c>
      <c r="J187">
        <f>IF(装备!C268="",0,""""&amp;装备!C268&amp;"""")</f>
        <v>0</v>
      </c>
      <c r="K187" t="str">
        <f>IF(装备!T268="","""""",""""&amp;装备!T268&amp;"""")</f>
        <v>""</v>
      </c>
      <c r="L187">
        <f>IF(装备!U268="",0,""""&amp;装备!U268&amp;"""")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IF(装备!B269="",0,"'"&amp;装备!B269&amp;"'")</f>
        <v>0</v>
      </c>
      <c r="B188">
        <f>装备!D186</f>
        <v>0</v>
      </c>
      <c r="C188">
        <f>装备!E269</f>
        <v>0</v>
      </c>
      <c r="D188">
        <f>装备!F269</f>
        <v>0</v>
      </c>
      <c r="E188">
        <f>IF(ISTEXT(装备!G260)=TRUE,"'"&amp;装备!G260&amp;"'",装备!G260)</f>
        <v>0</v>
      </c>
      <c r="F188">
        <f>IF(ISTEXT(装备!H260)=TRUE,"'"&amp;装备!H260&amp;"'",装备!H260)</f>
        <v>0</v>
      </c>
      <c r="G188">
        <f>IF(装备!I269="",0,"'"&amp;装备!I269&amp;"'")</f>
        <v>0</v>
      </c>
      <c r="H188">
        <f>IF(装备!R260="",0,装备!R260)</f>
        <v>0</v>
      </c>
      <c r="I188">
        <f>IF(装备!S260="",0,装备!S260)</f>
        <v>0</v>
      </c>
      <c r="J188">
        <f>IF(装备!C269="",0,""""&amp;装备!C269&amp;"""")</f>
        <v>0</v>
      </c>
      <c r="K188" t="str">
        <f>IF(装备!T269="","""""",""""&amp;装备!T269&amp;"""")</f>
        <v>""</v>
      </c>
      <c r="L188">
        <f>IF(装备!U269="",0,""""&amp;装备!U269&amp;"""")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IF(装备!B270="",0,"'"&amp;装备!B270&amp;"'")</f>
        <v>0</v>
      </c>
      <c r="B189">
        <f>装备!D187</f>
        <v>0</v>
      </c>
      <c r="C189">
        <f>装备!E270</f>
        <v>0</v>
      </c>
      <c r="D189">
        <f>装备!F270</f>
        <v>0</v>
      </c>
      <c r="E189">
        <f>IF(ISTEXT(装备!G261)=TRUE,"'"&amp;装备!G261&amp;"'",装备!G261)</f>
        <v>0</v>
      </c>
      <c r="F189">
        <f>IF(ISTEXT(装备!H261)=TRUE,"'"&amp;装备!H261&amp;"'",装备!H261)</f>
        <v>0</v>
      </c>
      <c r="G189">
        <f>IF(装备!I270="",0,"'"&amp;装备!I270&amp;"'")</f>
        <v>0</v>
      </c>
      <c r="H189">
        <f>IF(装备!R261="",0,装备!R261)</f>
        <v>0</v>
      </c>
      <c r="I189">
        <f>IF(装备!S261="",0,装备!S261)</f>
        <v>0</v>
      </c>
      <c r="J189">
        <f>IF(装备!C270="",0,""""&amp;装备!C270&amp;"""")</f>
        <v>0</v>
      </c>
      <c r="K189" t="str">
        <f>IF(装备!T270="","""""",""""&amp;装备!T270&amp;"""")</f>
        <v>""</v>
      </c>
      <c r="L189">
        <f>IF(装备!U270="",0,""""&amp;装备!U270&amp;"""")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IF(装备!B271="",0,"'"&amp;装备!B271&amp;"'")</f>
        <v>0</v>
      </c>
      <c r="B190">
        <f>装备!D188</f>
        <v>0</v>
      </c>
      <c r="C190">
        <f>装备!E271</f>
        <v>0</v>
      </c>
      <c r="D190">
        <f>装备!F271</f>
        <v>0</v>
      </c>
      <c r="E190">
        <f>IF(ISTEXT(装备!G262)=TRUE,"'"&amp;装备!G262&amp;"'",装备!G262)</f>
        <v>0</v>
      </c>
      <c r="F190">
        <f>IF(ISTEXT(装备!H262)=TRUE,"'"&amp;装备!H262&amp;"'",装备!H262)</f>
        <v>0</v>
      </c>
      <c r="G190">
        <f>IF(装备!I271="",0,"'"&amp;装备!I271&amp;"'")</f>
        <v>0</v>
      </c>
      <c r="H190">
        <f>IF(装备!R262="",0,装备!R262)</f>
        <v>0</v>
      </c>
      <c r="I190">
        <f>IF(装备!S262="",0,装备!S262)</f>
        <v>0</v>
      </c>
      <c r="J190">
        <f>IF(装备!C271="",0,""""&amp;装备!C271&amp;"""")</f>
        <v>0</v>
      </c>
      <c r="K190" t="str">
        <f>IF(装备!T271="","""""",""""&amp;装备!T271&amp;"""")</f>
        <v>""</v>
      </c>
      <c r="L190">
        <f>IF(装备!U271="",0,""""&amp;装备!U271&amp;"""")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IF(装备!B272="",0,"'"&amp;装备!B272&amp;"'")</f>
        <v>0</v>
      </c>
      <c r="B191">
        <f>装备!D189</f>
        <v>0</v>
      </c>
      <c r="C191">
        <f>装备!E272</f>
        <v>0</v>
      </c>
      <c r="D191">
        <f>装备!F272</f>
        <v>0</v>
      </c>
      <c r="E191">
        <f>IF(ISTEXT(装备!G263)=TRUE,"'"&amp;装备!G263&amp;"'",装备!G263)</f>
        <v>0</v>
      </c>
      <c r="F191">
        <f>IF(ISTEXT(装备!H263)=TRUE,"'"&amp;装备!H263&amp;"'",装备!H263)</f>
        <v>0</v>
      </c>
      <c r="G191">
        <f>IF(装备!I272="",0,"'"&amp;装备!I272&amp;"'")</f>
        <v>0</v>
      </c>
      <c r="H191">
        <f>IF(装备!R263="",0,装备!R263)</f>
        <v>0</v>
      </c>
      <c r="I191">
        <f>IF(装备!S263="",0,装备!S263)</f>
        <v>0</v>
      </c>
      <c r="J191">
        <f>IF(装备!C272="",0,""""&amp;装备!C272&amp;"""")</f>
        <v>0</v>
      </c>
      <c r="K191" t="str">
        <f>IF(装备!T272="","""""",""""&amp;装备!T272&amp;"""")</f>
        <v>""</v>
      </c>
      <c r="L191">
        <f>IF(装备!U272="",0,""""&amp;装备!U272&amp;"""")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IF(装备!B273="",0,"'"&amp;装备!B273&amp;"'")</f>
        <v>0</v>
      </c>
      <c r="B192">
        <f>装备!D200</f>
        <v>0</v>
      </c>
      <c r="C192">
        <f>装备!E273</f>
        <v>0</v>
      </c>
      <c r="D192">
        <f>装备!F273</f>
        <v>0</v>
      </c>
      <c r="E192">
        <f>IF(ISTEXT(装备!G264)=TRUE,"'"&amp;装备!G264&amp;"'",装备!G264)</f>
        <v>0</v>
      </c>
      <c r="F192">
        <f>IF(ISTEXT(装备!H264)=TRUE,"'"&amp;装备!H264&amp;"'",装备!H264)</f>
        <v>0</v>
      </c>
      <c r="G192">
        <f>IF(装备!I273="",0,"'"&amp;装备!I273&amp;"'")</f>
        <v>0</v>
      </c>
      <c r="H192">
        <f>IF(装备!R264="",0,装备!R264)</f>
        <v>0</v>
      </c>
      <c r="I192">
        <f>IF(装备!S264="",0,装备!S264)</f>
        <v>0</v>
      </c>
      <c r="J192">
        <f>IF(装备!C273="",0,""""&amp;装备!C273&amp;"""")</f>
        <v>0</v>
      </c>
      <c r="K192" t="str">
        <f>IF(装备!T273="","""""",""""&amp;装备!T273&amp;"""")</f>
        <v>""</v>
      </c>
      <c r="L192">
        <f>IF(装备!U273="",0,""""&amp;装备!U273&amp;"""")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IF(装备!B274="",0,"'"&amp;装备!B274&amp;"'")</f>
        <v>0</v>
      </c>
      <c r="B193">
        <f>装备!D201</f>
        <v>0</v>
      </c>
      <c r="C193">
        <f>装备!E274</f>
        <v>0</v>
      </c>
      <c r="D193">
        <f>装备!F274</f>
        <v>0</v>
      </c>
      <c r="E193">
        <f>IF(ISTEXT(装备!G265)=TRUE,"'"&amp;装备!G265&amp;"'",装备!G265)</f>
        <v>0</v>
      </c>
      <c r="F193">
        <f>IF(ISTEXT(装备!H265)=TRUE,"'"&amp;装备!H265&amp;"'",装备!H265)</f>
        <v>0</v>
      </c>
      <c r="G193">
        <f>IF(装备!I274="",0,"'"&amp;装备!I274&amp;"'")</f>
        <v>0</v>
      </c>
      <c r="H193">
        <f>IF(装备!R265="",0,装备!R265)</f>
        <v>0</v>
      </c>
      <c r="I193">
        <f>IF(装备!S265="",0,装备!S265)</f>
        <v>0</v>
      </c>
      <c r="J193">
        <f>IF(装备!C274="",0,""""&amp;装备!C274&amp;"""")</f>
        <v>0</v>
      </c>
      <c r="K193" t="str">
        <f>IF(装备!T274="","""""",""""&amp;装备!T274&amp;"""")</f>
        <v>""</v>
      </c>
      <c r="L193">
        <f>IF(装备!U274="",0,""""&amp;装备!U274&amp;"""")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IF(装备!B275="",0,"'"&amp;装备!B275&amp;"'")</f>
        <v>0</v>
      </c>
      <c r="B194">
        <f>装备!D202</f>
        <v>0</v>
      </c>
      <c r="C194">
        <f>装备!E275</f>
        <v>0</v>
      </c>
      <c r="D194">
        <f>装备!F275</f>
        <v>0</v>
      </c>
      <c r="E194">
        <f>IF(ISTEXT(装备!G266)=TRUE,"'"&amp;装备!G266&amp;"'",装备!G266)</f>
        <v>0</v>
      </c>
      <c r="F194">
        <f>IF(ISTEXT(装备!H266)=TRUE,"'"&amp;装备!H266&amp;"'",装备!H266)</f>
        <v>0</v>
      </c>
      <c r="G194">
        <f>IF(装备!I275="",0,"'"&amp;装备!I275&amp;"'")</f>
        <v>0</v>
      </c>
      <c r="H194">
        <f>IF(装备!R266="",0,装备!R266)</f>
        <v>0</v>
      </c>
      <c r="I194">
        <f>IF(装备!S266="",0,装备!S266)</f>
        <v>0</v>
      </c>
      <c r="J194">
        <f>IF(装备!C275="",0,""""&amp;装备!C275&amp;"""")</f>
        <v>0</v>
      </c>
      <c r="K194" t="str">
        <f>IF(装备!T275="","""""",""""&amp;装备!T275&amp;"""")</f>
        <v>""</v>
      </c>
      <c r="L194">
        <f>IF(装备!U275="",0,""""&amp;装备!U275&amp;"""")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IF(装备!B276="",0,"'"&amp;装备!B276&amp;"'")</f>
        <v>0</v>
      </c>
      <c r="B195">
        <f>装备!D203</f>
        <v>0</v>
      </c>
      <c r="C195">
        <f>装备!E276</f>
        <v>0</v>
      </c>
      <c r="D195">
        <f>装备!F276</f>
        <v>0</v>
      </c>
      <c r="E195">
        <f>IF(ISTEXT(装备!G267)=TRUE,"'"&amp;装备!G267&amp;"'",装备!G267)</f>
        <v>0</v>
      </c>
      <c r="F195">
        <f>IF(ISTEXT(装备!H267)=TRUE,"'"&amp;装备!H267&amp;"'",装备!H267)</f>
        <v>0</v>
      </c>
      <c r="G195">
        <f>IF(装备!I276="",0,"'"&amp;装备!I276&amp;"'")</f>
        <v>0</v>
      </c>
      <c r="H195">
        <f>IF(装备!R267="",0,装备!R267)</f>
        <v>0</v>
      </c>
      <c r="I195">
        <f>IF(装备!S267="",0,装备!S267)</f>
        <v>0</v>
      </c>
      <c r="J195">
        <f>IF(装备!C276="",0,""""&amp;装备!C276&amp;"""")</f>
        <v>0</v>
      </c>
      <c r="K195" t="str">
        <f>IF(装备!T276="","""""",""""&amp;装备!T276&amp;"""")</f>
        <v>""</v>
      </c>
      <c r="L195">
        <f>IF(装备!U276="",0,""""&amp;装备!U276&amp;"""")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IF(装备!B277="",0,"'"&amp;装备!B277&amp;"'")</f>
        <v>0</v>
      </c>
      <c r="B196">
        <f>装备!D204</f>
        <v>0</v>
      </c>
      <c r="C196">
        <f>装备!E277</f>
        <v>0</v>
      </c>
      <c r="D196">
        <f>装备!F277</f>
        <v>0</v>
      </c>
      <c r="E196">
        <f>IF(ISTEXT(装备!G268)=TRUE,"'"&amp;装备!G268&amp;"'",装备!G268)</f>
        <v>0</v>
      </c>
      <c r="F196">
        <f>IF(ISTEXT(装备!H268)=TRUE,"'"&amp;装备!H268&amp;"'",装备!H268)</f>
        <v>0</v>
      </c>
      <c r="G196">
        <f>IF(装备!I277="",0,"'"&amp;装备!I277&amp;"'")</f>
        <v>0</v>
      </c>
      <c r="H196">
        <f>IF(装备!R268="",0,装备!R268)</f>
        <v>0</v>
      </c>
      <c r="I196">
        <f>IF(装备!S268="",0,装备!S268)</f>
        <v>0</v>
      </c>
      <c r="J196">
        <f>IF(装备!C277="",0,""""&amp;装备!C277&amp;"""")</f>
        <v>0</v>
      </c>
      <c r="K196" t="str">
        <f>IF(装备!T277="","""""",""""&amp;装备!T277&amp;"""")</f>
        <v>""</v>
      </c>
      <c r="L196">
        <f>IF(装备!U277="",0,""""&amp;装备!U277&amp;"""")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IF(装备!B278="",0,"'"&amp;装备!B278&amp;"'")</f>
        <v>0</v>
      </c>
      <c r="B197">
        <f>装备!D205</f>
        <v>0</v>
      </c>
      <c r="C197">
        <f>装备!E278</f>
        <v>0</v>
      </c>
      <c r="D197">
        <f>装备!F278</f>
        <v>0</v>
      </c>
      <c r="E197">
        <f>IF(ISTEXT(装备!G269)=TRUE,"'"&amp;装备!G269&amp;"'",装备!G269)</f>
        <v>0</v>
      </c>
      <c r="F197">
        <f>IF(ISTEXT(装备!H269)=TRUE,"'"&amp;装备!H269&amp;"'",装备!H269)</f>
        <v>0</v>
      </c>
      <c r="G197">
        <f>IF(装备!I278="",0,"'"&amp;装备!I278&amp;"'")</f>
        <v>0</v>
      </c>
      <c r="H197">
        <f>IF(装备!R269="",0,装备!R269)</f>
        <v>0</v>
      </c>
      <c r="I197">
        <f>IF(装备!S269="",0,装备!S269)</f>
        <v>0</v>
      </c>
      <c r="J197">
        <f>IF(装备!C278="",0,""""&amp;装备!C278&amp;"""")</f>
        <v>0</v>
      </c>
      <c r="K197" t="str">
        <f>IF(装备!T278="","""""",""""&amp;装备!T278&amp;"""")</f>
        <v>""</v>
      </c>
      <c r="L197">
        <f>IF(装备!U278="",0,""""&amp;装备!U278&amp;"""")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IF(装备!B279="",0,"'"&amp;装备!B279&amp;"'")</f>
        <v>0</v>
      </c>
      <c r="B198">
        <f>装备!D206</f>
        <v>0</v>
      </c>
      <c r="C198">
        <f>装备!E279</f>
        <v>0</v>
      </c>
      <c r="D198">
        <f>装备!F279</f>
        <v>0</v>
      </c>
      <c r="E198">
        <f>IF(ISTEXT(装备!G270)=TRUE,"'"&amp;装备!G270&amp;"'",装备!G270)</f>
        <v>0</v>
      </c>
      <c r="F198">
        <f>IF(ISTEXT(装备!H270)=TRUE,"'"&amp;装备!H270&amp;"'",装备!H270)</f>
        <v>0</v>
      </c>
      <c r="G198">
        <f>IF(装备!I279="",0,"'"&amp;装备!I279&amp;"'")</f>
        <v>0</v>
      </c>
      <c r="H198">
        <f>IF(装备!R270="",0,装备!R270)</f>
        <v>0</v>
      </c>
      <c r="I198">
        <f>IF(装备!S270="",0,装备!S270)</f>
        <v>0</v>
      </c>
      <c r="J198">
        <f>IF(装备!C279="",0,""""&amp;装备!C279&amp;"""")</f>
        <v>0</v>
      </c>
      <c r="K198" t="str">
        <f>IF(装备!T279="","""""",""""&amp;装备!T279&amp;"""")</f>
        <v>""</v>
      </c>
      <c r="L198">
        <f>IF(装备!U279="",0,""""&amp;装备!U279&amp;"""")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IF(装备!B280="",0,"'"&amp;装备!B280&amp;"'")</f>
        <v>0</v>
      </c>
      <c r="B199">
        <f>装备!D207</f>
        <v>0</v>
      </c>
      <c r="C199">
        <f>装备!E280</f>
        <v>0</v>
      </c>
      <c r="D199">
        <f>装备!F280</f>
        <v>0</v>
      </c>
      <c r="E199">
        <f>IF(ISTEXT(装备!G271)=TRUE,"'"&amp;装备!G271&amp;"'",装备!G271)</f>
        <v>0</v>
      </c>
      <c r="F199">
        <f>IF(ISTEXT(装备!H271)=TRUE,"'"&amp;装备!H271&amp;"'",装备!H271)</f>
        <v>0</v>
      </c>
      <c r="G199">
        <f>IF(装备!I280="",0,"'"&amp;装备!I280&amp;"'")</f>
        <v>0</v>
      </c>
      <c r="H199">
        <f>IF(装备!R271="",0,装备!R271)</f>
        <v>0</v>
      </c>
      <c r="I199">
        <f>IF(装备!S271="",0,装备!S271)</f>
        <v>0</v>
      </c>
      <c r="J199">
        <f>IF(装备!C280="",0,""""&amp;装备!C280&amp;"""")</f>
        <v>0</v>
      </c>
      <c r="K199" t="str">
        <f>IF(装备!T280="","""""",""""&amp;装备!T280&amp;"""")</f>
        <v>""</v>
      </c>
      <c r="L199">
        <f>IF(装备!U280="",0,""""&amp;装备!U280&amp;"""")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IF(装备!B281="",0,"'"&amp;装备!B281&amp;"'")</f>
        <v>0</v>
      </c>
      <c r="B200">
        <f>装备!D208</f>
        <v>0</v>
      </c>
      <c r="C200">
        <f>装备!E281</f>
        <v>0</v>
      </c>
      <c r="D200">
        <f>装备!F281</f>
        <v>0</v>
      </c>
      <c r="E200">
        <f>IF(ISTEXT(装备!G272)=TRUE,"'"&amp;装备!G272&amp;"'",装备!G272)</f>
        <v>0</v>
      </c>
      <c r="F200">
        <f>IF(ISTEXT(装备!H272)=TRUE,"'"&amp;装备!H272&amp;"'",装备!H272)</f>
        <v>0</v>
      </c>
      <c r="G200">
        <f>IF(装备!I281="",0,"'"&amp;装备!I281&amp;"'")</f>
        <v>0</v>
      </c>
      <c r="H200">
        <f>IF(装备!R272="",0,装备!R272)</f>
        <v>0</v>
      </c>
      <c r="I200">
        <f>IF(装备!S272="",0,装备!S272)</f>
        <v>0</v>
      </c>
      <c r="J200">
        <f>IF(装备!C281="",0,""""&amp;装备!C281&amp;"""")</f>
        <v>0</v>
      </c>
      <c r="K200" t="str">
        <f>IF(装备!T281="","""""",""""&amp;装备!T281&amp;"""")</f>
        <v>""</v>
      </c>
      <c r="L200">
        <f>IF(装备!U281="",0,""""&amp;装备!U281&amp;"""")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IF(装备!B282="",0,"'"&amp;装备!B282&amp;"'")</f>
        <v>0</v>
      </c>
      <c r="B201">
        <f>装备!D209</f>
        <v>0</v>
      </c>
      <c r="C201">
        <f>装备!E282</f>
        <v>0</v>
      </c>
      <c r="D201">
        <f>装备!F282</f>
        <v>0</v>
      </c>
      <c r="E201">
        <f>IF(ISTEXT(装备!G273)=TRUE,"'"&amp;装备!G273&amp;"'",装备!G273)</f>
        <v>0</v>
      </c>
      <c r="F201">
        <f>IF(ISTEXT(装备!H273)=TRUE,"'"&amp;装备!H273&amp;"'",装备!H273)</f>
        <v>0</v>
      </c>
      <c r="G201">
        <f>IF(装备!I282="",0,"'"&amp;装备!I282&amp;"'")</f>
        <v>0</v>
      </c>
      <c r="H201">
        <f>IF(装备!R273="",0,装备!R273)</f>
        <v>0</v>
      </c>
      <c r="I201">
        <f>IF(装备!S273="",0,装备!S273)</f>
        <v>0</v>
      </c>
      <c r="J201">
        <f>IF(装备!C282="",0,""""&amp;装备!C282&amp;"""")</f>
        <v>0</v>
      </c>
      <c r="K201" t="str">
        <f>IF(装备!T282="","""""",""""&amp;装备!T282&amp;"""")</f>
        <v>""</v>
      </c>
      <c r="L201">
        <f>IF(装备!U282="",0,""""&amp;装备!U282&amp;"""")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IF(装备!B283="",0,"'"&amp;装备!B283&amp;"'")</f>
        <v>0</v>
      </c>
      <c r="B202">
        <f>装备!D210</f>
        <v>0</v>
      </c>
      <c r="C202">
        <f>装备!E283</f>
        <v>0</v>
      </c>
      <c r="D202">
        <f>装备!F283</f>
        <v>0</v>
      </c>
      <c r="E202">
        <f>IF(ISTEXT(装备!G274)=TRUE,"'"&amp;装备!G274&amp;"'",装备!G274)</f>
        <v>0</v>
      </c>
      <c r="F202">
        <f>IF(ISTEXT(装备!H274)=TRUE,"'"&amp;装备!H274&amp;"'",装备!H274)</f>
        <v>0</v>
      </c>
      <c r="G202">
        <f>IF(装备!I283="",0,"'"&amp;装备!I283&amp;"'")</f>
        <v>0</v>
      </c>
      <c r="H202">
        <f>IF(装备!R274="",0,装备!R274)</f>
        <v>0</v>
      </c>
      <c r="I202">
        <f>IF(装备!S274="",0,装备!S274)</f>
        <v>0</v>
      </c>
      <c r="J202">
        <f>IF(装备!C283="",0,""""&amp;装备!C283&amp;"""")</f>
        <v>0</v>
      </c>
      <c r="K202" t="str">
        <f>IF(装备!T283="","""""",""""&amp;装备!T283&amp;"""")</f>
        <v>""</v>
      </c>
      <c r="L202">
        <f>IF(装备!U283="",0,""""&amp;装备!U283&amp;"""")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IF(装备!B284="",0,"'"&amp;装备!B284&amp;"'")</f>
        <v>0</v>
      </c>
      <c r="B203">
        <f>装备!D211</f>
        <v>0</v>
      </c>
      <c r="C203">
        <f>装备!E284</f>
        <v>0</v>
      </c>
      <c r="D203">
        <f>装备!F284</f>
        <v>0</v>
      </c>
      <c r="E203">
        <f>IF(ISTEXT(装备!G275)=TRUE,"'"&amp;装备!G275&amp;"'",装备!G275)</f>
        <v>0</v>
      </c>
      <c r="F203">
        <f>IF(ISTEXT(装备!H275)=TRUE,"'"&amp;装备!H275&amp;"'",装备!H275)</f>
        <v>0</v>
      </c>
      <c r="G203">
        <f>IF(装备!I284="",0,"'"&amp;装备!I284&amp;"'")</f>
        <v>0</v>
      </c>
      <c r="H203">
        <f>IF(装备!R275="",0,装备!R275)</f>
        <v>0</v>
      </c>
      <c r="I203">
        <f>IF(装备!S275="",0,装备!S275)</f>
        <v>0</v>
      </c>
      <c r="J203">
        <f>IF(装备!C284="",0,""""&amp;装备!C284&amp;"""")</f>
        <v>0</v>
      </c>
      <c r="K203" t="str">
        <f>IF(装备!T284="","""""",""""&amp;装备!T284&amp;"""")</f>
        <v>""</v>
      </c>
      <c r="L203">
        <f>IF(装备!U284="",0,""""&amp;装备!U284&amp;"""")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IF(装备!B285="",0,"'"&amp;装备!B285&amp;"'")</f>
        <v>0</v>
      </c>
      <c r="B204">
        <f>装备!D212</f>
        <v>0</v>
      </c>
      <c r="C204">
        <f>装备!E285</f>
        <v>0</v>
      </c>
      <c r="D204">
        <f>装备!F285</f>
        <v>0</v>
      </c>
      <c r="E204">
        <f>IF(ISTEXT(装备!G276)=TRUE,"'"&amp;装备!G276&amp;"'",装备!G276)</f>
        <v>0</v>
      </c>
      <c r="F204">
        <f>IF(ISTEXT(装备!H276)=TRUE,"'"&amp;装备!H276&amp;"'",装备!H276)</f>
        <v>0</v>
      </c>
      <c r="G204">
        <f>IF(装备!I285="",0,"'"&amp;装备!I285&amp;"'")</f>
        <v>0</v>
      </c>
      <c r="H204">
        <f>IF(装备!R276="",0,装备!R276)</f>
        <v>0</v>
      </c>
      <c r="I204">
        <f>IF(装备!S276="",0,装备!S276)</f>
        <v>0</v>
      </c>
      <c r="J204">
        <f>IF(装备!C285="",0,""""&amp;装备!C285&amp;"""")</f>
        <v>0</v>
      </c>
      <c r="K204" t="str">
        <f>IF(装备!T285="","""""",""""&amp;装备!T285&amp;"""")</f>
        <v>""</v>
      </c>
      <c r="L204">
        <f>IF(装备!U285="",0,""""&amp;装备!U285&amp;"""")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IF(装备!B286="",0,"'"&amp;装备!B286&amp;"'")</f>
        <v>0</v>
      </c>
      <c r="B205">
        <f>装备!D213</f>
        <v>0</v>
      </c>
      <c r="C205">
        <f>装备!E286</f>
        <v>0</v>
      </c>
      <c r="D205">
        <f>装备!F286</f>
        <v>0</v>
      </c>
      <c r="E205">
        <f>IF(ISTEXT(装备!G277)=TRUE,"'"&amp;装备!G277&amp;"'",装备!G277)</f>
        <v>0</v>
      </c>
      <c r="F205">
        <f>IF(ISTEXT(装备!H277)=TRUE,"'"&amp;装备!H277&amp;"'",装备!H277)</f>
        <v>0</v>
      </c>
      <c r="G205">
        <f>IF(装备!I286="",0,"'"&amp;装备!I286&amp;"'")</f>
        <v>0</v>
      </c>
      <c r="H205">
        <f>IF(装备!R277="",0,装备!R277)</f>
        <v>0</v>
      </c>
      <c r="I205">
        <f>IF(装备!S277="",0,装备!S277)</f>
        <v>0</v>
      </c>
      <c r="J205">
        <f>IF(装备!C286="",0,""""&amp;装备!C286&amp;"""")</f>
        <v>0</v>
      </c>
      <c r="K205" t="str">
        <f>IF(装备!T286="","""""",""""&amp;装备!T286&amp;"""")</f>
        <v>""</v>
      </c>
      <c r="L205">
        <f>IF(装备!U286="",0,""""&amp;装备!U286&amp;"""")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IF(装备!B287="",0,"'"&amp;装备!B287&amp;"'")</f>
        <v>0</v>
      </c>
      <c r="B206">
        <f>装备!D214</f>
        <v>0</v>
      </c>
      <c r="C206">
        <f>装备!E287</f>
        <v>0</v>
      </c>
      <c r="D206">
        <f>装备!F287</f>
        <v>0</v>
      </c>
      <c r="E206">
        <f>IF(ISTEXT(装备!G278)=TRUE,"'"&amp;装备!G278&amp;"'",装备!G278)</f>
        <v>0</v>
      </c>
      <c r="F206">
        <f>IF(ISTEXT(装备!H278)=TRUE,"'"&amp;装备!H278&amp;"'",装备!H278)</f>
        <v>0</v>
      </c>
      <c r="G206">
        <f>IF(装备!I287="",0,"'"&amp;装备!I287&amp;"'")</f>
        <v>0</v>
      </c>
      <c r="H206">
        <f>IF(装备!R278="",0,装备!R278)</f>
        <v>0</v>
      </c>
      <c r="I206">
        <f>IF(装备!S278="",0,装备!S278)</f>
        <v>0</v>
      </c>
      <c r="J206">
        <f>IF(装备!C287="",0,""""&amp;装备!C287&amp;"""")</f>
        <v>0</v>
      </c>
      <c r="K206" t="str">
        <f>IF(装备!T287="","""""",""""&amp;装备!T287&amp;"""")</f>
        <v>""</v>
      </c>
      <c r="L206">
        <f>IF(装备!U287="",0,""""&amp;装备!U287&amp;"""")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IF(装备!B288="",0,"'"&amp;装备!B288&amp;"'")</f>
        <v>0</v>
      </c>
      <c r="B207">
        <f>装备!D215</f>
        <v>0</v>
      </c>
      <c r="C207">
        <f>装备!E288</f>
        <v>0</v>
      </c>
      <c r="D207">
        <f>装备!F288</f>
        <v>0</v>
      </c>
      <c r="E207">
        <f>IF(ISTEXT(装备!G279)=TRUE,"'"&amp;装备!G279&amp;"'",装备!G279)</f>
        <v>0</v>
      </c>
      <c r="F207">
        <f>IF(ISTEXT(装备!H279)=TRUE,"'"&amp;装备!H279&amp;"'",装备!H279)</f>
        <v>0</v>
      </c>
      <c r="G207">
        <f>IF(装备!I288="",0,"'"&amp;装备!I288&amp;"'")</f>
        <v>0</v>
      </c>
      <c r="H207">
        <f>IF(装备!R279="",0,装备!R279)</f>
        <v>0</v>
      </c>
      <c r="I207">
        <f>IF(装备!S279="",0,装备!S279)</f>
        <v>0</v>
      </c>
      <c r="J207">
        <f>IF(装备!C288="",0,""""&amp;装备!C288&amp;"""")</f>
        <v>0</v>
      </c>
      <c r="K207" t="str">
        <f>IF(装备!T288="","""""",""""&amp;装备!T288&amp;"""")</f>
        <v>""</v>
      </c>
      <c r="L207">
        <f>IF(装备!U288="",0,""""&amp;装备!U288&amp;"""")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IF(装备!B289="",0,"'"&amp;装备!B289&amp;"'")</f>
        <v>0</v>
      </c>
      <c r="B208">
        <f>装备!D216</f>
        <v>0</v>
      </c>
      <c r="C208">
        <f>装备!E289</f>
        <v>0</v>
      </c>
      <c r="D208">
        <f>装备!F289</f>
        <v>0</v>
      </c>
      <c r="E208">
        <f>IF(ISTEXT(装备!G280)=TRUE,"'"&amp;装备!G280&amp;"'",装备!G280)</f>
        <v>0</v>
      </c>
      <c r="F208">
        <f>IF(ISTEXT(装备!H280)=TRUE,"'"&amp;装备!H280&amp;"'",装备!H280)</f>
        <v>0</v>
      </c>
      <c r="G208">
        <f>IF(装备!I289="",0,"'"&amp;装备!I289&amp;"'")</f>
        <v>0</v>
      </c>
      <c r="H208">
        <f>IF(装备!R280="",0,装备!R280)</f>
        <v>0</v>
      </c>
      <c r="I208">
        <f>IF(装备!S280="",0,装备!S280)</f>
        <v>0</v>
      </c>
      <c r="J208">
        <f>IF(装备!C289="",0,""""&amp;装备!C289&amp;"""")</f>
        <v>0</v>
      </c>
      <c r="K208" t="str">
        <f>IF(装备!T289="","""""",""""&amp;装备!T289&amp;"""")</f>
        <v>""</v>
      </c>
      <c r="L208">
        <f>IF(装备!U289="",0,""""&amp;装备!U289&amp;"""")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IF(装备!B290="",0,"'"&amp;装备!B290&amp;"'")</f>
        <v>0</v>
      </c>
      <c r="B209">
        <f>装备!D217</f>
        <v>0</v>
      </c>
      <c r="C209">
        <f>装备!E290</f>
        <v>0</v>
      </c>
      <c r="D209">
        <f>装备!F290</f>
        <v>0</v>
      </c>
      <c r="E209">
        <f>IF(ISTEXT(装备!G281)=TRUE,"'"&amp;装备!G281&amp;"'",装备!G281)</f>
        <v>0</v>
      </c>
      <c r="F209">
        <f>IF(ISTEXT(装备!H281)=TRUE,"'"&amp;装备!H281&amp;"'",装备!H281)</f>
        <v>0</v>
      </c>
      <c r="G209">
        <f>IF(装备!I290="",0,"'"&amp;装备!I290&amp;"'")</f>
        <v>0</v>
      </c>
      <c r="H209">
        <f>IF(装备!R281="",0,装备!R281)</f>
        <v>0</v>
      </c>
      <c r="I209">
        <f>IF(装备!S281="",0,装备!S281)</f>
        <v>0</v>
      </c>
      <c r="J209">
        <f>IF(装备!C290="",0,""""&amp;装备!C290&amp;"""")</f>
        <v>0</v>
      </c>
      <c r="K209" t="str">
        <f>IF(装备!T290="","""""",""""&amp;装备!T290&amp;"""")</f>
        <v>""</v>
      </c>
      <c r="L209">
        <f>IF(装备!U290="",0,""""&amp;装备!U290&amp;"""")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IF(装备!B291="",0,"'"&amp;装备!B291&amp;"'")</f>
        <v>0</v>
      </c>
      <c r="B210">
        <f>装备!D218</f>
        <v>0</v>
      </c>
      <c r="C210">
        <f>装备!E291</f>
        <v>0</v>
      </c>
      <c r="D210">
        <f>装备!F291</f>
        <v>0</v>
      </c>
      <c r="E210">
        <f>IF(ISTEXT(装备!G282)=TRUE,"'"&amp;装备!G282&amp;"'",装备!G282)</f>
        <v>0</v>
      </c>
      <c r="F210">
        <f>IF(ISTEXT(装备!H282)=TRUE,"'"&amp;装备!H282&amp;"'",装备!H282)</f>
        <v>0</v>
      </c>
      <c r="G210">
        <f>IF(装备!I291="",0,"'"&amp;装备!I291&amp;"'")</f>
        <v>0</v>
      </c>
      <c r="H210">
        <f>IF(装备!R282="",0,装备!R282)</f>
        <v>0</v>
      </c>
      <c r="I210">
        <f>IF(装备!S282="",0,装备!S282)</f>
        <v>0</v>
      </c>
      <c r="J210">
        <f>IF(装备!C291="",0,""""&amp;装备!C291&amp;"""")</f>
        <v>0</v>
      </c>
      <c r="K210" t="str">
        <f>IF(装备!T291="","""""",""""&amp;装备!T291&amp;"""")</f>
        <v>""</v>
      </c>
      <c r="L210">
        <f>IF(装备!U291="",0,""""&amp;装备!U291&amp;"""")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IF(装备!B292="",0,"'"&amp;装备!B292&amp;"'")</f>
        <v>0</v>
      </c>
      <c r="B211">
        <f>装备!D219</f>
        <v>0</v>
      </c>
      <c r="C211">
        <f>装备!E292</f>
        <v>0</v>
      </c>
      <c r="D211">
        <f>装备!F292</f>
        <v>0</v>
      </c>
      <c r="E211">
        <f>IF(ISTEXT(装备!G283)=TRUE,"'"&amp;装备!G283&amp;"'",装备!G283)</f>
        <v>0</v>
      </c>
      <c r="F211">
        <f>IF(ISTEXT(装备!H283)=TRUE,"'"&amp;装备!H283&amp;"'",装备!H283)</f>
        <v>0</v>
      </c>
      <c r="G211">
        <f>IF(装备!I292="",0,"'"&amp;装备!I292&amp;"'")</f>
        <v>0</v>
      </c>
      <c r="H211">
        <f>IF(装备!R283="",0,装备!R283)</f>
        <v>0</v>
      </c>
      <c r="I211">
        <f>IF(装备!S283="",0,装备!S283)</f>
        <v>0</v>
      </c>
      <c r="J211">
        <f>IF(装备!C292="",0,""""&amp;装备!C292&amp;"""")</f>
        <v>0</v>
      </c>
      <c r="K211" t="str">
        <f>IF(装备!T292="","""""",""""&amp;装备!T292&amp;"""")</f>
        <v>""</v>
      </c>
      <c r="L211">
        <f>IF(装备!U292="",0,""""&amp;装备!U292&amp;"""")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IF(装备!B293="",0,"'"&amp;装备!B293&amp;"'")</f>
        <v>0</v>
      </c>
      <c r="B212">
        <f>装备!D220</f>
        <v>0</v>
      </c>
      <c r="C212">
        <f>装备!E293</f>
        <v>0</v>
      </c>
      <c r="D212">
        <f>装备!F293</f>
        <v>0</v>
      </c>
      <c r="E212">
        <f>IF(ISTEXT(装备!G284)=TRUE,"'"&amp;装备!G284&amp;"'",装备!G284)</f>
        <v>0</v>
      </c>
      <c r="F212">
        <f>IF(ISTEXT(装备!H284)=TRUE,"'"&amp;装备!H284&amp;"'",装备!H284)</f>
        <v>0</v>
      </c>
      <c r="G212">
        <f>IF(装备!I293="",0,"'"&amp;装备!I293&amp;"'")</f>
        <v>0</v>
      </c>
      <c r="H212">
        <f>IF(装备!R284="",0,装备!R284)</f>
        <v>0</v>
      </c>
      <c r="I212">
        <f>IF(装备!S284="",0,装备!S284)</f>
        <v>0</v>
      </c>
      <c r="J212">
        <f>IF(装备!C293="",0,""""&amp;装备!C293&amp;"""")</f>
        <v>0</v>
      </c>
      <c r="K212" t="str">
        <f>IF(装备!T293="","""""",""""&amp;装备!T293&amp;"""")</f>
        <v>""</v>
      </c>
      <c r="L212">
        <f>IF(装备!U293="",0,""""&amp;装备!U293&amp;"""")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IF(装备!B294="",0,"'"&amp;装备!B294&amp;"'")</f>
        <v>0</v>
      </c>
      <c r="B213">
        <f>装备!D221</f>
        <v>0</v>
      </c>
      <c r="C213">
        <f>装备!E294</f>
        <v>0</v>
      </c>
      <c r="D213">
        <f>装备!F294</f>
        <v>0</v>
      </c>
      <c r="E213">
        <f>IF(ISTEXT(装备!G285)=TRUE,"'"&amp;装备!G285&amp;"'",装备!G285)</f>
        <v>0</v>
      </c>
      <c r="F213">
        <f>IF(ISTEXT(装备!H285)=TRUE,"'"&amp;装备!H285&amp;"'",装备!H285)</f>
        <v>0</v>
      </c>
      <c r="G213">
        <f>IF(装备!I294="",0,"'"&amp;装备!I294&amp;"'")</f>
        <v>0</v>
      </c>
      <c r="H213">
        <f>IF(装备!R285="",0,装备!R285)</f>
        <v>0</v>
      </c>
      <c r="I213">
        <f>IF(装备!S285="",0,装备!S285)</f>
        <v>0</v>
      </c>
      <c r="J213">
        <f>IF(装备!C294="",0,""""&amp;装备!C294&amp;"""")</f>
        <v>0</v>
      </c>
      <c r="K213" t="str">
        <f>IF(装备!T294="","""""",""""&amp;装备!T294&amp;"""")</f>
        <v>""</v>
      </c>
      <c r="L213">
        <f>IF(装备!U294="",0,""""&amp;装备!U294&amp;"""")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IF(装备!B295="",0,"'"&amp;装备!B295&amp;"'")</f>
        <v>0</v>
      </c>
      <c r="B214">
        <f>装备!D222</f>
        <v>0</v>
      </c>
      <c r="C214">
        <f>装备!E295</f>
        <v>0</v>
      </c>
      <c r="D214">
        <f>装备!F295</f>
        <v>0</v>
      </c>
      <c r="E214">
        <f>IF(ISTEXT(装备!G286)=TRUE,"'"&amp;装备!G286&amp;"'",装备!G286)</f>
        <v>0</v>
      </c>
      <c r="F214">
        <f>IF(ISTEXT(装备!H286)=TRUE,"'"&amp;装备!H286&amp;"'",装备!H286)</f>
        <v>0</v>
      </c>
      <c r="G214">
        <f>IF(装备!I295="",0,"'"&amp;装备!I295&amp;"'")</f>
        <v>0</v>
      </c>
      <c r="H214">
        <f>IF(装备!R286="",0,装备!R286)</f>
        <v>0</v>
      </c>
      <c r="I214">
        <f>IF(装备!S286="",0,装备!S286)</f>
        <v>0</v>
      </c>
      <c r="J214">
        <f>IF(装备!C295="",0,""""&amp;装备!C295&amp;"""")</f>
        <v>0</v>
      </c>
      <c r="K214" t="str">
        <f>IF(装备!T295="","""""",""""&amp;装备!T295&amp;"""")</f>
        <v>""</v>
      </c>
      <c r="L214">
        <f>IF(装备!U295="",0,""""&amp;装备!U295&amp;"""")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IF(装备!B296="",0,"'"&amp;装备!B296&amp;"'")</f>
        <v>0</v>
      </c>
      <c r="B215">
        <f>装备!D223</f>
        <v>0</v>
      </c>
      <c r="C215">
        <f>装备!E296</f>
        <v>0</v>
      </c>
      <c r="D215">
        <f>装备!F296</f>
        <v>0</v>
      </c>
      <c r="E215">
        <f>IF(ISTEXT(装备!G287)=TRUE,"'"&amp;装备!G287&amp;"'",装备!G287)</f>
        <v>0</v>
      </c>
      <c r="F215">
        <f>IF(ISTEXT(装备!H287)=TRUE,"'"&amp;装备!H287&amp;"'",装备!H287)</f>
        <v>0</v>
      </c>
      <c r="G215">
        <f>IF(装备!I296="",0,"'"&amp;装备!I296&amp;"'")</f>
        <v>0</v>
      </c>
      <c r="H215">
        <f>IF(装备!R287="",0,装备!R287)</f>
        <v>0</v>
      </c>
      <c r="I215">
        <f>IF(装备!S287="",0,装备!S287)</f>
        <v>0</v>
      </c>
      <c r="J215">
        <f>IF(装备!C296="",0,""""&amp;装备!C296&amp;"""")</f>
        <v>0</v>
      </c>
      <c r="K215" t="str">
        <f>IF(装备!T296="","""""",""""&amp;装备!T296&amp;"""")</f>
        <v>""</v>
      </c>
      <c r="L215">
        <f>IF(装备!U296="",0,""""&amp;装备!U296&amp;"""")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IF(装备!B297="",0,"'"&amp;装备!B297&amp;"'")</f>
        <v>0</v>
      </c>
      <c r="B216">
        <f>装备!D224</f>
        <v>0</v>
      </c>
      <c r="C216">
        <f>装备!E297</f>
        <v>0</v>
      </c>
      <c r="D216">
        <f>装备!F297</f>
        <v>0</v>
      </c>
      <c r="E216">
        <f>IF(ISTEXT(装备!G288)=TRUE,"'"&amp;装备!G288&amp;"'",装备!G288)</f>
        <v>0</v>
      </c>
      <c r="F216">
        <f>IF(ISTEXT(装备!H288)=TRUE,"'"&amp;装备!H288&amp;"'",装备!H288)</f>
        <v>0</v>
      </c>
      <c r="G216">
        <f>IF(装备!I297="",0,"'"&amp;装备!I297&amp;"'")</f>
        <v>0</v>
      </c>
      <c r="H216">
        <f>IF(装备!R288="",0,装备!R288)</f>
        <v>0</v>
      </c>
      <c r="I216">
        <f>IF(装备!S288="",0,装备!S288)</f>
        <v>0</v>
      </c>
      <c r="J216">
        <f>IF(装备!C297="",0,""""&amp;装备!C297&amp;"""")</f>
        <v>0</v>
      </c>
      <c r="K216" t="str">
        <f>IF(装备!T297="","""""",""""&amp;装备!T297&amp;"""")</f>
        <v>""</v>
      </c>
      <c r="L216">
        <f>IF(装备!U297="",0,""""&amp;装备!U297&amp;"""")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IF(装备!B298="",0,"'"&amp;装备!B298&amp;"'")</f>
        <v>0</v>
      </c>
      <c r="B217">
        <f>装备!D225</f>
        <v>0</v>
      </c>
      <c r="C217">
        <f>装备!E298</f>
        <v>0</v>
      </c>
      <c r="D217">
        <f>装备!F298</f>
        <v>0</v>
      </c>
      <c r="E217">
        <f>IF(ISTEXT(装备!G289)=TRUE,"'"&amp;装备!G289&amp;"'",装备!G289)</f>
        <v>0</v>
      </c>
      <c r="F217">
        <f>IF(ISTEXT(装备!H289)=TRUE,"'"&amp;装备!H289&amp;"'",装备!H289)</f>
        <v>0</v>
      </c>
      <c r="G217">
        <f>IF(装备!I298="",0,"'"&amp;装备!I298&amp;"'")</f>
        <v>0</v>
      </c>
      <c r="H217">
        <f>IF(装备!R289="",0,装备!R289)</f>
        <v>0</v>
      </c>
      <c r="I217">
        <f>IF(装备!S289="",0,装备!S289)</f>
        <v>0</v>
      </c>
      <c r="J217">
        <f>IF(装备!C298="",0,""""&amp;装备!C298&amp;"""")</f>
        <v>0</v>
      </c>
      <c r="K217" t="str">
        <f>IF(装备!T298="","""""",""""&amp;装备!T298&amp;"""")</f>
        <v>""</v>
      </c>
      <c r="L217">
        <f>IF(装备!U298="",0,""""&amp;装备!U298&amp;"""")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IF(装备!B299="",0,"'"&amp;装备!B299&amp;"'")</f>
        <v>0</v>
      </c>
      <c r="B218">
        <f>装备!D226</f>
        <v>0</v>
      </c>
      <c r="C218">
        <f>装备!E299</f>
        <v>0</v>
      </c>
      <c r="D218">
        <f>装备!F299</f>
        <v>0</v>
      </c>
      <c r="E218">
        <f>IF(ISTEXT(装备!G290)=TRUE,"'"&amp;装备!G290&amp;"'",装备!G290)</f>
        <v>0</v>
      </c>
      <c r="F218">
        <f>IF(ISTEXT(装备!H290)=TRUE,"'"&amp;装备!H290&amp;"'",装备!H290)</f>
        <v>0</v>
      </c>
      <c r="G218">
        <f>IF(装备!I299="",0,"'"&amp;装备!I299&amp;"'")</f>
        <v>0</v>
      </c>
      <c r="H218">
        <f>IF(装备!R290="",0,装备!R290)</f>
        <v>0</v>
      </c>
      <c r="I218">
        <f>IF(装备!S290="",0,装备!S290)</f>
        <v>0</v>
      </c>
      <c r="J218">
        <f>IF(装备!C299="",0,""""&amp;装备!C299&amp;"""")</f>
        <v>0</v>
      </c>
      <c r="K218" t="str">
        <f>IF(装备!T299="","""""",""""&amp;装备!T299&amp;"""")</f>
        <v>""</v>
      </c>
      <c r="L218">
        <f>IF(装备!U299="",0,""""&amp;装备!U299&amp;"""")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IF(装备!B300="",0,"'"&amp;装备!B300&amp;"'")</f>
        <v>0</v>
      </c>
      <c r="B219">
        <f>装备!D227</f>
        <v>0</v>
      </c>
      <c r="C219">
        <f>装备!E300</f>
        <v>0</v>
      </c>
      <c r="D219">
        <f>装备!F300</f>
        <v>0</v>
      </c>
      <c r="E219">
        <f>IF(ISTEXT(装备!G291)=TRUE,"'"&amp;装备!G291&amp;"'",装备!G291)</f>
        <v>0</v>
      </c>
      <c r="F219">
        <f>IF(ISTEXT(装备!H291)=TRUE,"'"&amp;装备!H291&amp;"'",装备!H291)</f>
        <v>0</v>
      </c>
      <c r="G219">
        <f>IF(装备!I300="",0,"'"&amp;装备!I300&amp;"'")</f>
        <v>0</v>
      </c>
      <c r="H219">
        <f>IF(装备!R291="",0,装备!R291)</f>
        <v>0</v>
      </c>
      <c r="I219">
        <f>IF(装备!S291="",0,装备!S291)</f>
        <v>0</v>
      </c>
      <c r="J219">
        <f>IF(装备!C300="",0,""""&amp;装备!C300&amp;"""")</f>
        <v>0</v>
      </c>
      <c r="K219" t="str">
        <f>IF(装备!T300="","""""",""""&amp;装备!T300&amp;"""")</f>
        <v>""</v>
      </c>
      <c r="L219">
        <f>IF(装备!U300="",0,""""&amp;装备!U300&amp;"""")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IF(装备!B301="",0,"'"&amp;装备!B301&amp;"'")</f>
        <v>0</v>
      </c>
      <c r="B220">
        <f>装备!D228</f>
        <v>0</v>
      </c>
      <c r="C220">
        <f>装备!E301</f>
        <v>0</v>
      </c>
      <c r="D220">
        <f>装备!F301</f>
        <v>0</v>
      </c>
      <c r="E220">
        <f>IF(ISTEXT(装备!G292)=TRUE,"'"&amp;装备!G292&amp;"'",装备!G292)</f>
        <v>0</v>
      </c>
      <c r="F220">
        <f>IF(ISTEXT(装备!H292)=TRUE,"'"&amp;装备!H292&amp;"'",装备!H292)</f>
        <v>0</v>
      </c>
      <c r="G220">
        <f>IF(装备!I301="",0,"'"&amp;装备!I301&amp;"'")</f>
        <v>0</v>
      </c>
      <c r="H220">
        <f>IF(装备!R292="",0,装备!R292)</f>
        <v>0</v>
      </c>
      <c r="I220">
        <f>IF(装备!S292="",0,装备!S292)</f>
        <v>0</v>
      </c>
      <c r="J220">
        <f>IF(装备!C301="",0,""""&amp;装备!C301&amp;"""")</f>
        <v>0</v>
      </c>
      <c r="K220" t="str">
        <f>IF(装备!T301="","""""",""""&amp;装备!T301&amp;"""")</f>
        <v>""</v>
      </c>
      <c r="L220">
        <f>IF(装备!U301="",0,""""&amp;装备!U301&amp;"""")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IF(装备!B302="",0,"'"&amp;装备!B302&amp;"'")</f>
        <v>0</v>
      </c>
      <c r="B221">
        <f>装备!D229</f>
        <v>0</v>
      </c>
      <c r="C221">
        <f>装备!E302</f>
        <v>0</v>
      </c>
      <c r="D221">
        <f>装备!F302</f>
        <v>0</v>
      </c>
      <c r="E221">
        <f>IF(ISTEXT(装备!G293)=TRUE,"'"&amp;装备!G293&amp;"'",装备!G293)</f>
        <v>0</v>
      </c>
      <c r="F221">
        <f>IF(ISTEXT(装备!H293)=TRUE,"'"&amp;装备!H293&amp;"'",装备!H293)</f>
        <v>0</v>
      </c>
      <c r="G221">
        <f>IF(装备!I302="",0,"'"&amp;装备!I302&amp;"'")</f>
        <v>0</v>
      </c>
      <c r="H221">
        <f>IF(装备!R293="",0,装备!R293)</f>
        <v>0</v>
      </c>
      <c r="I221">
        <f>IF(装备!S293="",0,装备!S293)</f>
        <v>0</v>
      </c>
      <c r="J221">
        <f>IF(装备!C302="",0,""""&amp;装备!C302&amp;"""")</f>
        <v>0</v>
      </c>
      <c r="K221" t="str">
        <f>IF(装备!T302="","""""",""""&amp;装备!T302&amp;"""")</f>
        <v>""</v>
      </c>
      <c r="L221">
        <f>IF(装备!U302="",0,""""&amp;装备!U302&amp;"""")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IF(装备!B303="",0,"'"&amp;装备!B303&amp;"'")</f>
        <v>0</v>
      </c>
      <c r="B222">
        <f>装备!D230</f>
        <v>0</v>
      </c>
      <c r="C222">
        <f>装备!E303</f>
        <v>0</v>
      </c>
      <c r="D222">
        <f>装备!F303</f>
        <v>0</v>
      </c>
      <c r="E222">
        <f>IF(ISTEXT(装备!G294)=TRUE,"'"&amp;装备!G294&amp;"'",装备!G294)</f>
        <v>0</v>
      </c>
      <c r="F222">
        <f>IF(ISTEXT(装备!H294)=TRUE,"'"&amp;装备!H294&amp;"'",装备!H294)</f>
        <v>0</v>
      </c>
      <c r="G222">
        <f>IF(装备!I303="",0,"'"&amp;装备!I303&amp;"'")</f>
        <v>0</v>
      </c>
      <c r="H222">
        <f>IF(装备!R294="",0,装备!R294)</f>
        <v>0</v>
      </c>
      <c r="I222">
        <f>IF(装备!S294="",0,装备!S294)</f>
        <v>0</v>
      </c>
      <c r="J222">
        <f>IF(装备!C303="",0,""""&amp;装备!C303&amp;"""")</f>
        <v>0</v>
      </c>
      <c r="K222" t="str">
        <f>IF(装备!T303="","""""",""""&amp;装备!T303&amp;"""")</f>
        <v>""</v>
      </c>
      <c r="L222">
        <f>IF(装备!U303="",0,""""&amp;装备!U303&amp;"""")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IF(装备!B304="",0,"'"&amp;装备!B304&amp;"'")</f>
        <v>0</v>
      </c>
      <c r="B223">
        <f>装备!D231</f>
        <v>0</v>
      </c>
      <c r="C223">
        <f>装备!E304</f>
        <v>0</v>
      </c>
      <c r="D223">
        <f>装备!F304</f>
        <v>0</v>
      </c>
      <c r="E223">
        <f>IF(ISTEXT(装备!G295)=TRUE,"'"&amp;装备!G295&amp;"'",装备!G295)</f>
        <v>0</v>
      </c>
      <c r="F223">
        <f>IF(ISTEXT(装备!H295)=TRUE,"'"&amp;装备!H295&amp;"'",装备!H295)</f>
        <v>0</v>
      </c>
      <c r="G223">
        <f>IF(装备!I304="",0,"'"&amp;装备!I304&amp;"'")</f>
        <v>0</v>
      </c>
      <c r="H223">
        <f>IF(装备!R295="",0,装备!R295)</f>
        <v>0</v>
      </c>
      <c r="I223">
        <f>IF(装备!S295="",0,装备!S295)</f>
        <v>0</v>
      </c>
      <c r="J223">
        <f>IF(装备!C304="",0,""""&amp;装备!C304&amp;"""")</f>
        <v>0</v>
      </c>
      <c r="K223" t="str">
        <f>IF(装备!T304="","""""",""""&amp;装备!T304&amp;"""")</f>
        <v>""</v>
      </c>
      <c r="L223">
        <f>IF(装备!U304="",0,""""&amp;装备!U304&amp;"""")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IF(装备!B305="",0,"'"&amp;装备!B305&amp;"'")</f>
        <v>0</v>
      </c>
      <c r="B224">
        <f>装备!D232</f>
        <v>0</v>
      </c>
      <c r="C224">
        <f>装备!E305</f>
        <v>0</v>
      </c>
      <c r="D224">
        <f>装备!F305</f>
        <v>0</v>
      </c>
      <c r="E224">
        <f>IF(ISTEXT(装备!G296)=TRUE,"'"&amp;装备!G296&amp;"'",装备!G296)</f>
        <v>0</v>
      </c>
      <c r="F224">
        <f>IF(ISTEXT(装备!H296)=TRUE,"'"&amp;装备!H296&amp;"'",装备!H296)</f>
        <v>0</v>
      </c>
      <c r="G224">
        <f>IF(装备!I305="",0,"'"&amp;装备!I305&amp;"'")</f>
        <v>0</v>
      </c>
      <c r="H224">
        <f>IF(装备!R296="",0,装备!R296)</f>
        <v>0</v>
      </c>
      <c r="I224">
        <f>IF(装备!S296="",0,装备!S296)</f>
        <v>0</v>
      </c>
      <c r="J224">
        <f>IF(装备!C305="",0,""""&amp;装备!C305&amp;"""")</f>
        <v>0</v>
      </c>
      <c r="K224" t="str">
        <f>IF(装备!T305="","""""",""""&amp;装备!T305&amp;"""")</f>
        <v>""</v>
      </c>
      <c r="L224">
        <f>IF(装备!U305="",0,""""&amp;装备!U305&amp;"""")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IF(装备!B306="",0,"'"&amp;装备!B306&amp;"'")</f>
        <v>0</v>
      </c>
      <c r="B225">
        <f>装备!D233</f>
        <v>0</v>
      </c>
      <c r="C225">
        <f>装备!E306</f>
        <v>0</v>
      </c>
      <c r="D225">
        <f>装备!F306</f>
        <v>0</v>
      </c>
      <c r="E225">
        <f>IF(ISTEXT(装备!G297)=TRUE,"'"&amp;装备!G297&amp;"'",装备!G297)</f>
        <v>0</v>
      </c>
      <c r="F225">
        <f>IF(ISTEXT(装备!H297)=TRUE,"'"&amp;装备!H297&amp;"'",装备!H297)</f>
        <v>0</v>
      </c>
      <c r="G225">
        <f>IF(装备!I306="",0,"'"&amp;装备!I306&amp;"'")</f>
        <v>0</v>
      </c>
      <c r="H225">
        <f>IF(装备!R297="",0,装备!R297)</f>
        <v>0</v>
      </c>
      <c r="I225">
        <f>IF(装备!S297="",0,装备!S297)</f>
        <v>0</v>
      </c>
      <c r="J225">
        <f>IF(装备!C306="",0,""""&amp;装备!C306&amp;"""")</f>
        <v>0</v>
      </c>
      <c r="K225" t="str">
        <f>IF(装备!T306="","""""",""""&amp;装备!T306&amp;"""")</f>
        <v>""</v>
      </c>
      <c r="L225">
        <f>IF(装备!U306="",0,""""&amp;装备!U306&amp;"""")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12"/>
      <c r="CC1" s="3" t="s">
        <v>682</v>
      </c>
      <c r="CD1" s="3" t="s">
        <v>682</v>
      </c>
      <c r="CE1" s="3" t="s">
        <v>682</v>
      </c>
      <c r="CF1" s="3" t="s">
        <v>682</v>
      </c>
      <c r="CH1" s="3" t="s">
        <v>682</v>
      </c>
    </row>
    <row r="2" spans="3:85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683</v>
      </c>
      <c r="CC2" s="3" t="s">
        <v>684</v>
      </c>
      <c r="CD2" s="3" t="s">
        <v>685</v>
      </c>
      <c r="CE2" s="3" t="s">
        <v>686</v>
      </c>
      <c r="CF2" s="3" t="s">
        <v>687</v>
      </c>
      <c r="CG2" s="3" t="s">
        <v>688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150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750</v>
      </c>
      <c r="H277">
        <f>装备!AA28</f>
        <v>0</v>
      </c>
      <c r="I277">
        <f>装备!AB28</f>
        <v>15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InitUnitState('E101',150,0,0,0,750,0,15,0,10,3)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InitUnitState('E101',150,0,0,0,750,0,15,0,10,3)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300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1500</v>
      </c>
      <c r="H278">
        <f>装备!AA29</f>
        <v>0</v>
      </c>
      <c r="I278">
        <f>装备!AB29</f>
        <v>30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InitUnitState('E102',300,0,0,0,1500,0,30,0,15,3)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InitUnitState('E102',300,0,0,0,1500,0,30,0,15,3)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600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3000</v>
      </c>
      <c r="H279">
        <f>装备!AA30</f>
        <v>0</v>
      </c>
      <c r="I279">
        <f>装备!AB30</f>
        <v>60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InitUnitState('E103',600,0,0,0,3000,0,60,0,20,3)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InitUnitState('E103',600,0,0,0,3000,0,60,0,20,3)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900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4500</v>
      </c>
      <c r="H280">
        <f>装备!AA31</f>
        <v>0</v>
      </c>
      <c r="I280">
        <f>装备!AB31</f>
        <v>90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InitUnitState('E104',900,0,0,0,4500,0,90,0,25,3)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InitUnitState('E104',900,0,0,0,4500,0,90,0,25,3)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1500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7500</v>
      </c>
      <c r="H281">
        <f>装备!AA32</f>
        <v>0</v>
      </c>
      <c r="I281">
        <f>装备!AB32</f>
        <v>150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InitUnitState('E105',1500,0,0,0,7500,0,150,0,30,3)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InitUnitState('E105',1500,0,0,0,7500,0,150,0,30,3)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2100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10500</v>
      </c>
      <c r="H282">
        <f>装备!AA33</f>
        <v>0</v>
      </c>
      <c r="I282">
        <f>装备!AB33</f>
        <v>210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InitUnitState('E106',2100,0,0,0,10500,0,210,0,35,6)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InitUnitState('E106',2100,0,0,0,10500,0,210,0,35,6)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3000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15000</v>
      </c>
      <c r="H283">
        <f>装备!AA34</f>
        <v>0</v>
      </c>
      <c r="I283">
        <f>装备!AB34</f>
        <v>300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InitUnitState('E107',3000,0,0,0,15000,0,300,0,40,6)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InitUnitState('E107',3000,0,0,0,15000,0,300,0,40,6)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4500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22500</v>
      </c>
      <c r="H284">
        <f>装备!AA35</f>
        <v>0</v>
      </c>
      <c r="I284">
        <f>装备!AB35</f>
        <v>450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InitUnitState('E108',4500,0,0,0,22500,0,450,0,45,6)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InitUnitState('E108',4500,0,0,0,22500,0,450,0,45,6)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6000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30000</v>
      </c>
      <c r="H285">
        <f>装备!AA36</f>
        <v>0</v>
      </c>
      <c r="I285">
        <f>装备!AB36</f>
        <v>600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InitUnitState('E109',6000,0,0,0,30000,0,600,0,50,6)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InitUnitState('E109',6000,0,0,0,30000,0,600,0,50,6)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7500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37500</v>
      </c>
      <c r="H286">
        <f>装备!AA37</f>
        <v>0</v>
      </c>
      <c r="I286">
        <f>装备!AB37</f>
        <v>750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InitUnitState('E110',7500,0,0,0,37500,0,750,0,55,6)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InitUnitState('E110',7500,0,0,0,37500,0,750,0,55,6)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15000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75000</v>
      </c>
      <c r="H287">
        <f>装备!AA38</f>
        <v>0</v>
      </c>
      <c r="I287">
        <f>装备!AB38</f>
        <v>1500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InitUnitState('E111',15000,0,0,0,75000,0,1500,0,60,9)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InitUnitState('E111',15000,0,0,0,75000,0,1500,0,60,9)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19500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97500</v>
      </c>
      <c r="H288">
        <f>装备!AA39</f>
        <v>0</v>
      </c>
      <c r="I288">
        <f>装备!AB39</f>
        <v>1950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InitUnitState('E112',19500,0,0,0,97500,0,1950,0,65,9)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InitUnitState('E112',19500,0,0,0,97500,0,1950,0,65,9)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24000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120000</v>
      </c>
      <c r="H289">
        <f>装备!AA40</f>
        <v>0</v>
      </c>
      <c r="I289">
        <f>装备!AB40</f>
        <v>2400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InitUnitState('E113',24000,0,0,0,120000,0,2400,0,70,9)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InitUnitState('E113',24000,0,0,0,120000,0,2400,0,70,9)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31500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157500</v>
      </c>
      <c r="H290">
        <f>装备!AA42</f>
        <v>0</v>
      </c>
      <c r="I290">
        <f>装备!AB42</f>
        <v>3150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InitUnitState('E115',31500,0,0,0,157500,0,3150,0,80,9)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InitUnitState('E115',31500,0,0,0,157500,0,3150,0,80,9)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45000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225000</v>
      </c>
      <c r="H291">
        <f>装备!AA43</f>
        <v>0</v>
      </c>
      <c r="I291">
        <f>装备!AB43</f>
        <v>4500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InitUnitState('E116',45000,0,0,0,225000,0,4500,0,85,12)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InitUnitState('E116',45000,0,0,0,225000,0,4500,0,85,12)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52500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262500</v>
      </c>
      <c r="H292">
        <f>装备!AA44</f>
        <v>0</v>
      </c>
      <c r="I292">
        <f>装备!AB44</f>
        <v>5250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InitUnitState('E117',52500,0,0,0,262500,0,5250,0,90,12)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InitUnitState('E117',52500,0,0,0,262500,0,5250,0,90,12)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60000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300000</v>
      </c>
      <c r="H293">
        <f>装备!AA45</f>
        <v>0</v>
      </c>
      <c r="I293">
        <f>装备!AB45</f>
        <v>6000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InitUnitState('E118',60000,0,0,0,300000,0,6000,0,95,12)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InitUnitState('E118',60000,0,0,0,300000,0,6000,0,95,12)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67500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337500</v>
      </c>
      <c r="H294">
        <f>装备!AA46</f>
        <v>0</v>
      </c>
      <c r="I294">
        <f>装备!AB46</f>
        <v>6750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InitUnitState('E119',67500,0,0,0,337500,0,6750,0,100,12)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InitUnitState('E119',67500,0,0,0,337500,0,6750,0,100,12)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75000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375000</v>
      </c>
      <c r="H295">
        <f>装备!AA47</f>
        <v>0</v>
      </c>
      <c r="I295">
        <f>装备!AB47</f>
        <v>7500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InitUnitState('E120',75000,0,0,0,375000,0,7500,0,105,12)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InitUnitState('E120',75000,0,0,0,375000,0,7500,0,105,12)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112500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562500</v>
      </c>
      <c r="H296">
        <f>装备!AA48</f>
        <v>0</v>
      </c>
      <c r="I296">
        <f>装备!AB48</f>
        <v>11250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InitUnitState('E121',112500,0,0,0,562500,0,11250,0,110,15)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InitUnitState('E121',112500,0,0,0,562500,0,11250,0,110,15)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127500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637500</v>
      </c>
      <c r="H297">
        <f>装备!AA49</f>
        <v>0</v>
      </c>
      <c r="I297">
        <f>装备!AB49</f>
        <v>12750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InitUnitState('E122',127500,0,0,0,637500,0,12750,0,115,15)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InitUnitState('E122',127500,0,0,0,637500,0,12750,0,115,15)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142500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712500</v>
      </c>
      <c r="H298">
        <f>装备!AA50</f>
        <v>0</v>
      </c>
      <c r="I298">
        <f>装备!AB50</f>
        <v>14250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InitUnitState('E123',142500,0,0,0,712500,0,14250,0,120,15)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InitUnitState('E123',142500,0,0,0,712500,0,14250,0,120,15)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157500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787500</v>
      </c>
      <c r="H299">
        <f>装备!AA51</f>
        <v>0</v>
      </c>
      <c r="I299">
        <f>装备!AB51</f>
        <v>15750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InitUnitState('E124',157500,0,0,0,787500,0,15750,0,125,15)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InitUnitState('E124',157500,0,0,0,787500,0,15750,0,125,15)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187500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937500</v>
      </c>
      <c r="H300">
        <f>装备!AA52</f>
        <v>0</v>
      </c>
      <c r="I300">
        <f>装备!AB52</f>
        <v>18750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InitUnitState('E125',187500,0,0,0,937500,0,18750,0,130,15)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InitUnitState('E125',187500,0,0,0,937500,0,18750,0,130,15)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3" t="s">
        <v>689</v>
      </c>
      <c r="B1" s="3" t="s">
        <v>690</v>
      </c>
      <c r="C1" s="3" t="s">
        <v>691</v>
      </c>
      <c r="D1" s="3" t="s">
        <v>692</v>
      </c>
      <c r="E1" s="3" t="s">
        <v>693</v>
      </c>
    </row>
    <row r="2" ht="15" spans="1:5">
      <c r="A2" s="4">
        <v>1</v>
      </c>
      <c r="B2" s="4" t="s">
        <v>443</v>
      </c>
      <c r="C2" s="5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4">
        <v>1</v>
      </c>
      <c r="B3" s="4" t="s">
        <v>446</v>
      </c>
      <c r="C3" s="5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4">
        <v>1</v>
      </c>
      <c r="B4" s="4" t="s">
        <v>449</v>
      </c>
      <c r="C4" s="5">
        <v>4</v>
      </c>
      <c r="D4" s="3" t="str">
        <f>VLOOKUP(B4,装备!B:E,2,FALSE)</f>
        <v>快乐刷E</v>
      </c>
      <c r="E4" t="str">
        <f t="shared" si="0"/>
        <v>            ItemPoolAddItemType(ItemPool[1],'IN03',4)</v>
      </c>
    </row>
    <row r="5" ht="15" spans="1:5">
      <c r="A5" s="4">
        <v>1</v>
      </c>
      <c r="B5" s="4" t="s">
        <v>452</v>
      </c>
      <c r="C5" s="5">
        <v>1</v>
      </c>
      <c r="D5" s="3" t="str">
        <f>VLOOKUP(B5,装备!B:E,2,FALSE)</f>
        <v>九重锻神丹</v>
      </c>
      <c r="E5" t="str">
        <f t="shared" si="0"/>
        <v>            ItemPoolAddItemType(ItemPool[1],'IN04',1)</v>
      </c>
    </row>
    <row r="6" ht="15" spans="1:5">
      <c r="A6" s="4">
        <v>1</v>
      </c>
      <c r="B6" s="4" t="s">
        <v>455</v>
      </c>
      <c r="C6" s="5">
        <v>1</v>
      </c>
      <c r="D6" s="3" t="str">
        <f>VLOOKUP(B6,装备!B:E,2,FALSE)</f>
        <v>灭魄血煞丹</v>
      </c>
      <c r="E6" t="str">
        <f t="shared" si="0"/>
        <v>            ItemPoolAddItemType(ItemPool[1],'IN05',1)</v>
      </c>
    </row>
    <row r="7" ht="15" spans="1:5">
      <c r="A7" s="4">
        <v>1</v>
      </c>
      <c r="B7" s="4" t="s">
        <v>458</v>
      </c>
      <c r="C7" s="5">
        <v>1</v>
      </c>
      <c r="D7" s="3" t="str">
        <f>VLOOKUP(B7,装备!B:E,2,FALSE)</f>
        <v>入微洞虚丹</v>
      </c>
      <c r="E7" t="str">
        <f t="shared" si="0"/>
        <v>            ItemPoolAddItemType(ItemPool[1],'IN06',1)</v>
      </c>
    </row>
    <row r="8" ht="15" spans="1:5">
      <c r="A8" s="4">
        <v>1</v>
      </c>
      <c r="B8" s="4" t="s">
        <v>461</v>
      </c>
      <c r="C8" s="5">
        <v>2</v>
      </c>
      <c r="D8" s="3" t="str">
        <f>VLOOKUP(B8,装备!B:E,2,FALSE)</f>
        <v>来份快餐</v>
      </c>
      <c r="E8" t="str">
        <f t="shared" si="0"/>
        <v>            ItemPoolAddItemType(ItemPool[1],'IN07',2)</v>
      </c>
    </row>
    <row r="9" ht="15" spans="1:5">
      <c r="A9" s="4">
        <v>1</v>
      </c>
      <c r="B9" s="4" t="s">
        <v>464</v>
      </c>
      <c r="C9" s="5">
        <v>2</v>
      </c>
      <c r="D9" s="3" t="str">
        <f>VLOOKUP(B9,装备!B:E,2,FALSE)</f>
        <v>抬你一手</v>
      </c>
      <c r="E9" t="str">
        <f t="shared" si="0"/>
        <v>            ItemPoolAddItemType(ItemPool[1],'IN08',2)</v>
      </c>
    </row>
    <row r="10" ht="15" spans="1:5">
      <c r="A10" s="4">
        <v>1</v>
      </c>
      <c r="B10" s="4" t="s">
        <v>467</v>
      </c>
      <c r="C10" s="5">
        <v>3</v>
      </c>
      <c r="D10" s="3" t="str">
        <f>VLOOKUP(B10,装备!B:E,2,FALSE)</f>
        <v>我刷一会</v>
      </c>
      <c r="E10" t="str">
        <f t="shared" si="0"/>
        <v>            ItemPoolAddItemType(ItemPool[1],'IN09',3)</v>
      </c>
    </row>
    <row r="11" ht="15" spans="1:11">
      <c r="A11" s="4">
        <v>1</v>
      </c>
      <c r="B11" s="4" t="s">
        <v>470</v>
      </c>
      <c r="C11" s="5">
        <v>2</v>
      </c>
      <c r="D11" s="3" t="str">
        <f>VLOOKUP(B11,装备!B:E,2,FALSE)</f>
        <v>我再刷会</v>
      </c>
      <c r="E11" t="str">
        <f t="shared" si="0"/>
        <v>            ItemPoolAddItemType(ItemPool[1],'IN10',2)</v>
      </c>
      <c r="K11" s="8"/>
    </row>
    <row r="12" ht="15" spans="1:5">
      <c r="A12" s="4">
        <v>1</v>
      </c>
      <c r="B12" s="4" t="s">
        <v>473</v>
      </c>
      <c r="C12" s="5">
        <v>2</v>
      </c>
      <c r="D12" s="3" t="str">
        <f>VLOOKUP(B12,装备!B:E,2,FALSE)</f>
        <v>奥里给Lo他</v>
      </c>
      <c r="E12" t="str">
        <f t="shared" si="0"/>
        <v>            ItemPoolAddItemType(ItemPool[1],'IN11',2)</v>
      </c>
    </row>
    <row r="13" ht="15" spans="1:5">
      <c r="A13" s="4">
        <v>1</v>
      </c>
      <c r="B13" s="4" t="s">
        <v>476</v>
      </c>
      <c r="C13" s="5">
        <v>2</v>
      </c>
      <c r="D13" s="3" t="str">
        <f>VLOOKUP(B13,装备!B:E,2,FALSE)</f>
        <v>钱有点多</v>
      </c>
      <c r="E13" t="str">
        <f t="shared" si="0"/>
        <v>            ItemPoolAddItemType(ItemPool[1],'IN12',2)</v>
      </c>
    </row>
    <row r="14" ht="15" spans="1:5">
      <c r="A14" s="4">
        <v>1</v>
      </c>
      <c r="B14" s="4" t="s">
        <v>479</v>
      </c>
      <c r="C14" s="5">
        <v>4</v>
      </c>
      <c r="D14" s="3" t="str">
        <f>VLOOKUP(B14,装备!B:E,2,FALSE)</f>
        <v>钱有点少</v>
      </c>
      <c r="E14" t="str">
        <f t="shared" si="0"/>
        <v>            ItemPoolAddItemType(ItemPool[1],'IN13',4)</v>
      </c>
    </row>
    <row r="15" ht="15" spans="1:5">
      <c r="A15" s="4">
        <v>1</v>
      </c>
      <c r="B15" s="4" t="s">
        <v>482</v>
      </c>
      <c r="C15" s="5">
        <v>1</v>
      </c>
      <c r="D15" s="3" t="str">
        <f>VLOOKUP(B15,装备!B:E,2,FALSE)</f>
        <v>精准预判</v>
      </c>
      <c r="E15" t="str">
        <f t="shared" si="0"/>
        <v>            ItemPoolAddItemType(ItemPool[1],'IN14',1)</v>
      </c>
    </row>
    <row r="16" ht="15" spans="1:5">
      <c r="A16" s="4">
        <v>1</v>
      </c>
      <c r="B16" s="4" t="s">
        <v>485</v>
      </c>
      <c r="C16" s="5">
        <v>1</v>
      </c>
      <c r="D16" s="3" t="str">
        <f>VLOOKUP(B16,装备!B:E,2,FALSE)</f>
        <v>洗一手</v>
      </c>
      <c r="E16" t="str">
        <f t="shared" si="0"/>
        <v>            ItemPoolAddItemType(ItemPool[1],'IN15',1)</v>
      </c>
    </row>
    <row r="17" ht="15" spans="1:5">
      <c r="A17" s="4">
        <v>1</v>
      </c>
      <c r="B17" s="4" t="s">
        <v>488</v>
      </c>
      <c r="C17" s="5">
        <v>1</v>
      </c>
      <c r="D17" s="3" t="str">
        <f>VLOOKUP(B17,装备!B:E,2,FALSE)</f>
        <v>怼上去</v>
      </c>
      <c r="E17" t="str">
        <f t="shared" si="0"/>
        <v>            ItemPoolAddItemType(ItemPool[1],'IN16',1)</v>
      </c>
    </row>
    <row r="18" ht="15" spans="1:5">
      <c r="A18" s="4">
        <v>1</v>
      </c>
      <c r="B18" s="4" t="s">
        <v>491</v>
      </c>
      <c r="C18" s="5">
        <v>2</v>
      </c>
      <c r="D18" s="3" t="str">
        <f>VLOOKUP(B18,装备!B:E,2,FALSE)</f>
        <v>来点杀敌</v>
      </c>
      <c r="E18" t="str">
        <f t="shared" si="0"/>
        <v>            ItemPoolAddItemType(ItemPool[1],'IN17',2)</v>
      </c>
    </row>
    <row r="19" ht="15" spans="1:5">
      <c r="A19" s="4">
        <v>1</v>
      </c>
      <c r="B19" s="4" t="s">
        <v>494</v>
      </c>
      <c r="C19" s="5">
        <v>2</v>
      </c>
      <c r="D19" s="3" t="str">
        <f>VLOOKUP(B19,装备!B:E,2,FALSE)</f>
        <v>真就一点</v>
      </c>
      <c r="E19" t="str">
        <f t="shared" si="0"/>
        <v>            ItemPoolAddItemType(ItemPool[1],'IN18',2)</v>
      </c>
    </row>
    <row r="20" spans="1:4">
      <c r="A20" s="6"/>
      <c r="B20" s="3"/>
      <c r="C20" s="5"/>
      <c r="D20" s="3"/>
    </row>
    <row r="21" ht="15" spans="1:5">
      <c r="A21" s="4">
        <v>2</v>
      </c>
      <c r="B21" s="7" t="s">
        <v>642</v>
      </c>
      <c r="C21" s="5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4">
        <v>2</v>
      </c>
      <c r="B22" s="7" t="s">
        <v>643</v>
      </c>
      <c r="C22" s="5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4">
        <v>2</v>
      </c>
      <c r="B23" s="7" t="s">
        <v>645</v>
      </c>
      <c r="C23" s="5">
        <v>1</v>
      </c>
      <c r="D23" s="3" t="str">
        <f>VLOOKUP(B23,装备!B:E,2,FALSE)</f>
        <v>攻击</v>
      </c>
      <c r="E23" t="str">
        <f t="shared" si="1"/>
        <v>            ItemPoolAddItemType(ItemPool[2],'IF03',1)</v>
      </c>
    </row>
    <row r="24" ht="15" spans="1:5">
      <c r="A24" s="4">
        <v>2</v>
      </c>
      <c r="B24" s="7" t="s">
        <v>646</v>
      </c>
      <c r="C24" s="5">
        <v>1</v>
      </c>
      <c r="D24" s="3" t="str">
        <f>VLOOKUP(B24,装备!B:E,2,FALSE)</f>
        <v>法强</v>
      </c>
      <c r="E24" t="str">
        <f t="shared" si="1"/>
        <v>            ItemPoolAddItemType(ItemPool[2],'IF04',1)</v>
      </c>
    </row>
    <row r="25" ht="15" spans="1:5">
      <c r="A25" s="4">
        <v>2</v>
      </c>
      <c r="B25" s="7" t="s">
        <v>647</v>
      </c>
      <c r="C25" s="5">
        <v>1</v>
      </c>
      <c r="D25" s="3" t="str">
        <f>VLOOKUP(B25,装备!B:E,2,FALSE)</f>
        <v>攻击</v>
      </c>
      <c r="E25" t="str">
        <f t="shared" si="1"/>
        <v>            ItemPoolAddItemType(ItemPool[2],'IF05',1)</v>
      </c>
    </row>
    <row r="26" ht="15" spans="1:5">
      <c r="A26" s="4">
        <v>2</v>
      </c>
      <c r="B26" s="7" t="s">
        <v>648</v>
      </c>
      <c r="C26" s="5">
        <v>1</v>
      </c>
      <c r="D26" s="3" t="str">
        <f>VLOOKUP(B26,装备!B:E,2,FALSE)</f>
        <v>法强</v>
      </c>
      <c r="E26" t="str">
        <f t="shared" si="1"/>
        <v>            ItemPoolAddItemType(ItemPool[2],'IF06',1)</v>
      </c>
    </row>
    <row r="27" ht="15" spans="1:5">
      <c r="A27" s="4">
        <v>2</v>
      </c>
      <c r="B27" s="7" t="s">
        <v>649</v>
      </c>
      <c r="C27" s="5">
        <v>3</v>
      </c>
      <c r="D27" s="3" t="str">
        <f>VLOOKUP(B27,装备!B:E,2,FALSE)</f>
        <v>攻击</v>
      </c>
      <c r="E27" t="str">
        <f t="shared" si="1"/>
        <v>            ItemPoolAddItemType(ItemPool[2],'IF07',3)</v>
      </c>
    </row>
    <row r="28" ht="15" spans="1:5">
      <c r="A28" s="4">
        <v>2</v>
      </c>
      <c r="B28" s="7" t="s">
        <v>650</v>
      </c>
      <c r="C28" s="5">
        <v>3</v>
      </c>
      <c r="D28" s="3" t="str">
        <f>VLOOKUP(B28,装备!B:E,2,FALSE)</f>
        <v>法强</v>
      </c>
      <c r="E28" t="str">
        <f t="shared" si="1"/>
        <v>            ItemPoolAddItemType(ItemPool[2],'IF08',3)</v>
      </c>
    </row>
    <row r="29" ht="15" spans="1:5">
      <c r="A29" s="4">
        <v>2</v>
      </c>
      <c r="B29" s="7" t="s">
        <v>651</v>
      </c>
      <c r="C29" s="5">
        <v>1</v>
      </c>
      <c r="D29" s="3" t="str">
        <f>VLOOKUP(B29,装备!B:E,2,FALSE)</f>
        <v>攻击</v>
      </c>
      <c r="E29" t="str">
        <f t="shared" si="1"/>
        <v>            ItemPoolAddItemType(ItemPool[2],'IF09',1)</v>
      </c>
    </row>
    <row r="30" ht="15" spans="1:5">
      <c r="A30" s="4">
        <v>2</v>
      </c>
      <c r="B30" s="7" t="s">
        <v>652</v>
      </c>
      <c r="C30" s="5">
        <v>1</v>
      </c>
      <c r="D30" s="3" t="str">
        <f>VLOOKUP(B30,装备!B:E,2,FALSE)</f>
        <v>法强</v>
      </c>
      <c r="E30" t="str">
        <f t="shared" si="1"/>
        <v>            ItemPoolAddItemType(ItemPool[2],'IF10',1)</v>
      </c>
    </row>
    <row r="31" ht="15" spans="1:5">
      <c r="A31" s="4">
        <v>2</v>
      </c>
      <c r="B31" s="7" t="s">
        <v>653</v>
      </c>
      <c r="C31" s="5">
        <v>2</v>
      </c>
      <c r="D31" s="3" t="str">
        <f>VLOOKUP(B31,装备!B:E,2,FALSE)</f>
        <v>攻击和法强</v>
      </c>
      <c r="E31" t="str">
        <f t="shared" si="1"/>
        <v>            ItemPoolAddItemType(ItemPool[2],'IF11',2)</v>
      </c>
    </row>
    <row r="32" ht="15" spans="1:5">
      <c r="A32" s="4">
        <v>2</v>
      </c>
      <c r="B32" s="7" t="s">
        <v>655</v>
      </c>
      <c r="C32" s="5">
        <v>1</v>
      </c>
      <c r="D32" s="3" t="str">
        <f>VLOOKUP(B32,装备!B:E,2,FALSE)</f>
        <v>暴击</v>
      </c>
      <c r="E32" t="str">
        <f t="shared" si="1"/>
        <v>            ItemPoolAddItemType(ItemPool[2],'IF12',1)</v>
      </c>
    </row>
    <row r="33" ht="15" spans="1:5">
      <c r="A33" s="4">
        <v>2</v>
      </c>
      <c r="B33" s="7" t="s">
        <v>656</v>
      </c>
      <c r="C33" s="5">
        <v>3</v>
      </c>
      <c r="D33" s="3" t="str">
        <f>VLOOKUP(B33,装备!B:E,2,FALSE)</f>
        <v>爆伤</v>
      </c>
      <c r="E33" t="str">
        <f t="shared" si="1"/>
        <v>            ItemPoolAddItemType(ItemPool[2],'IF13',3)</v>
      </c>
    </row>
    <row r="34" ht="15" spans="1:5">
      <c r="A34" s="4">
        <v>2</v>
      </c>
      <c r="B34" s="7" t="s">
        <v>658</v>
      </c>
      <c r="C34" s="5">
        <v>2</v>
      </c>
      <c r="D34" s="3" t="str">
        <f>VLOOKUP(B34,装备!B:E,2,FALSE)</f>
        <v>爆伤</v>
      </c>
      <c r="E34" t="str">
        <f t="shared" si="1"/>
        <v>            ItemPoolAddItemType(ItemPool[2],'IF14',2)</v>
      </c>
    </row>
    <row r="35" ht="15" spans="1:5">
      <c r="A35" s="4">
        <v>2</v>
      </c>
      <c r="B35" s="7" t="s">
        <v>659</v>
      </c>
      <c r="C35" s="5">
        <v>1</v>
      </c>
      <c r="D35" s="3" t="str">
        <f>VLOOKUP(B35,装备!B:E,2,FALSE)</f>
        <v>爆伤</v>
      </c>
      <c r="E35" t="str">
        <f t="shared" si="1"/>
        <v>            ItemPoolAddItemType(ItemPool[2],'IF15',1)</v>
      </c>
    </row>
    <row r="36" ht="15" spans="1:5">
      <c r="A36" s="4">
        <v>2</v>
      </c>
      <c r="B36" s="7" t="s">
        <v>660</v>
      </c>
      <c r="C36" s="5">
        <v>2</v>
      </c>
      <c r="D36" s="3" t="str">
        <f>VLOOKUP(B36,装备!B:E,2,FALSE)</f>
        <v>冷却缩减</v>
      </c>
      <c r="E36" t="str">
        <f t="shared" si="1"/>
        <v>            ItemPoolAddItemType(ItemPool[2],'IF16',2)</v>
      </c>
    </row>
    <row r="37" ht="15" spans="1:5">
      <c r="A37" s="4">
        <v>2</v>
      </c>
      <c r="B37" s="7" t="s">
        <v>661</v>
      </c>
      <c r="C37" s="5">
        <v>1</v>
      </c>
      <c r="D37" s="3" t="str">
        <f>VLOOKUP(B37,装备!B:E,2,FALSE)</f>
        <v>冷却缩减</v>
      </c>
      <c r="E37" t="str">
        <f t="shared" si="1"/>
        <v>            ItemPoolAddItemType(ItemPool[2],'IF17',1)</v>
      </c>
    </row>
    <row r="38" ht="15" spans="1:5">
      <c r="A38" s="4">
        <v>2</v>
      </c>
      <c r="B38" s="7" t="s">
        <v>662</v>
      </c>
      <c r="C38" s="5">
        <v>2</v>
      </c>
      <c r="D38" s="3" t="str">
        <f>VLOOKUP(B38,装备!B:E,2,FALSE)</f>
        <v>攻击速度</v>
      </c>
      <c r="E38" t="str">
        <f t="shared" si="1"/>
        <v>            ItemPoolAddItemType(ItemPool[2],'IF18',2)</v>
      </c>
    </row>
    <row r="39" ht="15" spans="1:5">
      <c r="A39" s="4">
        <v>2</v>
      </c>
      <c r="B39" s="7" t="s">
        <v>664</v>
      </c>
      <c r="C39" s="5">
        <v>1</v>
      </c>
      <c r="D39" s="3" t="str">
        <f>VLOOKUP(B39,装备!B:E,2,FALSE)</f>
        <v>攻击速度</v>
      </c>
      <c r="E39" t="str">
        <f t="shared" si="1"/>
        <v>            ItemPoolAddItemType(ItemPool[2],'IF19',1)</v>
      </c>
    </row>
    <row r="40" ht="15" spans="1:5">
      <c r="A40" s="4">
        <v>2</v>
      </c>
      <c r="B40" s="7" t="s">
        <v>665</v>
      </c>
      <c r="C40" s="5">
        <v>3</v>
      </c>
      <c r="D40" s="3" t="str">
        <f>VLOOKUP(B40,装备!B:E,2,FALSE)</f>
        <v>普攻伤害</v>
      </c>
      <c r="E40" t="str">
        <f t="shared" si="1"/>
        <v>            ItemPoolAddItemType(ItemPool[2],'IF20',3)</v>
      </c>
    </row>
    <row r="41" ht="15" spans="1:5">
      <c r="A41" s="4">
        <v>2</v>
      </c>
      <c r="B41" s="7" t="s">
        <v>666</v>
      </c>
      <c r="C41" s="5">
        <v>1</v>
      </c>
      <c r="D41" s="3" t="str">
        <f>VLOOKUP(B41,装备!B:E,2,FALSE)</f>
        <v>普攻伤害</v>
      </c>
      <c r="E41" t="str">
        <f t="shared" si="1"/>
        <v>            ItemPoolAddItemType(ItemPool[2],'IF21',1)</v>
      </c>
    </row>
    <row r="42" ht="15" spans="1:5">
      <c r="A42" s="4">
        <v>2</v>
      </c>
      <c r="B42" s="7" t="s">
        <v>667</v>
      </c>
      <c r="C42" s="5">
        <v>3</v>
      </c>
      <c r="D42" s="3" t="str">
        <f>VLOOKUP(B42,装备!B:E,2,FALSE)</f>
        <v>回蓝</v>
      </c>
      <c r="E42" t="str">
        <f t="shared" si="1"/>
        <v>            ItemPoolAddItemType(ItemPool[2],'IF22',3)</v>
      </c>
    </row>
    <row r="43" ht="15" spans="1:5">
      <c r="A43" s="4">
        <v>2</v>
      </c>
      <c r="B43" s="7" t="s">
        <v>669</v>
      </c>
      <c r="C43" s="5">
        <v>1</v>
      </c>
      <c r="D43" s="3" t="str">
        <f>VLOOKUP(B43,装备!B:E,2,FALSE)</f>
        <v>回蓝</v>
      </c>
      <c r="E43" t="str">
        <f t="shared" si="1"/>
        <v>            ItemPoolAddItemType(ItemPool[2],'IF23',1)</v>
      </c>
    </row>
    <row r="44" ht="15" spans="1:5">
      <c r="A44" s="4">
        <v>2</v>
      </c>
      <c r="B44" s="7" t="s">
        <v>670</v>
      </c>
      <c r="C44" s="5">
        <v>2</v>
      </c>
      <c r="D44" s="3" t="str">
        <f>VLOOKUP(B44,装备!B:E,2,FALSE)</f>
        <v>生命回复</v>
      </c>
      <c r="E44" t="str">
        <f t="shared" si="1"/>
        <v>            ItemPoolAddItemType(ItemPool[2],'IF24',2)</v>
      </c>
    </row>
    <row r="45" ht="15" spans="1:5">
      <c r="A45" s="4">
        <v>2</v>
      </c>
      <c r="B45" s="7" t="s">
        <v>671</v>
      </c>
      <c r="C45" s="5">
        <v>2</v>
      </c>
      <c r="D45" s="3" t="str">
        <f>VLOOKUP(B45,装备!B:E,2,FALSE)</f>
        <v>伤害吸血</v>
      </c>
      <c r="E45" t="str">
        <f t="shared" si="1"/>
        <v>            ItemPoolAddItemType(ItemPool[2],'IF25',2)</v>
      </c>
    </row>
    <row r="46" ht="15" spans="1:5">
      <c r="A46" s="4">
        <v>2</v>
      </c>
      <c r="B46" s="7" t="s">
        <v>673</v>
      </c>
      <c r="C46" s="5">
        <v>3</v>
      </c>
      <c r="D46" s="3" t="str">
        <f>VLOOKUP(B46,装备!B:E,2,FALSE)</f>
        <v>闪避</v>
      </c>
      <c r="E46" t="str">
        <f t="shared" si="1"/>
        <v>            ItemPoolAddItemType(ItemPool[2],'IF26',3)</v>
      </c>
    </row>
    <row r="47" ht="15" spans="1:5">
      <c r="A47" s="4">
        <v>2</v>
      </c>
      <c r="B47" s="7" t="s">
        <v>674</v>
      </c>
      <c r="C47" s="5">
        <v>3</v>
      </c>
      <c r="D47" s="3" t="str">
        <f>VLOOKUP(B47,装备!B:E,2,FALSE)</f>
        <v>伤害减免</v>
      </c>
      <c r="E47" t="str">
        <f t="shared" si="1"/>
        <v>            ItemPoolAddItemType(ItemPool[2],'IF27',3)</v>
      </c>
    </row>
    <row r="48" spans="1:4">
      <c r="A48" s="6"/>
      <c r="B48" s="3"/>
      <c r="D48" s="3"/>
    </row>
    <row r="49" spans="1:4">
      <c r="A49" s="6"/>
      <c r="B49" s="3"/>
      <c r="D49" s="3"/>
    </row>
    <row r="50" spans="1:4">
      <c r="A50" s="6"/>
      <c r="B50" s="3"/>
      <c r="D50" s="3"/>
    </row>
    <row r="51" spans="1:4">
      <c r="A51" s="6"/>
      <c r="B51" s="3"/>
      <c r="D51" s="3"/>
    </row>
    <row r="52" spans="1:4">
      <c r="A52" s="6"/>
      <c r="B52" s="3"/>
      <c r="D52" s="3"/>
    </row>
    <row r="53" spans="1:4">
      <c r="A53" s="6"/>
      <c r="B53" s="3"/>
      <c r="D53" s="3"/>
    </row>
    <row r="54" spans="1:4">
      <c r="A54" s="6"/>
      <c r="B54" s="3"/>
      <c r="D54" s="3"/>
    </row>
    <row r="55" spans="1:4">
      <c r="A55" s="6"/>
      <c r="B55" s="3"/>
      <c r="D55" s="3"/>
    </row>
    <row r="56" spans="1:4">
      <c r="A56" s="6"/>
      <c r="B56" s="3"/>
      <c r="D56" s="3"/>
    </row>
    <row r="57" spans="1:4">
      <c r="A57" s="6"/>
      <c r="B57" s="3"/>
      <c r="D57" s="3"/>
    </row>
    <row r="58" spans="1:4">
      <c r="A58" s="6"/>
      <c r="B58" s="3"/>
      <c r="D58" s="3"/>
    </row>
    <row r="59" spans="1:4">
      <c r="A59" s="6"/>
      <c r="B59" s="3"/>
      <c r="D59" s="3"/>
    </row>
    <row r="60" spans="1:4">
      <c r="A60" s="6"/>
      <c r="B60" s="3"/>
      <c r="D60" s="3"/>
    </row>
    <row r="61" spans="1:4">
      <c r="A61" s="6"/>
      <c r="B61" s="3"/>
      <c r="D61" s="3"/>
    </row>
    <row r="62" spans="1:4">
      <c r="A62" s="6"/>
      <c r="B62" s="3"/>
      <c r="D62" s="3"/>
    </row>
    <row r="63" spans="1:4">
      <c r="A63" s="6"/>
      <c r="B63" s="3"/>
      <c r="D63" s="3"/>
    </row>
    <row r="64" spans="1:4">
      <c r="A64" s="6"/>
      <c r="B64" s="3"/>
      <c r="D64" s="3"/>
    </row>
    <row r="65" spans="1:4">
      <c r="A65" s="6"/>
      <c r="B65" s="3"/>
      <c r="D65" s="3"/>
    </row>
    <row r="66" spans="1:4">
      <c r="A66" s="6"/>
      <c r="B66" s="3"/>
      <c r="D66" s="3"/>
    </row>
    <row r="67" spans="1:4">
      <c r="A67" s="6"/>
      <c r="B67" s="3"/>
      <c r="D67" s="3"/>
    </row>
    <row r="68" spans="1:4">
      <c r="A68" s="6"/>
      <c r="B68" s="3"/>
      <c r="D68" s="3"/>
    </row>
    <row r="69" spans="1:4">
      <c r="A69" s="6"/>
      <c r="B69" s="3"/>
      <c r="D69" s="3"/>
    </row>
    <row r="70" spans="1:4">
      <c r="A70" s="6"/>
      <c r="B70" s="3"/>
      <c r="D70" s="3"/>
    </row>
    <row r="71" spans="1:4">
      <c r="A71" s="6"/>
      <c r="B71" s="3"/>
      <c r="D71" s="3"/>
    </row>
    <row r="72" spans="1:4">
      <c r="A72" s="6"/>
      <c r="B72" s="3"/>
      <c r="D72" s="3"/>
    </row>
    <row r="73" spans="1:4">
      <c r="A73" s="6"/>
      <c r="B73" s="3"/>
      <c r="D73" s="3"/>
    </row>
    <row r="74" spans="1:4">
      <c r="A74" s="6"/>
      <c r="B74" s="3"/>
      <c r="D74" s="3"/>
    </row>
    <row r="75" spans="1:4">
      <c r="A75" s="6"/>
      <c r="B75" s="3"/>
      <c r="D75" s="3"/>
    </row>
    <row r="76" spans="1:4">
      <c r="A76" s="6"/>
      <c r="B76" s="3"/>
      <c r="D76" s="3"/>
    </row>
    <row r="77" spans="1:4">
      <c r="A77" s="6"/>
      <c r="B77" s="3"/>
      <c r="D77" s="3"/>
    </row>
    <row r="78" spans="1:4">
      <c r="A78" s="6"/>
      <c r="B78" s="3"/>
      <c r="D78" s="3"/>
    </row>
    <row r="79" spans="1:4">
      <c r="A79" s="6"/>
      <c r="B79" s="3"/>
      <c r="D79" s="3"/>
    </row>
    <row r="80" spans="1:4">
      <c r="A80" s="6"/>
      <c r="B80" s="3"/>
      <c r="D80" s="3"/>
    </row>
    <row r="81" spans="1:4">
      <c r="A81" s="6"/>
      <c r="B81" s="3"/>
      <c r="D81" s="3"/>
    </row>
    <row r="82" spans="1:4">
      <c r="A82" s="6"/>
      <c r="B82" s="3"/>
      <c r="D82" s="3"/>
    </row>
    <row r="83" ht="15" spans="1:4">
      <c r="A83" s="6"/>
      <c r="B83" s="9"/>
      <c r="C83" s="6"/>
      <c r="D83" s="3"/>
    </row>
    <row r="84" ht="15" spans="1:4">
      <c r="A84" s="6"/>
      <c r="B84" s="9"/>
      <c r="C84" s="6"/>
      <c r="D84" s="3"/>
    </row>
    <row r="85" ht="15" spans="1:4">
      <c r="A85" s="6"/>
      <c r="B85" s="9"/>
      <c r="C85" s="6"/>
      <c r="D85" s="3"/>
    </row>
    <row r="86" ht="15" spans="1:4">
      <c r="A86" s="6"/>
      <c r="B86" s="9"/>
      <c r="C86" s="6"/>
      <c r="D86" s="3"/>
    </row>
    <row r="87" ht="15" spans="1:4">
      <c r="A87" s="6"/>
      <c r="B87" s="9"/>
      <c r="C87" s="6"/>
      <c r="D87" s="3"/>
    </row>
    <row r="88" ht="15" spans="1:4">
      <c r="A88" s="6"/>
      <c r="B88" s="9"/>
      <c r="C88" s="6"/>
      <c r="D88" s="3"/>
    </row>
    <row r="89" ht="15" spans="1:4">
      <c r="A89" s="6"/>
      <c r="B89" s="10"/>
      <c r="C89" s="6"/>
      <c r="D89" s="3"/>
    </row>
    <row r="90" ht="15" spans="1:4">
      <c r="A90" s="6"/>
      <c r="B90" s="9"/>
      <c r="C90" s="6"/>
      <c r="D90" s="3"/>
    </row>
    <row r="91" ht="15" spans="1:4">
      <c r="A91" s="6"/>
      <c r="B91" s="9"/>
      <c r="C91" s="6"/>
      <c r="D91" s="3"/>
    </row>
    <row r="92" ht="15" spans="1:4">
      <c r="A92" s="6"/>
      <c r="B92" s="9"/>
      <c r="C92" s="6"/>
      <c r="D92" s="3"/>
    </row>
    <row r="93" ht="15" spans="2:4">
      <c r="B93" s="9"/>
      <c r="C93" s="6"/>
      <c r="D93" s="3"/>
    </row>
    <row r="94" ht="15" spans="2:4">
      <c r="B94" s="9"/>
      <c r="C94" s="6"/>
      <c r="D94" s="3"/>
    </row>
    <row r="95" ht="15" spans="1:4">
      <c r="A95" s="3"/>
      <c r="B95" s="11"/>
      <c r="D95" s="3"/>
    </row>
    <row r="96" ht="15" spans="1:4">
      <c r="A96" s="3"/>
      <c r="B96" s="11"/>
      <c r="D96" s="3"/>
    </row>
    <row r="97" ht="15" spans="1:4">
      <c r="A97" s="3"/>
      <c r="B97" s="11"/>
      <c r="D97" s="3"/>
    </row>
    <row r="98" ht="15" spans="1:4">
      <c r="A98" s="3"/>
      <c r="B98" s="11"/>
      <c r="D98" s="3"/>
    </row>
    <row r="99" ht="15" spans="1:4">
      <c r="A99" s="3"/>
      <c r="B99" s="11"/>
      <c r="D99" s="3"/>
    </row>
    <row r="100" ht="15" spans="1:4">
      <c r="A100" s="3"/>
      <c r="B100" s="11"/>
      <c r="D100" s="3"/>
    </row>
    <row r="101" ht="15" spans="1:4">
      <c r="A101" s="3"/>
      <c r="B101" s="11"/>
      <c r="D101" s="3"/>
    </row>
    <row r="102" ht="15" spans="1:4">
      <c r="A102" s="3"/>
      <c r="B102" s="11"/>
      <c r="D102" s="3"/>
    </row>
    <row r="103" ht="15" spans="1:4">
      <c r="A103" s="3"/>
      <c r="B103" s="11"/>
      <c r="D103" s="3"/>
    </row>
    <row r="104" ht="15" spans="1:4">
      <c r="A104" s="3"/>
      <c r="B104" s="11"/>
      <c r="D104" s="3"/>
    </row>
    <row r="105" ht="15" spans="1:4">
      <c r="A105" s="3"/>
      <c r="B105" s="11"/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42"/>
  <sheetViews>
    <sheetView workbookViewId="0">
      <selection activeCell="D2" sqref="D2:D25"/>
    </sheetView>
  </sheetViews>
  <sheetFormatPr defaultColWidth="9" defaultRowHeight="13.8"/>
  <sheetData>
    <row r="1" spans="4:24">
      <c r="D1" t="s">
        <v>102</v>
      </c>
      <c r="E1" t="s">
        <v>103</v>
      </c>
      <c r="F1" t="s">
        <v>694</v>
      </c>
      <c r="G1" t="s">
        <v>695</v>
      </c>
      <c r="I1" t="s">
        <v>696</v>
      </c>
      <c r="J1">
        <v>10</v>
      </c>
      <c r="R1" t="s">
        <v>697</v>
      </c>
      <c r="U1" t="s">
        <v>698</v>
      </c>
      <c r="V1" t="s">
        <v>699</v>
      </c>
      <c r="X1" t="s">
        <v>151</v>
      </c>
    </row>
    <row r="2" spans="1:23">
      <c r="A2" t="s">
        <v>700</v>
      </c>
      <c r="D2">
        <v>500</v>
      </c>
      <c r="E2" s="1">
        <v>1</v>
      </c>
      <c r="F2" s="2">
        <f>D2/E2</f>
        <v>500</v>
      </c>
      <c r="I2" t="s">
        <v>701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702</v>
      </c>
      <c r="D3">
        <v>500</v>
      </c>
      <c r="E3" s="1">
        <v>1</v>
      </c>
      <c r="F3" s="2">
        <f t="shared" ref="F3:F25" si="0">D3/E3</f>
        <v>500</v>
      </c>
      <c r="I3" t="s">
        <v>703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704</v>
      </c>
      <c r="D4">
        <v>500</v>
      </c>
      <c r="E4" s="1">
        <v>1</v>
      </c>
      <c r="F4" s="2">
        <f t="shared" si="0"/>
        <v>500</v>
      </c>
      <c r="I4" t="s">
        <v>705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706</v>
      </c>
      <c r="D5">
        <v>500</v>
      </c>
      <c r="E5" s="1">
        <v>1</v>
      </c>
      <c r="F5" s="2">
        <f t="shared" si="0"/>
        <v>500</v>
      </c>
      <c r="I5" t="s">
        <v>707</v>
      </c>
      <c r="J5" s="1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708</v>
      </c>
      <c r="D6">
        <v>2000</v>
      </c>
      <c r="E6" s="1">
        <v>1</v>
      </c>
      <c r="F6" s="2">
        <f t="shared" si="0"/>
        <v>2000</v>
      </c>
      <c r="G6">
        <f>SUM(F2:F5)</f>
        <v>2000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18">
      <c r="A7" t="s">
        <v>709</v>
      </c>
      <c r="D7">
        <v>1000</v>
      </c>
      <c r="E7" s="1">
        <v>0.9</v>
      </c>
      <c r="F7" s="2">
        <f t="shared" si="0"/>
        <v>1111.11111111111</v>
      </c>
      <c r="J7" t="s">
        <v>710</v>
      </c>
      <c r="K7" t="s">
        <v>711</v>
      </c>
      <c r="L7" t="s">
        <v>712</v>
      </c>
      <c r="M7" t="s">
        <v>713</v>
      </c>
      <c r="N7" t="s">
        <v>714</v>
      </c>
      <c r="R7">
        <v>90</v>
      </c>
    </row>
    <row r="8" spans="1:18">
      <c r="A8" t="s">
        <v>715</v>
      </c>
      <c r="D8">
        <v>1000</v>
      </c>
      <c r="E8" s="1">
        <v>0.9</v>
      </c>
      <c r="F8" s="2">
        <f t="shared" si="0"/>
        <v>1111.11111111111</v>
      </c>
      <c r="I8" t="s">
        <v>716</v>
      </c>
      <c r="J8" s="2">
        <f>G6/J$1/W2</f>
        <v>13.3333333333333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18">
      <c r="A9" t="s">
        <v>717</v>
      </c>
      <c r="D9">
        <v>1000</v>
      </c>
      <c r="E9" s="1">
        <v>0.9</v>
      </c>
      <c r="F9" s="2">
        <f t="shared" si="0"/>
        <v>1111.11111111111</v>
      </c>
      <c r="I9" t="s">
        <v>718</v>
      </c>
      <c r="J9" s="2">
        <f>G11/J$1/W3</f>
        <v>11.1111111111111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18">
      <c r="A10" t="s">
        <v>719</v>
      </c>
      <c r="D10">
        <v>1000</v>
      </c>
      <c r="E10" s="1">
        <v>0.9</v>
      </c>
      <c r="F10" s="2">
        <f t="shared" si="0"/>
        <v>1111.11111111111</v>
      </c>
      <c r="I10" t="s">
        <v>720</v>
      </c>
      <c r="J10" s="2">
        <f>G16/J$1/W4</f>
        <v>21.4285714285714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18">
      <c r="A11" t="s">
        <v>721</v>
      </c>
      <c r="D11">
        <v>6000</v>
      </c>
      <c r="E11" s="1">
        <v>1</v>
      </c>
      <c r="F11" s="2">
        <f t="shared" si="0"/>
        <v>6000</v>
      </c>
      <c r="G11">
        <f>SUM(F7:F10)</f>
        <v>4444.44444444444</v>
      </c>
      <c r="I11" t="s">
        <v>722</v>
      </c>
      <c r="J11" s="2">
        <f>G21/J$1/W5</f>
        <v>51.948051948052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18">
      <c r="A12" t="s">
        <v>723</v>
      </c>
      <c r="D12">
        <v>3000</v>
      </c>
      <c r="E12" s="1">
        <v>0.8</v>
      </c>
      <c r="F12" s="2">
        <f t="shared" si="0"/>
        <v>3750</v>
      </c>
      <c r="I12" t="s">
        <v>724</v>
      </c>
      <c r="J12" s="2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18">
      <c r="A13" t="s">
        <v>725</v>
      </c>
      <c r="D13">
        <v>3000</v>
      </c>
      <c r="E13" s="1">
        <v>0.8</v>
      </c>
      <c r="F13" s="2">
        <f t="shared" si="0"/>
        <v>3750</v>
      </c>
      <c r="J13" s="2"/>
      <c r="M13" t="s">
        <v>726</v>
      </c>
      <c r="N13">
        <f>SUM(N8:N12)</f>
        <v>1185000</v>
      </c>
      <c r="R13">
        <v>80</v>
      </c>
    </row>
    <row r="14" spans="1:18">
      <c r="A14" t="s">
        <v>727</v>
      </c>
      <c r="D14">
        <v>3000</v>
      </c>
      <c r="E14" s="1">
        <v>0.8</v>
      </c>
      <c r="F14" s="2">
        <f t="shared" si="0"/>
        <v>3750</v>
      </c>
      <c r="R14">
        <v>80</v>
      </c>
    </row>
    <row r="15" spans="1:18">
      <c r="A15" t="s">
        <v>728</v>
      </c>
      <c r="D15">
        <v>3000</v>
      </c>
      <c r="E15" s="1">
        <v>0.8</v>
      </c>
      <c r="F15" s="2">
        <f t="shared" si="0"/>
        <v>3750</v>
      </c>
      <c r="R15">
        <v>80</v>
      </c>
    </row>
    <row r="16" spans="1:18">
      <c r="A16" t="s">
        <v>729</v>
      </c>
      <c r="D16">
        <v>15000</v>
      </c>
      <c r="E16" s="1">
        <v>1</v>
      </c>
      <c r="F16" s="2">
        <f t="shared" si="0"/>
        <v>15000</v>
      </c>
      <c r="G16">
        <f>SUM(F12:F15)</f>
        <v>15000</v>
      </c>
      <c r="R16">
        <v>100</v>
      </c>
    </row>
    <row r="17" spans="1:18">
      <c r="A17" t="s">
        <v>730</v>
      </c>
      <c r="D17">
        <v>10000</v>
      </c>
      <c r="E17" s="1">
        <v>0.7</v>
      </c>
      <c r="F17" s="2">
        <f t="shared" si="0"/>
        <v>14285.7142857143</v>
      </c>
      <c r="R17">
        <v>70</v>
      </c>
    </row>
    <row r="18" spans="1:18">
      <c r="A18" t="s">
        <v>731</v>
      </c>
      <c r="D18">
        <v>10000</v>
      </c>
      <c r="E18" s="1">
        <v>0.7</v>
      </c>
      <c r="F18" s="2">
        <f t="shared" si="0"/>
        <v>14285.7142857143</v>
      </c>
      <c r="R18">
        <v>70</v>
      </c>
    </row>
    <row r="19" spans="1:18">
      <c r="A19" t="s">
        <v>732</v>
      </c>
      <c r="D19">
        <v>10000</v>
      </c>
      <c r="E19" s="1">
        <v>0.7</v>
      </c>
      <c r="F19" s="2">
        <f t="shared" si="0"/>
        <v>14285.7142857143</v>
      </c>
      <c r="R19">
        <v>70</v>
      </c>
    </row>
    <row r="20" spans="1:18">
      <c r="A20" t="s">
        <v>733</v>
      </c>
      <c r="D20">
        <v>10000</v>
      </c>
      <c r="E20" s="1">
        <v>0.7</v>
      </c>
      <c r="F20" s="2">
        <f t="shared" si="0"/>
        <v>14285.7142857143</v>
      </c>
      <c r="R20">
        <v>70</v>
      </c>
    </row>
    <row r="21" spans="1:18">
      <c r="A21" t="s">
        <v>734</v>
      </c>
      <c r="D21">
        <v>30000</v>
      </c>
      <c r="E21" s="1">
        <v>1</v>
      </c>
      <c r="F21" s="2">
        <f t="shared" si="0"/>
        <v>30000</v>
      </c>
      <c r="G21">
        <f>SUM(F17:F20)</f>
        <v>57142.8571428571</v>
      </c>
      <c r="R21">
        <v>100</v>
      </c>
    </row>
    <row r="22" spans="1:18">
      <c r="A22" t="s">
        <v>735</v>
      </c>
      <c r="D22">
        <v>20000</v>
      </c>
      <c r="E22" s="1">
        <v>0.5</v>
      </c>
      <c r="F22" s="2">
        <f t="shared" si="0"/>
        <v>40000</v>
      </c>
      <c r="R22">
        <v>50</v>
      </c>
    </row>
    <row r="23" spans="1:18">
      <c r="A23" t="s">
        <v>736</v>
      </c>
      <c r="D23">
        <v>20000</v>
      </c>
      <c r="E23" s="1">
        <v>0.5</v>
      </c>
      <c r="F23" s="2">
        <f t="shared" si="0"/>
        <v>40000</v>
      </c>
      <c r="R23">
        <v>50</v>
      </c>
    </row>
    <row r="24" spans="1:18">
      <c r="A24" t="s">
        <v>737</v>
      </c>
      <c r="D24">
        <v>20000</v>
      </c>
      <c r="E24" s="1">
        <v>0.5</v>
      </c>
      <c r="F24" s="2">
        <f t="shared" si="0"/>
        <v>40000</v>
      </c>
      <c r="R24">
        <v>50</v>
      </c>
    </row>
    <row r="25" spans="1:18">
      <c r="A25" t="s">
        <v>738</v>
      </c>
      <c r="D25">
        <v>20000</v>
      </c>
      <c r="E25" s="1">
        <v>0.5</v>
      </c>
      <c r="F25" s="2">
        <f t="shared" si="0"/>
        <v>40000</v>
      </c>
      <c r="R25">
        <v>50</v>
      </c>
    </row>
    <row r="26" spans="1:7">
      <c r="A26" t="s">
        <v>739</v>
      </c>
      <c r="E26" t="s">
        <v>740</v>
      </c>
      <c r="F26" s="2">
        <f>SUM(F2:F25)</f>
        <v>291587.301587302</v>
      </c>
      <c r="G26">
        <f>SUM(F22:F25)</f>
        <v>160000</v>
      </c>
    </row>
    <row r="27" spans="5:6">
      <c r="E27" t="s">
        <v>741</v>
      </c>
      <c r="F27">
        <f>F26*2</f>
        <v>583174.603174603</v>
      </c>
    </row>
    <row r="31" spans="1:3">
      <c r="A31" s="3" t="s">
        <v>742</v>
      </c>
      <c r="B31" s="3" t="s">
        <v>102</v>
      </c>
      <c r="C31" s="3" t="s">
        <v>112</v>
      </c>
    </row>
    <row r="32" spans="1:3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2">
      <c r="A42" s="3" t="s">
        <v>740</v>
      </c>
      <c r="B42">
        <f>SUM(B32:B41)</f>
        <v>257000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2020-01-18T12:19:08Z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